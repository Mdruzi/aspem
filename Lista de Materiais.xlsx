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codeName="EstaPasta_de_trabalho" checkCompatibility="1"/>
  <mc:AlternateContent xmlns:mc="http://schemas.openxmlformats.org/markup-compatibility/2006">
    <mc:Choice Requires="x15">
      <x15ac:absPath xmlns:x15ac="http://schemas.microsoft.com/office/spreadsheetml/2010/11/ac" url="https://d.docs.live.net/a11c9dfe2bf2f3df/Desktop/projeto aspem/"/>
    </mc:Choice>
  </mc:AlternateContent>
  <xr:revisionPtr revIDLastSave="1" documentId="8_{7440A2E5-32B4-48FC-8052-766D654EF497}" xr6:coauthVersionLast="47" xr6:coauthVersionMax="47" xr10:uidLastSave="{174AAECE-F493-4E2C-B5F1-562D1330C488}"/>
  <bookViews>
    <workbookView xWindow="-110" yWindow="-110" windowWidth="19420" windowHeight="11500" xr2:uid="{00000000-000D-0000-FFFF-FFFF00000000}"/>
  </bookViews>
  <sheets>
    <sheet name="Banco de Dados" sheetId="14" r:id="rId1"/>
  </sheets>
  <definedNames>
    <definedName name="_xlnm._FilterDatabase" localSheetId="0" hidden="1">'Banco de Dados'!$B$3:$H$3432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151" i="14" l="1"/>
  <c r="G1167" i="14"/>
  <c r="G228" i="14" l="1"/>
  <c r="G2005" i="14"/>
  <c r="G2287" i="14" l="1"/>
  <c r="G42" i="14" l="1"/>
  <c r="G43" i="14" s="1"/>
  <c r="H374" i="14"/>
  <c r="H373" i="14"/>
  <c r="H372" i="14"/>
  <c r="H371" i="14"/>
  <c r="H127" i="14"/>
  <c r="G474" i="14"/>
  <c r="G45" i="14" l="1"/>
  <c r="G44" i="14"/>
  <c r="G14" i="14" l="1"/>
  <c r="G486" i="14" l="1"/>
  <c r="G3432" i="14" l="1"/>
  <c r="H3432" i="14" s="1"/>
  <c r="G3431" i="14"/>
  <c r="H3431" i="14" s="1"/>
  <c r="G3430" i="14"/>
  <c r="H3430" i="14" s="1"/>
  <c r="G3429" i="14"/>
  <c r="H3429" i="14" s="1"/>
  <c r="G3428" i="14"/>
  <c r="H3428" i="14" s="1"/>
  <c r="H3427" i="14"/>
  <c r="G3426" i="14"/>
  <c r="H3426" i="14" s="1"/>
  <c r="G3425" i="14"/>
  <c r="H3425" i="14" s="1"/>
  <c r="G3424" i="14"/>
  <c r="H3424" i="14" s="1"/>
  <c r="G3423" i="14"/>
  <c r="H3423" i="14" s="1"/>
  <c r="G3422" i="14"/>
  <c r="H3422" i="14" s="1"/>
  <c r="H3421" i="14"/>
  <c r="G3420" i="14"/>
  <c r="H3420" i="14" s="1"/>
  <c r="G3419" i="14"/>
  <c r="H3419" i="14" s="1"/>
  <c r="G3418" i="14"/>
  <c r="H3418" i="14" s="1"/>
  <c r="G3417" i="14"/>
  <c r="H3417" i="14" s="1"/>
  <c r="G3416" i="14"/>
  <c r="H3416" i="14" s="1"/>
  <c r="H3415" i="14"/>
  <c r="G3414" i="14"/>
  <c r="H3414" i="14" s="1"/>
  <c r="G3413" i="14"/>
  <c r="H3413" i="14" s="1"/>
  <c r="G3412" i="14"/>
  <c r="H3412" i="14" s="1"/>
  <c r="G3411" i="14"/>
  <c r="H3411" i="14" s="1"/>
  <c r="G3410" i="14"/>
  <c r="H3410" i="14" s="1"/>
  <c r="H3409" i="14"/>
  <c r="G3408" i="14"/>
  <c r="H3408" i="14" s="1"/>
  <c r="G3407" i="14"/>
  <c r="H3407" i="14" s="1"/>
  <c r="G3406" i="14"/>
  <c r="H3406" i="14" s="1"/>
  <c r="G3405" i="14"/>
  <c r="H3405" i="14" s="1"/>
  <c r="G3404" i="14"/>
  <c r="H3404" i="14" s="1"/>
  <c r="H3403" i="14"/>
  <c r="G3402" i="14"/>
  <c r="H3402" i="14" s="1"/>
  <c r="G3401" i="14"/>
  <c r="H3401" i="14" s="1"/>
  <c r="G3400" i="14"/>
  <c r="H3400" i="14" s="1"/>
  <c r="G3399" i="14"/>
  <c r="H3399" i="14" s="1"/>
  <c r="G3398" i="14"/>
  <c r="H3398" i="14" s="1"/>
  <c r="H3397" i="14"/>
  <c r="G3396" i="14"/>
  <c r="H3396" i="14" s="1"/>
  <c r="G3395" i="14"/>
  <c r="H3395" i="14" s="1"/>
  <c r="G3394" i="14"/>
  <c r="H3394" i="14" s="1"/>
  <c r="G3393" i="14"/>
  <c r="H3393" i="14" s="1"/>
  <c r="G3392" i="14"/>
  <c r="H3392" i="14" s="1"/>
  <c r="H3391" i="14"/>
  <c r="G3390" i="14"/>
  <c r="H3390" i="14" s="1"/>
  <c r="G3389" i="14"/>
  <c r="H3389" i="14" s="1"/>
  <c r="G3388" i="14"/>
  <c r="H3388" i="14" s="1"/>
  <c r="G3387" i="14"/>
  <c r="H3387" i="14" s="1"/>
  <c r="G3386" i="14"/>
  <c r="H3386" i="14" s="1"/>
  <c r="H3385" i="14"/>
  <c r="G3384" i="14"/>
  <c r="H3384" i="14" s="1"/>
  <c r="G3383" i="14"/>
  <c r="H3383" i="14" s="1"/>
  <c r="G3382" i="14"/>
  <c r="H3382" i="14" s="1"/>
  <c r="G3381" i="14"/>
  <c r="H3381" i="14" s="1"/>
  <c r="G3380" i="14"/>
  <c r="H3380" i="14" s="1"/>
  <c r="H3379" i="14"/>
  <c r="G3378" i="14"/>
  <c r="H3378" i="14" s="1"/>
  <c r="G3377" i="14"/>
  <c r="H3377" i="14" s="1"/>
  <c r="G3376" i="14"/>
  <c r="H3376" i="14" s="1"/>
  <c r="G3375" i="14"/>
  <c r="H3375" i="14" s="1"/>
  <c r="G3374" i="14"/>
  <c r="H3374" i="14" s="1"/>
  <c r="H3373" i="14"/>
  <c r="G3372" i="14"/>
  <c r="H3372" i="14" s="1"/>
  <c r="G3371" i="14"/>
  <c r="H3371" i="14" s="1"/>
  <c r="G3370" i="14"/>
  <c r="H3370" i="14" s="1"/>
  <c r="G3369" i="14"/>
  <c r="H3369" i="14" s="1"/>
  <c r="G3368" i="14"/>
  <c r="H3368" i="14" s="1"/>
  <c r="H3367" i="14"/>
  <c r="G3366" i="14"/>
  <c r="H3366" i="14" s="1"/>
  <c r="G3365" i="14"/>
  <c r="H3365" i="14" s="1"/>
  <c r="G3364" i="14"/>
  <c r="H3364" i="14" s="1"/>
  <c r="G3363" i="14"/>
  <c r="H3363" i="14" s="1"/>
  <c r="G3362" i="14"/>
  <c r="H3362" i="14" s="1"/>
  <c r="H3361" i="14"/>
  <c r="G3360" i="14"/>
  <c r="H3360" i="14" s="1"/>
  <c r="G3359" i="14"/>
  <c r="H3359" i="14" s="1"/>
  <c r="G3358" i="14"/>
  <c r="H3358" i="14" s="1"/>
  <c r="G3357" i="14"/>
  <c r="H3357" i="14" s="1"/>
  <c r="G3356" i="14"/>
  <c r="H3356" i="14" s="1"/>
  <c r="H3355" i="14"/>
  <c r="G3354" i="14"/>
  <c r="H3354" i="14" s="1"/>
  <c r="G3353" i="14"/>
  <c r="H3353" i="14" s="1"/>
  <c r="G3352" i="14"/>
  <c r="H3352" i="14" s="1"/>
  <c r="G3351" i="14"/>
  <c r="H3351" i="14" s="1"/>
  <c r="G3350" i="14"/>
  <c r="H3350" i="14" s="1"/>
  <c r="H3349" i="14"/>
  <c r="G3348" i="14"/>
  <c r="H3348" i="14" s="1"/>
  <c r="G3347" i="14"/>
  <c r="H3347" i="14" s="1"/>
  <c r="G3346" i="14"/>
  <c r="H3346" i="14" s="1"/>
  <c r="G3345" i="14"/>
  <c r="H3345" i="14" s="1"/>
  <c r="G3344" i="14"/>
  <c r="H3344" i="14" s="1"/>
  <c r="H3343" i="14"/>
  <c r="G3342" i="14"/>
  <c r="H3342" i="14" s="1"/>
  <c r="G3341" i="14"/>
  <c r="H3341" i="14" s="1"/>
  <c r="G3340" i="14"/>
  <c r="H3340" i="14" s="1"/>
  <c r="G3339" i="14"/>
  <c r="H3339" i="14" s="1"/>
  <c r="G3338" i="14"/>
  <c r="H3338" i="14" s="1"/>
  <c r="H3337" i="14"/>
  <c r="G3336" i="14"/>
  <c r="H3336" i="14" s="1"/>
  <c r="G3335" i="14"/>
  <c r="H3335" i="14" s="1"/>
  <c r="G3334" i="14"/>
  <c r="H3334" i="14" s="1"/>
  <c r="G3333" i="14"/>
  <c r="H3333" i="14" s="1"/>
  <c r="G3332" i="14"/>
  <c r="H3332" i="14" s="1"/>
  <c r="H3331" i="14"/>
  <c r="G3330" i="14"/>
  <c r="H3330" i="14" s="1"/>
  <c r="G3329" i="14"/>
  <c r="H3329" i="14" s="1"/>
  <c r="G3328" i="14"/>
  <c r="H3328" i="14" s="1"/>
  <c r="G3327" i="14"/>
  <c r="H3327" i="14" s="1"/>
  <c r="G3326" i="14"/>
  <c r="H3326" i="14" s="1"/>
  <c r="H3325" i="14"/>
  <c r="G3324" i="14"/>
  <c r="H3324" i="14" s="1"/>
  <c r="G3323" i="14"/>
  <c r="H3323" i="14" s="1"/>
  <c r="G3322" i="14"/>
  <c r="H3322" i="14" s="1"/>
  <c r="G3321" i="14"/>
  <c r="H3321" i="14" s="1"/>
  <c r="G3320" i="14"/>
  <c r="H3320" i="14" s="1"/>
  <c r="H3319" i="14"/>
  <c r="G3318" i="14"/>
  <c r="H3318" i="14" s="1"/>
  <c r="G3317" i="14"/>
  <c r="H3317" i="14" s="1"/>
  <c r="G3316" i="14"/>
  <c r="H3316" i="14" s="1"/>
  <c r="G3315" i="14"/>
  <c r="H3315" i="14" s="1"/>
  <c r="G3314" i="14"/>
  <c r="H3314" i="14" s="1"/>
  <c r="H3313" i="14"/>
  <c r="G3312" i="14"/>
  <c r="H3312" i="14" s="1"/>
  <c r="G3311" i="14"/>
  <c r="H3311" i="14" s="1"/>
  <c r="G3310" i="14"/>
  <c r="H3310" i="14" s="1"/>
  <c r="G3309" i="14"/>
  <c r="H3309" i="14" s="1"/>
  <c r="G3308" i="14"/>
  <c r="H3308" i="14" s="1"/>
  <c r="H3307" i="14"/>
  <c r="G3306" i="14"/>
  <c r="H3306" i="14" s="1"/>
  <c r="G3305" i="14"/>
  <c r="H3305" i="14" s="1"/>
  <c r="G3304" i="14"/>
  <c r="H3304" i="14" s="1"/>
  <c r="G3303" i="14"/>
  <c r="H3303" i="14" s="1"/>
  <c r="G3302" i="14"/>
  <c r="H3302" i="14" s="1"/>
  <c r="H3301" i="14"/>
  <c r="G3300" i="14"/>
  <c r="H3300" i="14" s="1"/>
  <c r="G3299" i="14"/>
  <c r="H3299" i="14" s="1"/>
  <c r="G3298" i="14"/>
  <c r="H3298" i="14" s="1"/>
  <c r="G3297" i="14"/>
  <c r="H3297" i="14" s="1"/>
  <c r="G3296" i="14"/>
  <c r="H3296" i="14" s="1"/>
  <c r="H3295" i="14"/>
  <c r="G3294" i="14"/>
  <c r="H3294" i="14" s="1"/>
  <c r="G3293" i="14"/>
  <c r="H3293" i="14" s="1"/>
  <c r="G3292" i="14"/>
  <c r="H3292" i="14" s="1"/>
  <c r="G3291" i="14"/>
  <c r="H3291" i="14" s="1"/>
  <c r="G3290" i="14"/>
  <c r="H3290" i="14" s="1"/>
  <c r="H3289" i="14"/>
  <c r="G3288" i="14"/>
  <c r="H3288" i="14" s="1"/>
  <c r="G3287" i="14"/>
  <c r="H3287" i="14" s="1"/>
  <c r="G3286" i="14"/>
  <c r="H3286" i="14" s="1"/>
  <c r="G3285" i="14"/>
  <c r="H3285" i="14" s="1"/>
  <c r="G3284" i="14"/>
  <c r="H3284" i="14" s="1"/>
  <c r="H3283" i="14"/>
  <c r="G3282" i="14"/>
  <c r="H3282" i="14" s="1"/>
  <c r="G3281" i="14"/>
  <c r="H3281" i="14" s="1"/>
  <c r="G3280" i="14"/>
  <c r="H3280" i="14" s="1"/>
  <c r="G3279" i="14"/>
  <c r="H3279" i="14" s="1"/>
  <c r="G3278" i="14"/>
  <c r="H3278" i="14" s="1"/>
  <c r="H3277" i="14"/>
  <c r="G3276" i="14"/>
  <c r="H3276" i="14" s="1"/>
  <c r="G3275" i="14"/>
  <c r="H3275" i="14" s="1"/>
  <c r="G3274" i="14"/>
  <c r="H3274" i="14" s="1"/>
  <c r="G3273" i="14"/>
  <c r="H3273" i="14" s="1"/>
  <c r="G3272" i="14"/>
  <c r="H3272" i="14" s="1"/>
  <c r="H3271" i="14"/>
  <c r="G3270" i="14"/>
  <c r="H3270" i="14" s="1"/>
  <c r="G3269" i="14"/>
  <c r="H3269" i="14" s="1"/>
  <c r="G3268" i="14"/>
  <c r="H3268" i="14" s="1"/>
  <c r="G3267" i="14"/>
  <c r="H3267" i="14" s="1"/>
  <c r="G3266" i="14"/>
  <c r="H3266" i="14" s="1"/>
  <c r="H3265" i="14"/>
  <c r="G3264" i="14"/>
  <c r="H3264" i="14" s="1"/>
  <c r="G3263" i="14"/>
  <c r="H3263" i="14" s="1"/>
  <c r="G3262" i="14"/>
  <c r="H3262" i="14" s="1"/>
  <c r="G3261" i="14"/>
  <c r="H3261" i="14" s="1"/>
  <c r="G3260" i="14"/>
  <c r="H3260" i="14" s="1"/>
  <c r="H3259" i="14"/>
  <c r="G3258" i="14"/>
  <c r="H3258" i="14" s="1"/>
  <c r="G3257" i="14"/>
  <c r="H3257" i="14" s="1"/>
  <c r="G3256" i="14"/>
  <c r="H3256" i="14" s="1"/>
  <c r="G3255" i="14"/>
  <c r="H3255" i="14" s="1"/>
  <c r="G3254" i="14"/>
  <c r="H3254" i="14" s="1"/>
  <c r="H3253" i="14"/>
  <c r="G3252" i="14"/>
  <c r="H3252" i="14" s="1"/>
  <c r="G3251" i="14"/>
  <c r="H3251" i="14" s="1"/>
  <c r="G3250" i="14"/>
  <c r="H3250" i="14" s="1"/>
  <c r="G3249" i="14"/>
  <c r="H3249" i="14" s="1"/>
  <c r="G3248" i="14"/>
  <c r="H3248" i="14" s="1"/>
  <c r="H3247" i="14"/>
  <c r="G3246" i="14"/>
  <c r="H3246" i="14" s="1"/>
  <c r="G3245" i="14"/>
  <c r="H3245" i="14" s="1"/>
  <c r="G3244" i="14"/>
  <c r="H3244" i="14" s="1"/>
  <c r="G3243" i="14"/>
  <c r="H3243" i="14" s="1"/>
  <c r="G3242" i="14"/>
  <c r="H3242" i="14" s="1"/>
  <c r="H3241" i="14"/>
  <c r="G3240" i="14"/>
  <c r="H3240" i="14" s="1"/>
  <c r="G3239" i="14"/>
  <c r="H3239" i="14" s="1"/>
  <c r="G3238" i="14"/>
  <c r="H3238" i="14" s="1"/>
  <c r="G3237" i="14"/>
  <c r="H3237" i="14" s="1"/>
  <c r="H3236" i="14"/>
  <c r="G3235" i="14"/>
  <c r="H3235" i="14" s="1"/>
  <c r="G3234" i="14"/>
  <c r="H3234" i="14" s="1"/>
  <c r="G3233" i="14"/>
  <c r="H3233" i="14" s="1"/>
  <c r="G3232" i="14"/>
  <c r="H3232" i="14" s="1"/>
  <c r="H3231" i="14"/>
  <c r="G3230" i="14"/>
  <c r="H3230" i="14" s="1"/>
  <c r="G3229" i="14"/>
  <c r="H3229" i="14" s="1"/>
  <c r="G3228" i="14"/>
  <c r="H3228" i="14" s="1"/>
  <c r="G3227" i="14"/>
  <c r="H3227" i="14" s="1"/>
  <c r="G3226" i="14"/>
  <c r="H3226" i="14" s="1"/>
  <c r="H3225" i="14"/>
  <c r="G3224" i="14"/>
  <c r="H3224" i="14" s="1"/>
  <c r="G3223" i="14"/>
  <c r="H3223" i="14" s="1"/>
  <c r="G3222" i="14"/>
  <c r="H3222" i="14" s="1"/>
  <c r="G3221" i="14"/>
  <c r="H3221" i="14" s="1"/>
  <c r="G3220" i="14"/>
  <c r="H3220" i="14" s="1"/>
  <c r="H3219" i="14"/>
  <c r="G3218" i="14"/>
  <c r="H3218" i="14" s="1"/>
  <c r="G3217" i="14"/>
  <c r="H3217" i="14" s="1"/>
  <c r="G3216" i="14"/>
  <c r="H3216" i="14" s="1"/>
  <c r="G3215" i="14"/>
  <c r="H3215" i="14" s="1"/>
  <c r="H3214" i="14"/>
  <c r="G3213" i="14"/>
  <c r="H3213" i="14" s="1"/>
  <c r="G3212" i="14"/>
  <c r="H3212" i="14" s="1"/>
  <c r="G3211" i="14"/>
  <c r="H3211" i="14" s="1"/>
  <c r="G3210" i="14"/>
  <c r="H3210" i="14" s="1"/>
  <c r="H3209" i="14"/>
  <c r="G3208" i="14"/>
  <c r="H3208" i="14" s="1"/>
  <c r="G3207" i="14"/>
  <c r="H3207" i="14" s="1"/>
  <c r="H3206" i="14"/>
  <c r="G3205" i="14"/>
  <c r="H3205" i="14" s="1"/>
  <c r="G3204" i="14"/>
  <c r="H3204" i="14" s="1"/>
  <c r="G3203" i="14"/>
  <c r="H3203" i="14" s="1"/>
  <c r="G3202" i="14"/>
  <c r="H3202" i="14" s="1"/>
  <c r="H3201" i="14"/>
  <c r="G3200" i="14"/>
  <c r="H3200" i="14" s="1"/>
  <c r="G3199" i="14"/>
  <c r="H3199" i="14" s="1"/>
  <c r="G3198" i="14"/>
  <c r="H3198" i="14" s="1"/>
  <c r="G3197" i="14"/>
  <c r="H3197" i="14" s="1"/>
  <c r="H3196" i="14"/>
  <c r="G3195" i="14"/>
  <c r="H3195" i="14" s="1"/>
  <c r="G3194" i="14"/>
  <c r="H3194" i="14" s="1"/>
  <c r="G3193" i="14"/>
  <c r="H3193" i="14" s="1"/>
  <c r="G3192" i="14"/>
  <c r="H3192" i="14" s="1"/>
  <c r="H3191" i="14"/>
  <c r="G3190" i="14"/>
  <c r="H3190" i="14" s="1"/>
  <c r="G3189" i="14"/>
  <c r="H3189" i="14" s="1"/>
  <c r="G3188" i="14"/>
  <c r="H3188" i="14" s="1"/>
  <c r="G3187" i="14"/>
  <c r="H3187" i="14" s="1"/>
  <c r="H3186" i="14"/>
  <c r="G3185" i="14"/>
  <c r="H3185" i="14" s="1"/>
  <c r="G3184" i="14"/>
  <c r="H3184" i="14" s="1"/>
  <c r="G3183" i="14"/>
  <c r="H3183" i="14" s="1"/>
  <c r="G3182" i="14"/>
  <c r="H3182" i="14" s="1"/>
  <c r="H3181" i="14"/>
  <c r="G3180" i="14"/>
  <c r="H3180" i="14" s="1"/>
  <c r="G3179" i="14"/>
  <c r="H3179" i="14" s="1"/>
  <c r="G3178" i="14"/>
  <c r="H3178" i="14" s="1"/>
  <c r="G3177" i="14"/>
  <c r="H3177" i="14" s="1"/>
  <c r="H3176" i="14"/>
  <c r="G3175" i="14"/>
  <c r="H3175" i="14" s="1"/>
  <c r="G3174" i="14"/>
  <c r="H3174" i="14" s="1"/>
  <c r="H3173" i="14"/>
  <c r="G3172" i="14"/>
  <c r="H3172" i="14" s="1"/>
  <c r="G3171" i="14"/>
  <c r="H3171" i="14" s="1"/>
  <c r="G3170" i="14"/>
  <c r="H3170" i="14" s="1"/>
  <c r="G3169" i="14"/>
  <c r="H3169" i="14" s="1"/>
  <c r="H3168" i="14"/>
  <c r="G3167" i="14"/>
  <c r="H3167" i="14" s="1"/>
  <c r="G3166" i="14"/>
  <c r="H3166" i="14" s="1"/>
  <c r="G3165" i="14"/>
  <c r="H3165" i="14" s="1"/>
  <c r="G3164" i="14"/>
  <c r="H3164" i="14" s="1"/>
  <c r="H3163" i="14"/>
  <c r="G3162" i="14"/>
  <c r="H3162" i="14" s="1"/>
  <c r="G3161" i="14"/>
  <c r="H3161" i="14" s="1"/>
  <c r="G3160" i="14"/>
  <c r="H3160" i="14" s="1"/>
  <c r="G3159" i="14"/>
  <c r="H3159" i="14" s="1"/>
  <c r="H3158" i="14"/>
  <c r="G3157" i="14"/>
  <c r="H3157" i="14" s="1"/>
  <c r="G3156" i="14"/>
  <c r="H3156" i="14" s="1"/>
  <c r="G3155" i="14"/>
  <c r="H3155" i="14" s="1"/>
  <c r="G3154" i="14"/>
  <c r="H3154" i="14" s="1"/>
  <c r="H3153" i="14"/>
  <c r="G3152" i="14"/>
  <c r="H3152" i="14" s="1"/>
  <c r="H3151" i="14"/>
  <c r="G3150" i="14"/>
  <c r="H3150" i="14" s="1"/>
  <c r="G3149" i="14"/>
  <c r="H3149" i="14" s="1"/>
  <c r="H3148" i="14"/>
  <c r="G3147" i="14"/>
  <c r="H3147" i="14" s="1"/>
  <c r="G3146" i="14"/>
  <c r="H3146" i="14" s="1"/>
  <c r="H3145" i="14"/>
  <c r="G3144" i="14"/>
  <c r="H3144" i="14" s="1"/>
  <c r="G3143" i="14"/>
  <c r="H3143" i="14" s="1"/>
  <c r="G3142" i="14"/>
  <c r="H3142" i="14" s="1"/>
  <c r="G3141" i="14"/>
  <c r="H3141" i="14" s="1"/>
  <c r="H3140" i="14"/>
  <c r="G3139" i="14"/>
  <c r="H3139" i="14" s="1"/>
  <c r="G3138" i="14"/>
  <c r="H3138" i="14" s="1"/>
  <c r="G3137" i="14"/>
  <c r="H3137" i="14" s="1"/>
  <c r="H3136" i="14"/>
  <c r="G3135" i="14"/>
  <c r="H3135" i="14" s="1"/>
  <c r="G3134" i="14"/>
  <c r="H3134" i="14" s="1"/>
  <c r="G3133" i="14"/>
  <c r="H3133" i="14" s="1"/>
  <c r="H3132" i="14"/>
  <c r="G3131" i="14"/>
  <c r="H3131" i="14" s="1"/>
  <c r="G3130" i="14"/>
  <c r="H3130" i="14" s="1"/>
  <c r="G3129" i="14"/>
  <c r="H3129" i="14" s="1"/>
  <c r="H3128" i="14"/>
  <c r="G3127" i="14"/>
  <c r="H3127" i="14" s="1"/>
  <c r="G3126" i="14"/>
  <c r="H3126" i="14" s="1"/>
  <c r="G3125" i="14"/>
  <c r="H3125" i="14" s="1"/>
  <c r="H3124" i="14"/>
  <c r="G3123" i="14"/>
  <c r="H3123" i="14" s="1"/>
  <c r="G3122" i="14"/>
  <c r="H3122" i="14" s="1"/>
  <c r="G3121" i="14"/>
  <c r="H3121" i="14" s="1"/>
  <c r="H3120" i="14"/>
  <c r="H3119" i="14"/>
  <c r="H3118" i="14"/>
  <c r="G3117" i="14"/>
  <c r="H3117" i="14" s="1"/>
  <c r="G3116" i="14"/>
  <c r="H3116" i="14" s="1"/>
  <c r="H3115" i="14"/>
  <c r="G3114" i="14"/>
  <c r="H3114" i="14" s="1"/>
  <c r="G3113" i="14"/>
  <c r="H3113" i="14" s="1"/>
  <c r="H3112" i="14"/>
  <c r="G3111" i="14"/>
  <c r="H3111" i="14" s="1"/>
  <c r="G3110" i="14"/>
  <c r="H3110" i="14" s="1"/>
  <c r="G3109" i="14"/>
  <c r="H3109" i="14" s="1"/>
  <c r="G3108" i="14"/>
  <c r="H3108" i="14" s="1"/>
  <c r="H3107" i="14"/>
  <c r="G3106" i="14"/>
  <c r="H3106" i="14" s="1"/>
  <c r="G3105" i="14"/>
  <c r="H3105" i="14" s="1"/>
  <c r="G3104" i="14"/>
  <c r="H3104" i="14" s="1"/>
  <c r="G3103" i="14"/>
  <c r="H3103" i="14" s="1"/>
  <c r="G3102" i="14"/>
  <c r="H3102" i="14" s="1"/>
  <c r="H3101" i="14"/>
  <c r="G3100" i="14"/>
  <c r="H3100" i="14" s="1"/>
  <c r="G3099" i="14"/>
  <c r="H3099" i="14" s="1"/>
  <c r="G3098" i="14"/>
  <c r="H3098" i="14" s="1"/>
  <c r="G3097" i="14"/>
  <c r="H3097" i="14" s="1"/>
  <c r="G3096" i="14"/>
  <c r="H3096" i="14" s="1"/>
  <c r="H3095" i="14"/>
  <c r="G3094" i="14"/>
  <c r="H3094" i="14" s="1"/>
  <c r="G3093" i="14"/>
  <c r="H3093" i="14" s="1"/>
  <c r="G3092" i="14"/>
  <c r="H3092" i="14" s="1"/>
  <c r="G3091" i="14"/>
  <c r="H3091" i="14" s="1"/>
  <c r="H3090" i="14"/>
  <c r="G3089" i="14"/>
  <c r="H3089" i="14" s="1"/>
  <c r="G3088" i="14"/>
  <c r="H3088" i="14" s="1"/>
  <c r="G3087" i="14"/>
  <c r="H3087" i="14" s="1"/>
  <c r="G3086" i="14"/>
  <c r="H3086" i="14" s="1"/>
  <c r="H3085" i="14"/>
  <c r="G3084" i="14"/>
  <c r="H3084" i="14" s="1"/>
  <c r="G3083" i="14"/>
  <c r="H3083" i="14" s="1"/>
  <c r="G3082" i="14"/>
  <c r="H3082" i="14" s="1"/>
  <c r="G3081" i="14"/>
  <c r="H3081" i="14" s="1"/>
  <c r="H3080" i="14"/>
  <c r="G3079" i="14"/>
  <c r="H3079" i="14" s="1"/>
  <c r="G3078" i="14"/>
  <c r="H3078" i="14" s="1"/>
  <c r="G3077" i="14"/>
  <c r="H3077" i="14" s="1"/>
  <c r="G3076" i="14"/>
  <c r="H3076" i="14" s="1"/>
  <c r="H3075" i="14"/>
  <c r="G3074" i="14"/>
  <c r="H3074" i="14" s="1"/>
  <c r="G3073" i="14"/>
  <c r="H3073" i="14" s="1"/>
  <c r="G3072" i="14"/>
  <c r="H3072" i="14" s="1"/>
  <c r="G3071" i="14"/>
  <c r="H3071" i="14" s="1"/>
  <c r="H3070" i="14"/>
  <c r="G3069" i="14"/>
  <c r="H3069" i="14" s="1"/>
  <c r="G3068" i="14"/>
  <c r="H3068" i="14" s="1"/>
  <c r="G3067" i="14"/>
  <c r="H3067" i="14" s="1"/>
  <c r="G3066" i="14"/>
  <c r="H3066" i="14" s="1"/>
  <c r="H3065" i="14"/>
  <c r="G3064" i="14"/>
  <c r="H3064" i="14" s="1"/>
  <c r="G3063" i="14"/>
  <c r="H3063" i="14" s="1"/>
  <c r="G3062" i="14"/>
  <c r="H3062" i="14" s="1"/>
  <c r="G3061" i="14"/>
  <c r="H3061" i="14" s="1"/>
  <c r="H3060" i="14"/>
  <c r="G3059" i="14"/>
  <c r="H3059" i="14" s="1"/>
  <c r="G3058" i="14"/>
  <c r="H3058" i="14" s="1"/>
  <c r="G3057" i="14"/>
  <c r="H3057" i="14" s="1"/>
  <c r="G3056" i="14"/>
  <c r="H3056" i="14" s="1"/>
  <c r="H3055" i="14"/>
  <c r="G3054" i="14"/>
  <c r="H3054" i="14" s="1"/>
  <c r="G3053" i="14"/>
  <c r="H3053" i="14" s="1"/>
  <c r="G3052" i="14"/>
  <c r="H3052" i="14" s="1"/>
  <c r="G3051" i="14"/>
  <c r="H3051" i="14" s="1"/>
  <c r="H3050" i="14"/>
  <c r="G3049" i="14"/>
  <c r="H3049" i="14" s="1"/>
  <c r="G3048" i="14"/>
  <c r="H3048" i="14" s="1"/>
  <c r="G3047" i="14"/>
  <c r="H3047" i="14" s="1"/>
  <c r="G3046" i="14"/>
  <c r="H3046" i="14" s="1"/>
  <c r="H3045" i="14"/>
  <c r="G3044" i="14"/>
  <c r="H3044" i="14" s="1"/>
  <c r="G3041" i="14"/>
  <c r="H3041" i="14" s="1"/>
  <c r="G3040" i="14"/>
  <c r="H3039" i="14"/>
  <c r="G3038" i="14"/>
  <c r="H3038" i="14" s="1"/>
  <c r="G3035" i="14"/>
  <c r="H3035" i="14" s="1"/>
  <c r="G3034" i="14"/>
  <c r="G3036" i="14" s="1"/>
  <c r="H3036" i="14" s="1"/>
  <c r="H3033" i="14"/>
  <c r="G3032" i="14"/>
  <c r="H3032" i="14" s="1"/>
  <c r="G3029" i="14"/>
  <c r="H3029" i="14" s="1"/>
  <c r="G3028" i="14"/>
  <c r="G3030" i="14" s="1"/>
  <c r="H3030" i="14" s="1"/>
  <c r="H3027" i="14"/>
  <c r="G3026" i="14"/>
  <c r="H3026" i="14" s="1"/>
  <c r="G3023" i="14"/>
  <c r="H3023" i="14" s="1"/>
  <c r="G3022" i="14"/>
  <c r="G3024" i="14" s="1"/>
  <c r="H3024" i="14" s="1"/>
  <c r="H3021" i="14"/>
  <c r="G3020" i="14"/>
  <c r="H3020" i="14" s="1"/>
  <c r="G3017" i="14"/>
  <c r="H3017" i="14" s="1"/>
  <c r="G3016" i="14"/>
  <c r="G3018" i="14" s="1"/>
  <c r="H3018" i="14" s="1"/>
  <c r="H3015" i="14"/>
  <c r="G3014" i="14"/>
  <c r="H3014" i="14" s="1"/>
  <c r="G3011" i="14"/>
  <c r="H3011" i="14" s="1"/>
  <c r="G3010" i="14"/>
  <c r="H3010" i="14" s="1"/>
  <c r="H3009" i="14"/>
  <c r="G3008" i="14"/>
  <c r="H3008" i="14" s="1"/>
  <c r="G3005" i="14"/>
  <c r="H3005" i="14" s="1"/>
  <c r="G3004" i="14"/>
  <c r="H3004" i="14" s="1"/>
  <c r="H3003" i="14"/>
  <c r="G3002" i="14"/>
  <c r="H3002" i="14" s="1"/>
  <c r="G2999" i="14"/>
  <c r="H2999" i="14" s="1"/>
  <c r="G2998" i="14"/>
  <c r="H2998" i="14" s="1"/>
  <c r="H2997" i="14"/>
  <c r="G2996" i="14"/>
  <c r="H2996" i="14" s="1"/>
  <c r="G2993" i="14"/>
  <c r="H2993" i="14" s="1"/>
  <c r="G2992" i="14"/>
  <c r="H2992" i="14" s="1"/>
  <c r="H2991" i="14"/>
  <c r="G2990" i="14"/>
  <c r="H2990" i="14" s="1"/>
  <c r="G2987" i="14"/>
  <c r="H2987" i="14" s="1"/>
  <c r="G2986" i="14"/>
  <c r="H2986" i="14" s="1"/>
  <c r="H2985" i="14"/>
  <c r="G2984" i="14"/>
  <c r="H2984" i="14" s="1"/>
  <c r="G2981" i="14"/>
  <c r="H2981" i="14" s="1"/>
  <c r="G2980" i="14"/>
  <c r="H2980" i="14" s="1"/>
  <c r="H2979" i="14"/>
  <c r="G2978" i="14"/>
  <c r="H2978" i="14" s="1"/>
  <c r="G2975" i="14"/>
  <c r="H2975" i="14" s="1"/>
  <c r="G2974" i="14"/>
  <c r="G2976" i="14" s="1"/>
  <c r="H2976" i="14" s="1"/>
  <c r="H2973" i="14"/>
  <c r="G2972" i="14"/>
  <c r="H2972" i="14" s="1"/>
  <c r="G2969" i="14"/>
  <c r="H2969" i="14" s="1"/>
  <c r="G2968" i="14"/>
  <c r="G2970" i="14" s="1"/>
  <c r="H2970" i="14" s="1"/>
  <c r="H2967" i="14"/>
  <c r="G2966" i="14"/>
  <c r="H2966" i="14" s="1"/>
  <c r="G2963" i="14"/>
  <c r="H2963" i="14" s="1"/>
  <c r="G2962" i="14"/>
  <c r="G2964" i="14" s="1"/>
  <c r="H2964" i="14" s="1"/>
  <c r="H2961" i="14"/>
  <c r="G2960" i="14"/>
  <c r="H2960" i="14" s="1"/>
  <c r="G2957" i="14"/>
  <c r="H2957" i="14" s="1"/>
  <c r="G2956" i="14"/>
  <c r="G2958" i="14" s="1"/>
  <c r="H2958" i="14" s="1"/>
  <c r="H2955" i="14"/>
  <c r="G2954" i="14"/>
  <c r="H2954" i="14" s="1"/>
  <c r="G2951" i="14"/>
  <c r="H2951" i="14" s="1"/>
  <c r="G2950" i="14"/>
  <c r="G2952" i="14" s="1"/>
  <c r="H2952" i="14" s="1"/>
  <c r="H2949" i="14"/>
  <c r="G2948" i="14"/>
  <c r="H2948" i="14" s="1"/>
  <c r="G2945" i="14"/>
  <c r="H2945" i="14" s="1"/>
  <c r="G2944" i="14"/>
  <c r="G2946" i="14" s="1"/>
  <c r="H2946" i="14" s="1"/>
  <c r="H2943" i="14"/>
  <c r="G2942" i="14"/>
  <c r="H2942" i="14" s="1"/>
  <c r="G2939" i="14"/>
  <c r="H2939" i="14" s="1"/>
  <c r="G2938" i="14"/>
  <c r="G2940" i="14" s="1"/>
  <c r="H2940" i="14" s="1"/>
  <c r="H2937" i="14"/>
  <c r="G2936" i="14"/>
  <c r="H2936" i="14" s="1"/>
  <c r="G2933" i="14"/>
  <c r="H2933" i="14" s="1"/>
  <c r="G2932" i="14"/>
  <c r="G2934" i="14" s="1"/>
  <c r="H2934" i="14" s="1"/>
  <c r="H2931" i="14"/>
  <c r="G2930" i="14"/>
  <c r="H2930" i="14" s="1"/>
  <c r="G2927" i="14"/>
  <c r="H2927" i="14" s="1"/>
  <c r="G2926" i="14"/>
  <c r="G2928" i="14" s="1"/>
  <c r="H2928" i="14" s="1"/>
  <c r="H2925" i="14"/>
  <c r="G2924" i="14"/>
  <c r="H2924" i="14" s="1"/>
  <c r="G2921" i="14"/>
  <c r="H2921" i="14" s="1"/>
  <c r="G2920" i="14"/>
  <c r="G2922" i="14" s="1"/>
  <c r="H2922" i="14" s="1"/>
  <c r="H2919" i="14"/>
  <c r="G2918" i="14"/>
  <c r="H2918" i="14" s="1"/>
  <c r="G2915" i="14"/>
  <c r="H2915" i="14" s="1"/>
  <c r="G2914" i="14"/>
  <c r="G2916" i="14" s="1"/>
  <c r="H2916" i="14" s="1"/>
  <c r="H2913" i="14"/>
  <c r="G2912" i="14"/>
  <c r="H2912" i="14" s="1"/>
  <c r="G2909" i="14"/>
  <c r="H2909" i="14" s="1"/>
  <c r="G2908" i="14"/>
  <c r="G2910" i="14" s="1"/>
  <c r="H2910" i="14" s="1"/>
  <c r="H2907" i="14"/>
  <c r="G2906" i="14"/>
  <c r="H2906" i="14" s="1"/>
  <c r="G2903" i="14"/>
  <c r="H2903" i="14" s="1"/>
  <c r="G2902" i="14"/>
  <c r="G2904" i="14" s="1"/>
  <c r="H2904" i="14" s="1"/>
  <c r="H2901" i="14"/>
  <c r="G2900" i="14"/>
  <c r="H2900" i="14" s="1"/>
  <c r="G2897" i="14"/>
  <c r="H2897" i="14" s="1"/>
  <c r="G2896" i="14"/>
  <c r="G2898" i="14" s="1"/>
  <c r="H2898" i="14" s="1"/>
  <c r="H2895" i="14"/>
  <c r="G2894" i="14"/>
  <c r="H2894" i="14" s="1"/>
  <c r="G2891" i="14"/>
  <c r="H2891" i="14" s="1"/>
  <c r="G2890" i="14"/>
  <c r="G2892" i="14" s="1"/>
  <c r="H2892" i="14" s="1"/>
  <c r="H2889" i="14"/>
  <c r="G2888" i="14"/>
  <c r="H2888" i="14" s="1"/>
  <c r="G2885" i="14"/>
  <c r="H2885" i="14" s="1"/>
  <c r="G2884" i="14"/>
  <c r="G2886" i="14" s="1"/>
  <c r="H2886" i="14" s="1"/>
  <c r="H2883" i="14"/>
  <c r="G2882" i="14"/>
  <c r="H2882" i="14" s="1"/>
  <c r="G2879" i="14"/>
  <c r="H2879" i="14" s="1"/>
  <c r="G2878" i="14"/>
  <c r="G2880" i="14" s="1"/>
  <c r="H2880" i="14" s="1"/>
  <c r="H2877" i="14"/>
  <c r="G2876" i="14"/>
  <c r="H2876" i="14" s="1"/>
  <c r="G2873" i="14"/>
  <c r="H2873" i="14" s="1"/>
  <c r="G2872" i="14"/>
  <c r="G2874" i="14" s="1"/>
  <c r="H2874" i="14" s="1"/>
  <c r="H2871" i="14"/>
  <c r="G2870" i="14"/>
  <c r="H2870" i="14" s="1"/>
  <c r="G2867" i="14"/>
  <c r="H2867" i="14" s="1"/>
  <c r="G2866" i="14"/>
  <c r="G2868" i="14" s="1"/>
  <c r="H2868" i="14" s="1"/>
  <c r="H2865" i="14"/>
  <c r="G2864" i="14"/>
  <c r="H2864" i="14" s="1"/>
  <c r="G2861" i="14"/>
  <c r="H2861" i="14" s="1"/>
  <c r="G2860" i="14"/>
  <c r="G2862" i="14" s="1"/>
  <c r="H2862" i="14" s="1"/>
  <c r="H2859" i="14"/>
  <c r="G2858" i="14"/>
  <c r="H2858" i="14" s="1"/>
  <c r="G2855" i="14"/>
  <c r="H2855" i="14" s="1"/>
  <c r="G2854" i="14"/>
  <c r="G2856" i="14" s="1"/>
  <c r="H2856" i="14" s="1"/>
  <c r="H2853" i="14"/>
  <c r="G2852" i="14"/>
  <c r="H2852" i="14" s="1"/>
  <c r="G2849" i="14"/>
  <c r="H2849" i="14" s="1"/>
  <c r="G2848" i="14"/>
  <c r="G2850" i="14" s="1"/>
  <c r="H2850" i="14" s="1"/>
  <c r="H2847" i="14"/>
  <c r="G2846" i="14"/>
  <c r="H2846" i="14" s="1"/>
  <c r="G2843" i="14"/>
  <c r="H2843" i="14" s="1"/>
  <c r="G2842" i="14"/>
  <c r="G2844" i="14" s="1"/>
  <c r="H2844" i="14" s="1"/>
  <c r="H2841" i="14"/>
  <c r="G2840" i="14"/>
  <c r="H2840" i="14" s="1"/>
  <c r="G2837" i="14"/>
  <c r="H2837" i="14" s="1"/>
  <c r="G2836" i="14"/>
  <c r="G2838" i="14" s="1"/>
  <c r="H2838" i="14" s="1"/>
  <c r="H2835" i="14"/>
  <c r="G2834" i="14"/>
  <c r="H2834" i="14" s="1"/>
  <c r="G2831" i="14"/>
  <c r="H2831" i="14" s="1"/>
  <c r="G2830" i="14"/>
  <c r="G2832" i="14" s="1"/>
  <c r="H2832" i="14" s="1"/>
  <c r="H2829" i="14"/>
  <c r="G2828" i="14"/>
  <c r="H2828" i="14" s="1"/>
  <c r="G2825" i="14"/>
  <c r="H2825" i="14" s="1"/>
  <c r="G2824" i="14"/>
  <c r="G2826" i="14" s="1"/>
  <c r="H2826" i="14" s="1"/>
  <c r="H2823" i="14"/>
  <c r="G2822" i="14"/>
  <c r="H2822" i="14" s="1"/>
  <c r="G2819" i="14"/>
  <c r="H2819" i="14" s="1"/>
  <c r="G2818" i="14"/>
  <c r="G2820" i="14" s="1"/>
  <c r="H2820" i="14" s="1"/>
  <c r="H2817" i="14"/>
  <c r="G2816" i="14"/>
  <c r="H2816" i="14" s="1"/>
  <c r="G2813" i="14"/>
  <c r="H2813" i="14" s="1"/>
  <c r="G2812" i="14"/>
  <c r="G2814" i="14" s="1"/>
  <c r="H2814" i="14" s="1"/>
  <c r="H2811" i="14"/>
  <c r="G2810" i="14"/>
  <c r="H2810" i="14" s="1"/>
  <c r="G2807" i="14"/>
  <c r="H2807" i="14" s="1"/>
  <c r="G2806" i="14"/>
  <c r="G2808" i="14" s="1"/>
  <c r="H2808" i="14" s="1"/>
  <c r="H2805" i="14"/>
  <c r="G2804" i="14"/>
  <c r="H2804" i="14" s="1"/>
  <c r="G2801" i="14"/>
  <c r="H2801" i="14" s="1"/>
  <c r="G2800" i="14"/>
  <c r="G2802" i="14" s="1"/>
  <c r="H2802" i="14" s="1"/>
  <c r="H2799" i="14"/>
  <c r="G2798" i="14"/>
  <c r="H2798" i="14" s="1"/>
  <c r="G2795" i="14"/>
  <c r="H2795" i="14" s="1"/>
  <c r="G2794" i="14"/>
  <c r="G2796" i="14" s="1"/>
  <c r="H2796" i="14" s="1"/>
  <c r="H2793" i="14"/>
  <c r="G2792" i="14"/>
  <c r="H2792" i="14" s="1"/>
  <c r="G2789" i="14"/>
  <c r="H2789" i="14" s="1"/>
  <c r="G2788" i="14"/>
  <c r="G2790" i="14" s="1"/>
  <c r="H2790" i="14" s="1"/>
  <c r="H2787" i="14"/>
  <c r="G2786" i="14"/>
  <c r="H2786" i="14" s="1"/>
  <c r="G2783" i="14"/>
  <c r="H2783" i="14" s="1"/>
  <c r="G2782" i="14"/>
  <c r="G2784" i="14" s="1"/>
  <c r="H2784" i="14" s="1"/>
  <c r="H2781" i="14"/>
  <c r="G2780" i="14"/>
  <c r="H2780" i="14" s="1"/>
  <c r="G2777" i="14"/>
  <c r="H2777" i="14" s="1"/>
  <c r="G2776" i="14"/>
  <c r="G2778" i="14" s="1"/>
  <c r="H2778" i="14" s="1"/>
  <c r="H2775" i="14"/>
  <c r="H2774" i="14"/>
  <c r="H2773" i="14"/>
  <c r="H2772" i="14"/>
  <c r="H2771" i="14"/>
  <c r="H2770" i="14"/>
  <c r="H2769" i="14"/>
  <c r="H2768" i="14"/>
  <c r="H2767" i="14"/>
  <c r="H2766" i="14"/>
  <c r="H2765" i="14"/>
  <c r="H2764" i="14"/>
  <c r="H2763" i="14"/>
  <c r="H2762" i="14"/>
  <c r="H2761" i="14"/>
  <c r="H2760" i="14"/>
  <c r="H2759" i="14"/>
  <c r="H2758" i="14"/>
  <c r="H2757" i="14"/>
  <c r="H2756" i="14"/>
  <c r="H2755" i="14"/>
  <c r="H2754" i="14"/>
  <c r="H2753" i="14"/>
  <c r="H2752" i="14"/>
  <c r="H2751" i="14"/>
  <c r="H2750" i="14"/>
  <c r="H2749" i="14"/>
  <c r="H2748" i="14"/>
  <c r="H2747" i="14"/>
  <c r="H2746" i="14"/>
  <c r="H2745" i="14"/>
  <c r="H2744" i="14"/>
  <c r="H2743" i="14"/>
  <c r="H2742" i="14"/>
  <c r="H2741" i="14"/>
  <c r="H2740" i="14"/>
  <c r="H2739" i="14"/>
  <c r="H2738" i="14"/>
  <c r="H2737" i="14"/>
  <c r="H2736" i="14"/>
  <c r="H2735" i="14"/>
  <c r="H2734" i="14"/>
  <c r="H2733" i="14"/>
  <c r="H2732" i="14"/>
  <c r="H2731" i="14"/>
  <c r="H2730" i="14"/>
  <c r="H2729" i="14"/>
  <c r="H2728" i="14"/>
  <c r="H2727" i="14"/>
  <c r="H2726" i="14"/>
  <c r="H2725" i="14"/>
  <c r="H2724" i="14"/>
  <c r="H2723" i="14"/>
  <c r="H2722" i="14"/>
  <c r="H2721" i="14"/>
  <c r="H2720" i="14"/>
  <c r="H2719" i="14"/>
  <c r="H2718" i="14"/>
  <c r="H2717" i="14"/>
  <c r="H2716" i="14"/>
  <c r="H2715" i="14"/>
  <c r="H2714" i="14"/>
  <c r="H2713" i="14"/>
  <c r="H2712" i="14"/>
  <c r="H2711" i="14"/>
  <c r="H2710" i="14"/>
  <c r="H2709" i="14"/>
  <c r="H2708" i="14"/>
  <c r="H2707" i="14"/>
  <c r="H2706" i="14"/>
  <c r="H2705" i="14"/>
  <c r="H2704" i="14"/>
  <c r="H2703" i="14"/>
  <c r="H2702" i="14"/>
  <c r="H2701" i="14"/>
  <c r="H2700" i="14"/>
  <c r="H2699" i="14"/>
  <c r="H2698" i="14"/>
  <c r="H2697" i="14"/>
  <c r="H2696" i="14"/>
  <c r="H2695" i="14"/>
  <c r="H2694" i="14"/>
  <c r="H2693" i="14"/>
  <c r="H2692" i="14"/>
  <c r="H2691" i="14"/>
  <c r="H2690" i="14"/>
  <c r="H2689" i="14"/>
  <c r="H2688" i="14"/>
  <c r="H2687" i="14"/>
  <c r="H2686" i="14"/>
  <c r="H2685" i="14"/>
  <c r="H2684" i="14"/>
  <c r="G2683" i="14"/>
  <c r="H2683" i="14" s="1"/>
  <c r="G2682" i="14"/>
  <c r="H2682" i="14" s="1"/>
  <c r="H2681" i="14"/>
  <c r="G2680" i="14"/>
  <c r="H2680" i="14" s="1"/>
  <c r="G2679" i="14"/>
  <c r="H2679" i="14" s="1"/>
  <c r="G2678" i="14"/>
  <c r="H2678" i="14" s="1"/>
  <c r="G2676" i="14"/>
  <c r="G2677" i="14" s="1"/>
  <c r="H2677" i="14" s="1"/>
  <c r="H2675" i="14"/>
  <c r="G2674" i="14"/>
  <c r="H2674" i="14" s="1"/>
  <c r="G2673" i="14"/>
  <c r="H2673" i="14" s="1"/>
  <c r="G2672" i="14"/>
  <c r="H2672" i="14" s="1"/>
  <c r="G2670" i="14"/>
  <c r="G2671" i="14" s="1"/>
  <c r="H2671" i="14" s="1"/>
  <c r="H2669" i="14"/>
  <c r="G2668" i="14"/>
  <c r="H2668" i="14" s="1"/>
  <c r="G2667" i="14"/>
  <c r="H2667" i="14" s="1"/>
  <c r="G2666" i="14"/>
  <c r="H2666" i="14" s="1"/>
  <c r="G2664" i="14"/>
  <c r="G2665" i="14" s="1"/>
  <c r="H2665" i="14" s="1"/>
  <c r="H2663" i="14"/>
  <c r="H2662" i="14"/>
  <c r="G2661" i="14"/>
  <c r="H2661" i="14" s="1"/>
  <c r="G2659" i="14"/>
  <c r="H2659" i="14" s="1"/>
  <c r="H2658" i="14"/>
  <c r="G2657" i="14"/>
  <c r="H2657" i="14" s="1"/>
  <c r="G2656" i="14"/>
  <c r="H2656" i="14" s="1"/>
  <c r="G2654" i="14"/>
  <c r="H2654" i="14" s="1"/>
  <c r="H2653" i="14"/>
  <c r="G2652" i="14"/>
  <c r="H2652" i="14" s="1"/>
  <c r="G2651" i="14"/>
  <c r="H2651" i="14" s="1"/>
  <c r="H2650" i="14"/>
  <c r="H2649" i="14"/>
  <c r="G2648" i="14"/>
  <c r="H2648" i="14" s="1"/>
  <c r="G2647" i="14"/>
  <c r="H2647" i="14" s="1"/>
  <c r="G2646" i="14"/>
  <c r="H2646" i="14" s="1"/>
  <c r="G2645" i="14"/>
  <c r="H2645" i="14" s="1"/>
  <c r="G2644" i="14"/>
  <c r="H2644" i="14" s="1"/>
  <c r="G2643" i="14"/>
  <c r="H2643" i="14" s="1"/>
  <c r="G2642" i="14"/>
  <c r="H2642" i="14" s="1"/>
  <c r="G2641" i="14"/>
  <c r="H2641" i="14" s="1"/>
  <c r="G2640" i="14"/>
  <c r="H2640" i="14" s="1"/>
  <c r="G2639" i="14"/>
  <c r="H2639" i="14" s="1"/>
  <c r="G2638" i="14"/>
  <c r="H2638" i="14" s="1"/>
  <c r="G2637" i="14"/>
  <c r="H2637" i="14" s="1"/>
  <c r="G2636" i="14"/>
  <c r="H2636" i="14" s="1"/>
  <c r="G2635" i="14"/>
  <c r="H2635" i="14" s="1"/>
  <c r="G2634" i="14"/>
  <c r="H2634" i="14" s="1"/>
  <c r="G2633" i="14"/>
  <c r="H2633" i="14" s="1"/>
  <c r="G2632" i="14"/>
  <c r="H2632" i="14" s="1"/>
  <c r="G2631" i="14"/>
  <c r="H2631" i="14" s="1"/>
  <c r="G2630" i="14"/>
  <c r="H2630" i="14" s="1"/>
  <c r="G2629" i="14"/>
  <c r="H2629" i="14" s="1"/>
  <c r="G2628" i="14"/>
  <c r="H2628" i="14" s="1"/>
  <c r="G2627" i="14"/>
  <c r="H2627" i="14" s="1"/>
  <c r="G2626" i="14"/>
  <c r="H2626" i="14" s="1"/>
  <c r="G2625" i="14"/>
  <c r="H2625" i="14" s="1"/>
  <c r="G2624" i="14"/>
  <c r="H2624" i="14" s="1"/>
  <c r="G2623" i="14"/>
  <c r="H2623" i="14" s="1"/>
  <c r="G2622" i="14"/>
  <c r="H2622" i="14" s="1"/>
  <c r="G2621" i="14"/>
  <c r="H2621" i="14" s="1"/>
  <c r="G2620" i="14"/>
  <c r="H2620" i="14" s="1"/>
  <c r="G2619" i="14"/>
  <c r="H2619" i="14" s="1"/>
  <c r="G2618" i="14"/>
  <c r="H2618" i="14" s="1"/>
  <c r="G2617" i="14"/>
  <c r="H2617" i="14" s="1"/>
  <c r="G2616" i="14"/>
  <c r="H2616" i="14" s="1"/>
  <c r="G2615" i="14"/>
  <c r="H2615" i="14" s="1"/>
  <c r="G2614" i="14"/>
  <c r="H2614" i="14" s="1"/>
  <c r="G2613" i="14"/>
  <c r="H2613" i="14" s="1"/>
  <c r="G2612" i="14"/>
  <c r="H2612" i="14" s="1"/>
  <c r="G2611" i="14"/>
  <c r="H2611" i="14" s="1"/>
  <c r="G2610" i="14"/>
  <c r="H2610" i="14" s="1"/>
  <c r="G2609" i="14"/>
  <c r="H2609" i="14" s="1"/>
  <c r="G2608" i="14"/>
  <c r="H2608" i="14" s="1"/>
  <c r="G2607" i="14"/>
  <c r="H2607" i="14" s="1"/>
  <c r="G2606" i="14"/>
  <c r="H2606" i="14" s="1"/>
  <c r="G2605" i="14"/>
  <c r="H2605" i="14" s="1"/>
  <c r="G2604" i="14"/>
  <c r="H2604" i="14" s="1"/>
  <c r="G2603" i="14"/>
  <c r="H2603" i="14" s="1"/>
  <c r="G2602" i="14"/>
  <c r="H2602" i="14" s="1"/>
  <c r="G2601" i="14"/>
  <c r="H2601" i="14" s="1"/>
  <c r="G2600" i="14"/>
  <c r="H2600" i="14" s="1"/>
  <c r="G2599" i="14"/>
  <c r="H2599" i="14" s="1"/>
  <c r="G2598" i="14"/>
  <c r="H2598" i="14" s="1"/>
  <c r="G2597" i="14"/>
  <c r="H2597" i="14" s="1"/>
  <c r="G2596" i="14"/>
  <c r="H2596" i="14" s="1"/>
  <c r="G2595" i="14"/>
  <c r="H2595" i="14" s="1"/>
  <c r="G2594" i="14"/>
  <c r="H2594" i="14" s="1"/>
  <c r="G2593" i="14"/>
  <c r="H2593" i="14" s="1"/>
  <c r="G2592" i="14"/>
  <c r="H2592" i="14" s="1"/>
  <c r="G2591" i="14"/>
  <c r="H2591" i="14" s="1"/>
  <c r="G2590" i="14"/>
  <c r="H2590" i="14" s="1"/>
  <c r="G2589" i="14"/>
  <c r="H2589" i="14" s="1"/>
  <c r="G2588" i="14"/>
  <c r="H2588" i="14" s="1"/>
  <c r="G2587" i="14"/>
  <c r="H2587" i="14" s="1"/>
  <c r="G2586" i="14"/>
  <c r="H2586" i="14" s="1"/>
  <c r="G2585" i="14"/>
  <c r="H2585" i="14" s="1"/>
  <c r="G2584" i="14"/>
  <c r="H2584" i="14" s="1"/>
  <c r="G2583" i="14"/>
  <c r="H2583" i="14" s="1"/>
  <c r="G2582" i="14"/>
  <c r="H2582" i="14" s="1"/>
  <c r="H2581" i="14"/>
  <c r="H2580" i="14"/>
  <c r="G2579" i="14"/>
  <c r="H2579" i="14" s="1"/>
  <c r="G2578" i="14"/>
  <c r="H2578" i="14" s="1"/>
  <c r="G2577" i="14"/>
  <c r="H2577" i="14" s="1"/>
  <c r="G2576" i="14"/>
  <c r="H2576" i="14" s="1"/>
  <c r="G2575" i="14"/>
  <c r="H2575" i="14" s="1"/>
  <c r="G2574" i="14"/>
  <c r="H2574" i="14" s="1"/>
  <c r="G2573" i="14"/>
  <c r="H2573" i="14" s="1"/>
  <c r="G2572" i="14"/>
  <c r="H2572" i="14" s="1"/>
  <c r="G2571" i="14"/>
  <c r="H2571" i="14" s="1"/>
  <c r="G2570" i="14"/>
  <c r="H2570" i="14" s="1"/>
  <c r="G2569" i="14"/>
  <c r="H2569" i="14" s="1"/>
  <c r="G2568" i="14"/>
  <c r="H2568" i="14" s="1"/>
  <c r="G2567" i="14"/>
  <c r="H2567" i="14" s="1"/>
  <c r="G2566" i="14"/>
  <c r="H2566" i="14" s="1"/>
  <c r="G2565" i="14"/>
  <c r="H2565" i="14" s="1"/>
  <c r="G2564" i="14"/>
  <c r="H2564" i="14" s="1"/>
  <c r="G2563" i="14"/>
  <c r="H2563" i="14" s="1"/>
  <c r="G2562" i="14"/>
  <c r="H2562" i="14" s="1"/>
  <c r="G2561" i="14"/>
  <c r="H2561" i="14" s="1"/>
  <c r="G2560" i="14"/>
  <c r="H2560" i="14" s="1"/>
  <c r="G2559" i="14"/>
  <c r="H2559" i="14" s="1"/>
  <c r="G2558" i="14"/>
  <c r="H2558" i="14" s="1"/>
  <c r="G2557" i="14"/>
  <c r="H2557" i="14" s="1"/>
  <c r="G2556" i="14"/>
  <c r="H2556" i="14" s="1"/>
  <c r="G2555" i="14"/>
  <c r="H2555" i="14" s="1"/>
  <c r="G2554" i="14"/>
  <c r="H2554" i="14" s="1"/>
  <c r="G2553" i="14"/>
  <c r="H2553" i="14" s="1"/>
  <c r="G2552" i="14"/>
  <c r="H2552" i="14" s="1"/>
  <c r="G2551" i="14"/>
  <c r="H2551" i="14" s="1"/>
  <c r="G2550" i="14"/>
  <c r="H2550" i="14" s="1"/>
  <c r="G2549" i="14"/>
  <c r="H2549" i="14" s="1"/>
  <c r="G2548" i="14"/>
  <c r="H2548" i="14" s="1"/>
  <c r="G2547" i="14"/>
  <c r="H2547" i="14" s="1"/>
  <c r="G2546" i="14"/>
  <c r="H2546" i="14" s="1"/>
  <c r="G2545" i="14"/>
  <c r="H2545" i="14" s="1"/>
  <c r="G2544" i="14"/>
  <c r="H2544" i="14" s="1"/>
  <c r="G2543" i="14"/>
  <c r="H2543" i="14" s="1"/>
  <c r="G2542" i="14"/>
  <c r="H2542" i="14" s="1"/>
  <c r="G2541" i="14"/>
  <c r="H2541" i="14" s="1"/>
  <c r="G2540" i="14"/>
  <c r="H2540" i="14" s="1"/>
  <c r="G2539" i="14"/>
  <c r="H2539" i="14" s="1"/>
  <c r="G2538" i="14"/>
  <c r="H2538" i="14" s="1"/>
  <c r="G2537" i="14"/>
  <c r="H2537" i="14" s="1"/>
  <c r="G2536" i="14"/>
  <c r="H2536" i="14" s="1"/>
  <c r="G2535" i="14"/>
  <c r="H2535" i="14" s="1"/>
  <c r="G2534" i="14"/>
  <c r="H2534" i="14" s="1"/>
  <c r="G2533" i="14"/>
  <c r="H2533" i="14" s="1"/>
  <c r="G2532" i="14"/>
  <c r="H2532" i="14" s="1"/>
  <c r="G2531" i="14"/>
  <c r="H2531" i="14" s="1"/>
  <c r="G2530" i="14"/>
  <c r="H2530" i="14" s="1"/>
  <c r="G2529" i="14"/>
  <c r="H2529" i="14" s="1"/>
  <c r="G2528" i="14"/>
  <c r="H2528" i="14" s="1"/>
  <c r="G2527" i="14"/>
  <c r="H2527" i="14" s="1"/>
  <c r="G2526" i="14"/>
  <c r="H2526" i="14" s="1"/>
  <c r="G2525" i="14"/>
  <c r="H2525" i="14" s="1"/>
  <c r="G2524" i="14"/>
  <c r="H2524" i="14" s="1"/>
  <c r="G2523" i="14"/>
  <c r="H2523" i="14" s="1"/>
  <c r="G2522" i="14"/>
  <c r="H2522" i="14" s="1"/>
  <c r="G2521" i="14"/>
  <c r="H2521" i="14" s="1"/>
  <c r="G2520" i="14"/>
  <c r="H2520" i="14" s="1"/>
  <c r="G2519" i="14"/>
  <c r="H2519" i="14" s="1"/>
  <c r="G2518" i="14"/>
  <c r="H2518" i="14" s="1"/>
  <c r="G2517" i="14"/>
  <c r="H2517" i="14" s="1"/>
  <c r="G2516" i="14"/>
  <c r="H2516" i="14" s="1"/>
  <c r="G2515" i="14"/>
  <c r="H2515" i="14" s="1"/>
  <c r="G2514" i="14"/>
  <c r="H2514" i="14" s="1"/>
  <c r="G2513" i="14"/>
  <c r="H2513" i="14" s="1"/>
  <c r="H2512" i="14"/>
  <c r="H2511" i="14"/>
  <c r="G2510" i="14"/>
  <c r="H2510" i="14" s="1"/>
  <c r="G2509" i="14"/>
  <c r="H2509" i="14" s="1"/>
  <c r="G2508" i="14"/>
  <c r="H2508" i="14" s="1"/>
  <c r="G2507" i="14"/>
  <c r="H2507" i="14" s="1"/>
  <c r="G2506" i="14"/>
  <c r="H2506" i="14" s="1"/>
  <c r="G2505" i="14"/>
  <c r="H2505" i="14" s="1"/>
  <c r="G2504" i="14"/>
  <c r="H2504" i="14" s="1"/>
  <c r="G2503" i="14"/>
  <c r="H2503" i="14" s="1"/>
  <c r="G2502" i="14"/>
  <c r="H2502" i="14" s="1"/>
  <c r="G2501" i="14"/>
  <c r="H2501" i="14" s="1"/>
  <c r="G2500" i="14"/>
  <c r="H2500" i="14" s="1"/>
  <c r="G2499" i="14"/>
  <c r="H2499" i="14" s="1"/>
  <c r="G2498" i="14"/>
  <c r="H2498" i="14" s="1"/>
  <c r="G2497" i="14"/>
  <c r="H2497" i="14" s="1"/>
  <c r="G2496" i="14"/>
  <c r="H2496" i="14" s="1"/>
  <c r="G2495" i="14"/>
  <c r="H2495" i="14" s="1"/>
  <c r="G2494" i="14"/>
  <c r="H2494" i="14" s="1"/>
  <c r="G2493" i="14"/>
  <c r="H2493" i="14" s="1"/>
  <c r="G2492" i="14"/>
  <c r="H2492" i="14" s="1"/>
  <c r="G2491" i="14"/>
  <c r="H2491" i="14" s="1"/>
  <c r="G2490" i="14"/>
  <c r="H2490" i="14" s="1"/>
  <c r="G2489" i="14"/>
  <c r="H2489" i="14" s="1"/>
  <c r="G2488" i="14"/>
  <c r="H2488" i="14" s="1"/>
  <c r="G2487" i="14"/>
  <c r="H2487" i="14" s="1"/>
  <c r="G2486" i="14"/>
  <c r="H2486" i="14" s="1"/>
  <c r="G2485" i="14"/>
  <c r="H2485" i="14" s="1"/>
  <c r="G2484" i="14"/>
  <c r="H2484" i="14" s="1"/>
  <c r="G2483" i="14"/>
  <c r="H2483" i="14" s="1"/>
  <c r="G2482" i="14"/>
  <c r="H2482" i="14" s="1"/>
  <c r="G2481" i="14"/>
  <c r="H2481" i="14" s="1"/>
  <c r="G2480" i="14"/>
  <c r="H2480" i="14" s="1"/>
  <c r="G2479" i="14"/>
  <c r="H2479" i="14" s="1"/>
  <c r="G2478" i="14"/>
  <c r="H2478" i="14" s="1"/>
  <c r="G2477" i="14"/>
  <c r="H2477" i="14" s="1"/>
  <c r="G2476" i="14"/>
  <c r="H2476" i="14" s="1"/>
  <c r="G2475" i="14"/>
  <c r="H2475" i="14" s="1"/>
  <c r="G2474" i="14"/>
  <c r="H2474" i="14" s="1"/>
  <c r="G2473" i="14"/>
  <c r="H2473" i="14" s="1"/>
  <c r="G2472" i="14"/>
  <c r="H2472" i="14" s="1"/>
  <c r="G2471" i="14"/>
  <c r="H2471" i="14" s="1"/>
  <c r="G2470" i="14"/>
  <c r="H2470" i="14" s="1"/>
  <c r="G2469" i="14"/>
  <c r="H2469" i="14" s="1"/>
  <c r="G2468" i="14"/>
  <c r="H2468" i="14" s="1"/>
  <c r="G2467" i="14"/>
  <c r="H2467" i="14" s="1"/>
  <c r="G2466" i="14"/>
  <c r="H2466" i="14" s="1"/>
  <c r="G2465" i="14"/>
  <c r="H2465" i="14" s="1"/>
  <c r="G2464" i="14"/>
  <c r="H2464" i="14" s="1"/>
  <c r="G2463" i="14"/>
  <c r="H2463" i="14" s="1"/>
  <c r="G2462" i="14"/>
  <c r="H2462" i="14" s="1"/>
  <c r="G2461" i="14"/>
  <c r="H2461" i="14" s="1"/>
  <c r="G2460" i="14"/>
  <c r="H2460" i="14" s="1"/>
  <c r="G2459" i="14"/>
  <c r="H2459" i="14" s="1"/>
  <c r="G2458" i="14"/>
  <c r="H2458" i="14" s="1"/>
  <c r="G2457" i="14"/>
  <c r="H2457" i="14" s="1"/>
  <c r="G2456" i="14"/>
  <c r="H2456" i="14" s="1"/>
  <c r="G2455" i="14"/>
  <c r="H2455" i="14" s="1"/>
  <c r="G2454" i="14"/>
  <c r="H2454" i="14" s="1"/>
  <c r="G2453" i="14"/>
  <c r="H2453" i="14" s="1"/>
  <c r="G2452" i="14"/>
  <c r="H2452" i="14" s="1"/>
  <c r="G2451" i="14"/>
  <c r="H2451" i="14" s="1"/>
  <c r="G2450" i="14"/>
  <c r="H2450" i="14" s="1"/>
  <c r="G2449" i="14"/>
  <c r="H2449" i="14" s="1"/>
  <c r="G2448" i="14"/>
  <c r="H2448" i="14" s="1"/>
  <c r="G2447" i="14"/>
  <c r="H2447" i="14" s="1"/>
  <c r="G2446" i="14"/>
  <c r="H2446" i="14" s="1"/>
  <c r="G2445" i="14"/>
  <c r="H2445" i="14" s="1"/>
  <c r="G2444" i="14"/>
  <c r="H2444" i="14" s="1"/>
  <c r="H2443" i="14"/>
  <c r="H2442" i="14"/>
  <c r="G2441" i="14"/>
  <c r="H2441" i="14" s="1"/>
  <c r="G2440" i="14"/>
  <c r="H2440" i="14" s="1"/>
  <c r="G2439" i="14"/>
  <c r="H2439" i="14" s="1"/>
  <c r="G2438" i="14"/>
  <c r="H2438" i="14" s="1"/>
  <c r="G2437" i="14"/>
  <c r="H2437" i="14" s="1"/>
  <c r="G2436" i="14"/>
  <c r="H2436" i="14" s="1"/>
  <c r="G2435" i="14"/>
  <c r="H2435" i="14" s="1"/>
  <c r="G2434" i="14"/>
  <c r="H2434" i="14" s="1"/>
  <c r="G2433" i="14"/>
  <c r="H2433" i="14" s="1"/>
  <c r="G2432" i="14"/>
  <c r="H2432" i="14" s="1"/>
  <c r="G2431" i="14"/>
  <c r="H2431" i="14" s="1"/>
  <c r="G2430" i="14"/>
  <c r="H2430" i="14" s="1"/>
  <c r="G2429" i="14"/>
  <c r="H2429" i="14" s="1"/>
  <c r="G2428" i="14"/>
  <c r="H2428" i="14" s="1"/>
  <c r="G2427" i="14"/>
  <c r="H2427" i="14" s="1"/>
  <c r="G2426" i="14"/>
  <c r="H2426" i="14" s="1"/>
  <c r="G2425" i="14"/>
  <c r="H2425" i="14" s="1"/>
  <c r="G2424" i="14"/>
  <c r="H2424" i="14" s="1"/>
  <c r="G2423" i="14"/>
  <c r="H2423" i="14" s="1"/>
  <c r="G2422" i="14"/>
  <c r="H2422" i="14" s="1"/>
  <c r="G2421" i="14"/>
  <c r="H2421" i="14" s="1"/>
  <c r="G2420" i="14"/>
  <c r="H2420" i="14" s="1"/>
  <c r="G2419" i="14"/>
  <c r="H2419" i="14" s="1"/>
  <c r="G2418" i="14"/>
  <c r="H2418" i="14" s="1"/>
  <c r="G2417" i="14"/>
  <c r="H2417" i="14" s="1"/>
  <c r="G2416" i="14"/>
  <c r="H2416" i="14" s="1"/>
  <c r="G2415" i="14"/>
  <c r="H2415" i="14" s="1"/>
  <c r="G2414" i="14"/>
  <c r="H2414" i="14" s="1"/>
  <c r="G2413" i="14"/>
  <c r="H2413" i="14" s="1"/>
  <c r="G2412" i="14"/>
  <c r="H2412" i="14" s="1"/>
  <c r="G2411" i="14"/>
  <c r="H2411" i="14" s="1"/>
  <c r="G2410" i="14"/>
  <c r="H2410" i="14" s="1"/>
  <c r="G2409" i="14"/>
  <c r="H2409" i="14" s="1"/>
  <c r="G2408" i="14"/>
  <c r="H2408" i="14" s="1"/>
  <c r="G2407" i="14"/>
  <c r="H2407" i="14" s="1"/>
  <c r="G2406" i="14"/>
  <c r="H2406" i="14" s="1"/>
  <c r="G2405" i="14"/>
  <c r="H2405" i="14" s="1"/>
  <c r="G2404" i="14"/>
  <c r="H2404" i="14" s="1"/>
  <c r="G2403" i="14"/>
  <c r="H2403" i="14" s="1"/>
  <c r="G2402" i="14"/>
  <c r="H2402" i="14" s="1"/>
  <c r="G2401" i="14"/>
  <c r="H2401" i="14" s="1"/>
  <c r="G2400" i="14"/>
  <c r="H2400" i="14" s="1"/>
  <c r="G2399" i="14"/>
  <c r="H2399" i="14" s="1"/>
  <c r="G2398" i="14"/>
  <c r="H2398" i="14" s="1"/>
  <c r="G2397" i="14"/>
  <c r="H2397" i="14" s="1"/>
  <c r="G2396" i="14"/>
  <c r="H2396" i="14" s="1"/>
  <c r="G2395" i="14"/>
  <c r="H2395" i="14" s="1"/>
  <c r="G2394" i="14"/>
  <c r="H2394" i="14" s="1"/>
  <c r="G2393" i="14"/>
  <c r="H2393" i="14" s="1"/>
  <c r="G2392" i="14"/>
  <c r="H2392" i="14" s="1"/>
  <c r="G2391" i="14"/>
  <c r="H2391" i="14" s="1"/>
  <c r="G2390" i="14"/>
  <c r="H2390" i="14" s="1"/>
  <c r="G2389" i="14"/>
  <c r="H2389" i="14" s="1"/>
  <c r="G2388" i="14"/>
  <c r="H2388" i="14" s="1"/>
  <c r="G2387" i="14"/>
  <c r="H2387" i="14" s="1"/>
  <c r="G2386" i="14"/>
  <c r="H2386" i="14" s="1"/>
  <c r="G2385" i="14"/>
  <c r="H2385" i="14" s="1"/>
  <c r="G2384" i="14"/>
  <c r="H2384" i="14" s="1"/>
  <c r="G2383" i="14"/>
  <c r="H2383" i="14" s="1"/>
  <c r="G2382" i="14"/>
  <c r="H2382" i="14" s="1"/>
  <c r="G2381" i="14"/>
  <c r="H2381" i="14" s="1"/>
  <c r="G2380" i="14"/>
  <c r="H2380" i="14" s="1"/>
  <c r="G2379" i="14"/>
  <c r="H2379" i="14" s="1"/>
  <c r="G2378" i="14"/>
  <c r="H2378" i="14" s="1"/>
  <c r="G2377" i="14"/>
  <c r="H2377" i="14" s="1"/>
  <c r="G2376" i="14"/>
  <c r="H2376" i="14" s="1"/>
  <c r="G2375" i="14"/>
  <c r="H2375" i="14" s="1"/>
  <c r="H2374" i="14"/>
  <c r="G2373" i="14"/>
  <c r="H2373" i="14" s="1"/>
  <c r="G2372" i="14"/>
  <c r="H2372" i="14" s="1"/>
  <c r="G2371" i="14"/>
  <c r="H2371" i="14" s="1"/>
  <c r="G2370" i="14"/>
  <c r="H2370" i="14" s="1"/>
  <c r="H2369" i="14"/>
  <c r="G2368" i="14"/>
  <c r="H2368" i="14" s="1"/>
  <c r="G2367" i="14"/>
  <c r="H2367" i="14" s="1"/>
  <c r="G2366" i="14"/>
  <c r="H2366" i="14" s="1"/>
  <c r="G2365" i="14"/>
  <c r="H2365" i="14" s="1"/>
  <c r="H2364" i="14"/>
  <c r="H2363" i="14"/>
  <c r="G2362" i="14"/>
  <c r="H2362" i="14" s="1"/>
  <c r="G2361" i="14"/>
  <c r="H2361" i="14" s="1"/>
  <c r="H2360" i="14"/>
  <c r="H2359" i="14"/>
  <c r="G2358" i="14"/>
  <c r="H2358" i="14" s="1"/>
  <c r="G2357" i="14"/>
  <c r="H2357" i="14" s="1"/>
  <c r="G2356" i="14"/>
  <c r="H2356" i="14" s="1"/>
  <c r="G2355" i="14"/>
  <c r="H2355" i="14" s="1"/>
  <c r="H2354" i="14"/>
  <c r="G2353" i="14"/>
  <c r="H2353" i="14" s="1"/>
  <c r="G2352" i="14"/>
  <c r="H2352" i="14" s="1"/>
  <c r="G2351" i="14"/>
  <c r="H2351" i="14" s="1"/>
  <c r="G2350" i="14"/>
  <c r="H2350" i="14" s="1"/>
  <c r="H2349" i="14"/>
  <c r="G2348" i="14"/>
  <c r="H2348" i="14" s="1"/>
  <c r="G2347" i="14"/>
  <c r="H2347" i="14" s="1"/>
  <c r="G2346" i="14"/>
  <c r="H2346" i="14" s="1"/>
  <c r="G2345" i="14"/>
  <c r="H2345" i="14" s="1"/>
  <c r="H2344" i="14"/>
  <c r="G2343" i="14"/>
  <c r="H2343" i="14" s="1"/>
  <c r="G2342" i="14"/>
  <c r="H2342" i="14" s="1"/>
  <c r="G2341" i="14"/>
  <c r="H2341" i="14" s="1"/>
  <c r="G2340" i="14"/>
  <c r="H2340" i="14" s="1"/>
  <c r="H2339" i="14"/>
  <c r="G2338" i="14"/>
  <c r="H2338" i="14" s="1"/>
  <c r="G2337" i="14"/>
  <c r="H2337" i="14" s="1"/>
  <c r="G2336" i="14"/>
  <c r="H2336" i="14" s="1"/>
  <c r="G2335" i="14"/>
  <c r="H2335" i="14" s="1"/>
  <c r="H2334" i="14"/>
  <c r="G2333" i="14"/>
  <c r="H2333" i="14" s="1"/>
  <c r="G2332" i="14"/>
  <c r="H2332" i="14" s="1"/>
  <c r="G2331" i="14"/>
  <c r="H2331" i="14" s="1"/>
  <c r="H2330" i="14"/>
  <c r="G2329" i="14"/>
  <c r="H2329" i="14" s="1"/>
  <c r="G2328" i="14"/>
  <c r="H2328" i="14" s="1"/>
  <c r="G2327" i="14"/>
  <c r="H2327" i="14" s="1"/>
  <c r="H2326" i="14"/>
  <c r="G2325" i="14"/>
  <c r="H2325" i="14" s="1"/>
  <c r="G2324" i="14"/>
  <c r="H2324" i="14" s="1"/>
  <c r="G2323" i="14"/>
  <c r="H2323" i="14" s="1"/>
  <c r="H2322" i="14"/>
  <c r="G2321" i="14"/>
  <c r="H2321" i="14" s="1"/>
  <c r="G2320" i="14"/>
  <c r="H2320" i="14" s="1"/>
  <c r="G2319" i="14"/>
  <c r="H2319" i="14" s="1"/>
  <c r="H2318" i="14"/>
  <c r="G2317" i="14"/>
  <c r="H2317" i="14" s="1"/>
  <c r="G2316" i="14"/>
  <c r="H2316" i="14" s="1"/>
  <c r="G2315" i="14"/>
  <c r="H2315" i="14" s="1"/>
  <c r="H2314" i="14"/>
  <c r="G2313" i="14"/>
  <c r="H2313" i="14" s="1"/>
  <c r="G2312" i="14"/>
  <c r="H2312" i="14" s="1"/>
  <c r="G2311" i="14"/>
  <c r="H2311" i="14" s="1"/>
  <c r="H2310" i="14"/>
  <c r="G2309" i="14"/>
  <c r="H2309" i="14" s="1"/>
  <c r="G2308" i="14"/>
  <c r="H2308" i="14" s="1"/>
  <c r="G2307" i="14"/>
  <c r="H2307" i="14" s="1"/>
  <c r="G2306" i="14"/>
  <c r="H2306" i="14" s="1"/>
  <c r="H2305" i="14"/>
  <c r="G2304" i="14"/>
  <c r="H2304" i="14" s="1"/>
  <c r="G2303" i="14"/>
  <c r="H2303" i="14" s="1"/>
  <c r="G2302" i="14"/>
  <c r="H2302" i="14" s="1"/>
  <c r="G2301" i="14"/>
  <c r="H2301" i="14" s="1"/>
  <c r="H2300" i="14"/>
  <c r="H2299" i="14"/>
  <c r="G2298" i="14"/>
  <c r="H2298" i="14" s="1"/>
  <c r="G2297" i="14"/>
  <c r="H2297" i="14" s="1"/>
  <c r="H2296" i="14"/>
  <c r="H2295" i="14"/>
  <c r="H2294" i="14"/>
  <c r="G2293" i="14"/>
  <c r="H2293" i="14" s="1"/>
  <c r="G2292" i="14"/>
  <c r="H2292" i="14" s="1"/>
  <c r="H2291" i="14"/>
  <c r="H2290" i="14"/>
  <c r="H2289" i="14"/>
  <c r="G2288" i="14"/>
  <c r="H2288" i="14" s="1"/>
  <c r="H2287" i="14"/>
  <c r="H2286" i="14"/>
  <c r="H2285" i="14"/>
  <c r="G2284" i="14"/>
  <c r="H2284" i="14" s="1"/>
  <c r="G2283" i="14"/>
  <c r="H2283" i="14" s="1"/>
  <c r="G2282" i="14"/>
  <c r="H2282" i="14" s="1"/>
  <c r="G2281" i="14"/>
  <c r="H2281" i="14" s="1"/>
  <c r="H2280" i="14"/>
  <c r="G2279" i="14"/>
  <c r="H2279" i="14" s="1"/>
  <c r="G2278" i="14"/>
  <c r="H2278" i="14" s="1"/>
  <c r="G2277" i="14"/>
  <c r="H2277" i="14" s="1"/>
  <c r="G2276" i="14"/>
  <c r="H2276" i="14" s="1"/>
  <c r="H2275" i="14"/>
  <c r="G2274" i="14"/>
  <c r="H2274" i="14" s="1"/>
  <c r="G2273" i="14"/>
  <c r="H2273" i="14" s="1"/>
  <c r="G2272" i="14"/>
  <c r="H2272" i="14" s="1"/>
  <c r="G2271" i="14"/>
  <c r="H2271" i="14" s="1"/>
  <c r="H2270" i="14"/>
  <c r="G2269" i="14"/>
  <c r="H2269" i="14" s="1"/>
  <c r="G2268" i="14"/>
  <c r="H2268" i="14" s="1"/>
  <c r="G2267" i="14"/>
  <c r="H2267" i="14" s="1"/>
  <c r="G2266" i="14"/>
  <c r="H2266" i="14" s="1"/>
  <c r="H2265" i="14"/>
  <c r="G2264" i="14"/>
  <c r="H2264" i="14" s="1"/>
  <c r="G2263" i="14"/>
  <c r="H2263" i="14" s="1"/>
  <c r="G2262" i="14"/>
  <c r="H2262" i="14" s="1"/>
  <c r="G2261" i="14"/>
  <c r="H2261" i="14" s="1"/>
  <c r="H2260" i="14"/>
  <c r="G2259" i="14"/>
  <c r="H2259" i="14" s="1"/>
  <c r="G2258" i="14"/>
  <c r="H2258" i="14" s="1"/>
  <c r="G2257" i="14"/>
  <c r="H2257" i="14" s="1"/>
  <c r="G2256" i="14"/>
  <c r="H2256" i="14" s="1"/>
  <c r="H2255" i="14"/>
  <c r="G2254" i="14"/>
  <c r="H2254" i="14" s="1"/>
  <c r="G2253" i="14"/>
  <c r="H2253" i="14" s="1"/>
  <c r="G2252" i="14"/>
  <c r="H2252" i="14" s="1"/>
  <c r="G2251" i="14"/>
  <c r="H2251" i="14" s="1"/>
  <c r="H2250" i="14"/>
  <c r="G2249" i="14"/>
  <c r="H2249" i="14" s="1"/>
  <c r="G2248" i="14"/>
  <c r="H2248" i="14" s="1"/>
  <c r="G2247" i="14"/>
  <c r="H2247" i="14" s="1"/>
  <c r="G2246" i="14"/>
  <c r="H2246" i="14" s="1"/>
  <c r="H2245" i="14"/>
  <c r="G2244" i="14"/>
  <c r="H2244" i="14" s="1"/>
  <c r="G2243" i="14"/>
  <c r="H2243" i="14" s="1"/>
  <c r="G2242" i="14"/>
  <c r="H2242" i="14" s="1"/>
  <c r="G2241" i="14"/>
  <c r="H2241" i="14" s="1"/>
  <c r="H2240" i="14"/>
  <c r="G2239" i="14"/>
  <c r="H2239" i="14" s="1"/>
  <c r="G2238" i="14"/>
  <c r="H2238" i="14" s="1"/>
  <c r="G2237" i="14"/>
  <c r="H2237" i="14" s="1"/>
  <c r="G2236" i="14"/>
  <c r="H2236" i="14" s="1"/>
  <c r="H2235" i="14"/>
  <c r="G2234" i="14"/>
  <c r="H2234" i="14" s="1"/>
  <c r="G2233" i="14"/>
  <c r="H2233" i="14" s="1"/>
  <c r="G2232" i="14"/>
  <c r="H2232" i="14" s="1"/>
  <c r="G2231" i="14"/>
  <c r="H2231" i="14" s="1"/>
  <c r="H2230" i="14"/>
  <c r="G2229" i="14"/>
  <c r="H2229" i="14" s="1"/>
  <c r="G2228" i="14"/>
  <c r="H2228" i="14" s="1"/>
  <c r="G2227" i="14"/>
  <c r="H2227" i="14" s="1"/>
  <c r="G2226" i="14"/>
  <c r="H2226" i="14" s="1"/>
  <c r="H2225" i="14"/>
  <c r="G2224" i="14"/>
  <c r="H2224" i="14" s="1"/>
  <c r="G2223" i="14"/>
  <c r="H2223" i="14" s="1"/>
  <c r="H2222" i="14"/>
  <c r="G2221" i="14"/>
  <c r="H2221" i="14" s="1"/>
  <c r="H2220" i="14"/>
  <c r="G2219" i="14"/>
  <c r="H2219" i="14" s="1"/>
  <c r="G2218" i="14"/>
  <c r="H2218" i="14" s="1"/>
  <c r="G2217" i="14"/>
  <c r="H2217" i="14" s="1"/>
  <c r="H2216" i="14"/>
  <c r="G2215" i="14"/>
  <c r="H2215" i="14" s="1"/>
  <c r="G2214" i="14"/>
  <c r="H2214" i="14" s="1"/>
  <c r="G2213" i="14"/>
  <c r="H2213" i="14" s="1"/>
  <c r="H2212" i="14"/>
  <c r="G2211" i="14"/>
  <c r="H2211" i="14" s="1"/>
  <c r="G2210" i="14"/>
  <c r="H2210" i="14" s="1"/>
  <c r="G2209" i="14"/>
  <c r="H2209" i="14" s="1"/>
  <c r="H2208" i="14"/>
  <c r="G2207" i="14"/>
  <c r="H2207" i="14" s="1"/>
  <c r="G2206" i="14"/>
  <c r="H2206" i="14" s="1"/>
  <c r="G2205" i="14"/>
  <c r="H2205" i="14" s="1"/>
  <c r="H2204" i="14"/>
  <c r="G2203" i="14"/>
  <c r="H2203" i="14" s="1"/>
  <c r="G2202" i="14"/>
  <c r="H2202" i="14" s="1"/>
  <c r="G2201" i="14"/>
  <c r="H2201" i="14" s="1"/>
  <c r="G2200" i="14"/>
  <c r="H2200" i="14" s="1"/>
  <c r="H2199" i="14"/>
  <c r="G2198" i="14"/>
  <c r="H2198" i="14" s="1"/>
  <c r="G2197" i="14"/>
  <c r="H2197" i="14" s="1"/>
  <c r="H2196" i="14"/>
  <c r="G2195" i="14"/>
  <c r="H2195" i="14" s="1"/>
  <c r="G2194" i="14"/>
  <c r="H2194" i="14" s="1"/>
  <c r="H2193" i="14"/>
  <c r="G2192" i="14"/>
  <c r="H2192" i="14" s="1"/>
  <c r="G2191" i="14"/>
  <c r="H2191" i="14" s="1"/>
  <c r="G2190" i="14"/>
  <c r="H2190" i="14" s="1"/>
  <c r="G2189" i="14"/>
  <c r="H2189" i="14" s="1"/>
  <c r="H2188" i="14"/>
  <c r="G2187" i="14"/>
  <c r="H2187" i="14" s="1"/>
  <c r="G2186" i="14"/>
  <c r="H2186" i="14" s="1"/>
  <c r="G2185" i="14"/>
  <c r="H2185" i="14" s="1"/>
  <c r="G2184" i="14"/>
  <c r="H2184" i="14" s="1"/>
  <c r="H2183" i="14"/>
  <c r="G2182" i="14"/>
  <c r="H2182" i="14" s="1"/>
  <c r="G2181" i="14"/>
  <c r="H2181" i="14" s="1"/>
  <c r="G2180" i="14"/>
  <c r="H2180" i="14" s="1"/>
  <c r="G2179" i="14"/>
  <c r="H2179" i="14" s="1"/>
  <c r="H2178" i="14"/>
  <c r="G2177" i="14"/>
  <c r="H2177" i="14" s="1"/>
  <c r="G2176" i="14"/>
  <c r="H2176" i="14" s="1"/>
  <c r="G2175" i="14"/>
  <c r="H2175" i="14" s="1"/>
  <c r="H2174" i="14"/>
  <c r="G2173" i="14"/>
  <c r="H2173" i="14" s="1"/>
  <c r="G2172" i="14"/>
  <c r="H2172" i="14" s="1"/>
  <c r="H2171" i="14"/>
  <c r="G2170" i="14"/>
  <c r="H2170" i="14" s="1"/>
  <c r="G2169" i="14"/>
  <c r="H2169" i="14" s="1"/>
  <c r="G2168" i="14"/>
  <c r="H2168" i="14" s="1"/>
  <c r="G2167" i="14"/>
  <c r="H2167" i="14" s="1"/>
  <c r="H2166" i="14"/>
  <c r="G2165" i="14"/>
  <c r="H2165" i="14" s="1"/>
  <c r="G2164" i="14"/>
  <c r="H2164" i="14" s="1"/>
  <c r="G2163" i="14"/>
  <c r="H2163" i="14" s="1"/>
  <c r="H2162" i="14"/>
  <c r="G2161" i="14"/>
  <c r="H2161" i="14" s="1"/>
  <c r="G2160" i="14"/>
  <c r="H2160" i="14" s="1"/>
  <c r="G2159" i="14"/>
  <c r="H2159" i="14" s="1"/>
  <c r="G2158" i="14"/>
  <c r="H2158" i="14" s="1"/>
  <c r="H2157" i="14"/>
  <c r="G2156" i="14"/>
  <c r="H2156" i="14" s="1"/>
  <c r="G2155" i="14"/>
  <c r="H2155" i="14" s="1"/>
  <c r="G2154" i="14"/>
  <c r="H2154" i="14" s="1"/>
  <c r="H2153" i="14"/>
  <c r="G2152" i="14"/>
  <c r="H2152" i="14" s="1"/>
  <c r="G2151" i="14"/>
  <c r="H2151" i="14" s="1"/>
  <c r="G2150" i="14"/>
  <c r="H2150" i="14" s="1"/>
  <c r="G2149" i="14"/>
  <c r="H2149" i="14" s="1"/>
  <c r="H2148" i="14"/>
  <c r="G2147" i="14"/>
  <c r="H2147" i="14" s="1"/>
  <c r="G2146" i="14"/>
  <c r="H2146" i="14" s="1"/>
  <c r="G2145" i="14"/>
  <c r="H2145" i="14" s="1"/>
  <c r="G2144" i="14"/>
  <c r="H2144" i="14" s="1"/>
  <c r="H2143" i="14"/>
  <c r="G2142" i="14"/>
  <c r="H2142" i="14" s="1"/>
  <c r="G2141" i="14"/>
  <c r="H2141" i="14" s="1"/>
  <c r="G2140" i="14"/>
  <c r="H2140" i="14" s="1"/>
  <c r="G2139" i="14"/>
  <c r="H2139" i="14" s="1"/>
  <c r="H2138" i="14"/>
  <c r="G2137" i="14"/>
  <c r="H2137" i="14" s="1"/>
  <c r="G2136" i="14"/>
  <c r="H2136" i="14" s="1"/>
  <c r="G2135" i="14"/>
  <c r="H2135" i="14" s="1"/>
  <c r="H2134" i="14"/>
  <c r="G2133" i="14"/>
  <c r="H2133" i="14" s="1"/>
  <c r="G2132" i="14"/>
  <c r="H2132" i="14" s="1"/>
  <c r="G2131" i="14"/>
  <c r="H2131" i="14" s="1"/>
  <c r="G2130" i="14"/>
  <c r="H2130" i="14" s="1"/>
  <c r="G2129" i="14"/>
  <c r="H2129" i="14" s="1"/>
  <c r="G2128" i="14"/>
  <c r="H2128" i="14" s="1"/>
  <c r="G2127" i="14"/>
  <c r="H2127" i="14" s="1"/>
  <c r="G2126" i="14"/>
  <c r="H2126" i="14" s="1"/>
  <c r="G2125" i="14"/>
  <c r="H2125" i="14" s="1"/>
  <c r="H2124" i="14"/>
  <c r="G2123" i="14"/>
  <c r="H2123" i="14" s="1"/>
  <c r="G2122" i="14"/>
  <c r="H2122" i="14" s="1"/>
  <c r="G2121" i="14"/>
  <c r="H2121" i="14" s="1"/>
  <c r="G2120" i="14"/>
  <c r="H2120" i="14" s="1"/>
  <c r="G2119" i="14"/>
  <c r="H2119" i="14" s="1"/>
  <c r="G2118" i="14"/>
  <c r="H2118" i="14" s="1"/>
  <c r="G2117" i="14"/>
  <c r="H2117" i="14" s="1"/>
  <c r="G2116" i="14"/>
  <c r="H2116" i="14" s="1"/>
  <c r="G2115" i="14"/>
  <c r="H2115" i="14" s="1"/>
  <c r="G2114" i="14"/>
  <c r="H2114" i="14" s="1"/>
  <c r="H2113" i="14"/>
  <c r="G2112" i="14"/>
  <c r="H2112" i="14" s="1"/>
  <c r="G2111" i="14"/>
  <c r="H2111" i="14" s="1"/>
  <c r="G2110" i="14"/>
  <c r="H2110" i="14" s="1"/>
  <c r="G2109" i="14"/>
  <c r="H2109" i="14" s="1"/>
  <c r="G2108" i="14"/>
  <c r="H2108" i="14" s="1"/>
  <c r="G2107" i="14"/>
  <c r="H2107" i="14" s="1"/>
  <c r="G2106" i="14"/>
  <c r="H2106" i="14" s="1"/>
  <c r="G2105" i="14"/>
  <c r="H2105" i="14" s="1"/>
  <c r="G2104" i="14"/>
  <c r="H2104" i="14" s="1"/>
  <c r="H2103" i="14"/>
  <c r="G2102" i="14"/>
  <c r="H2102" i="14" s="1"/>
  <c r="G2101" i="14"/>
  <c r="H2101" i="14" s="1"/>
  <c r="G2100" i="14"/>
  <c r="H2100" i="14" s="1"/>
  <c r="G2099" i="14"/>
  <c r="H2099" i="14" s="1"/>
  <c r="G2098" i="14"/>
  <c r="H2098" i="14" s="1"/>
  <c r="G2097" i="14"/>
  <c r="H2097" i="14" s="1"/>
  <c r="G2096" i="14"/>
  <c r="H2096" i="14" s="1"/>
  <c r="G2095" i="14"/>
  <c r="H2095" i="14" s="1"/>
  <c r="G2094" i="14"/>
  <c r="H2094" i="14" s="1"/>
  <c r="G2093" i="14"/>
  <c r="H2093" i="14" s="1"/>
  <c r="H2092" i="14"/>
  <c r="H2091" i="14"/>
  <c r="G2090" i="14"/>
  <c r="H2090" i="14" s="1"/>
  <c r="G2089" i="14"/>
  <c r="H2089" i="14" s="1"/>
  <c r="G2088" i="14"/>
  <c r="H2088" i="14" s="1"/>
  <c r="G2087" i="14"/>
  <c r="H2087" i="14" s="1"/>
  <c r="H2086" i="14"/>
  <c r="G2085" i="14"/>
  <c r="H2085" i="14" s="1"/>
  <c r="G2084" i="14"/>
  <c r="H2084" i="14" s="1"/>
  <c r="H2082" i="14"/>
  <c r="G2081" i="14"/>
  <c r="H2081" i="14" s="1"/>
  <c r="G2080" i="14"/>
  <c r="H2080" i="14" s="1"/>
  <c r="H2079" i="14"/>
  <c r="G2078" i="14"/>
  <c r="H2078" i="14" s="1"/>
  <c r="G2077" i="14"/>
  <c r="H2077" i="14" s="1"/>
  <c r="G2076" i="14"/>
  <c r="H2076" i="14" s="1"/>
  <c r="G2075" i="14"/>
  <c r="H2075" i="14" s="1"/>
  <c r="H2074" i="14"/>
  <c r="H2073" i="14"/>
  <c r="G2072" i="14"/>
  <c r="H2072" i="14" s="1"/>
  <c r="G2071" i="14"/>
  <c r="H2071" i="14" s="1"/>
  <c r="H2070" i="14"/>
  <c r="G2069" i="14"/>
  <c r="H2069" i="14" s="1"/>
  <c r="G2068" i="14"/>
  <c r="H2068" i="14" s="1"/>
  <c r="G2067" i="14"/>
  <c r="H2067" i="14" s="1"/>
  <c r="G2066" i="14"/>
  <c r="H2066" i="14" s="1"/>
  <c r="G2065" i="14"/>
  <c r="H2065" i="14" s="1"/>
  <c r="G2064" i="14"/>
  <c r="H2064" i="14" s="1"/>
  <c r="G2063" i="14"/>
  <c r="H2063" i="14" s="1"/>
  <c r="G2062" i="14"/>
  <c r="H2062" i="14" s="1"/>
  <c r="G2061" i="14"/>
  <c r="H2061" i="14" s="1"/>
  <c r="G2060" i="14"/>
  <c r="H2060" i="14" s="1"/>
  <c r="H2059" i="14"/>
  <c r="G2058" i="14"/>
  <c r="H2058" i="14" s="1"/>
  <c r="G2057" i="14"/>
  <c r="H2057" i="14" s="1"/>
  <c r="G2056" i="14"/>
  <c r="H2056" i="14" s="1"/>
  <c r="G2055" i="14"/>
  <c r="H2055" i="14" s="1"/>
  <c r="G2054" i="14"/>
  <c r="H2054" i="14" s="1"/>
  <c r="G2053" i="14"/>
  <c r="H2053" i="14" s="1"/>
  <c r="G2052" i="14"/>
  <c r="H2052" i="14" s="1"/>
  <c r="G2051" i="14"/>
  <c r="H2051" i="14" s="1"/>
  <c r="G2050" i="14"/>
  <c r="H2050" i="14" s="1"/>
  <c r="H2049" i="14"/>
  <c r="G2048" i="14"/>
  <c r="H2048" i="14" s="1"/>
  <c r="G2047" i="14"/>
  <c r="H2047" i="14" s="1"/>
  <c r="G2046" i="14"/>
  <c r="H2046" i="14" s="1"/>
  <c r="G2045" i="14"/>
  <c r="H2045" i="14" s="1"/>
  <c r="G2044" i="14"/>
  <c r="H2044" i="14" s="1"/>
  <c r="G2043" i="14"/>
  <c r="H2043" i="14" s="1"/>
  <c r="G2042" i="14"/>
  <c r="H2042" i="14" s="1"/>
  <c r="G2041" i="14"/>
  <c r="H2041" i="14" s="1"/>
  <c r="G2040" i="14"/>
  <c r="H2040" i="14" s="1"/>
  <c r="G2039" i="14"/>
  <c r="H2039" i="14" s="1"/>
  <c r="H2038" i="14"/>
  <c r="G2037" i="14"/>
  <c r="H2037" i="14" s="1"/>
  <c r="G2036" i="14"/>
  <c r="H2036" i="14" s="1"/>
  <c r="G2035" i="14"/>
  <c r="H2035" i="14" s="1"/>
  <c r="G2034" i="14"/>
  <c r="H2034" i="14" s="1"/>
  <c r="G2033" i="14"/>
  <c r="H2033" i="14" s="1"/>
  <c r="G2032" i="14"/>
  <c r="H2032" i="14" s="1"/>
  <c r="G2031" i="14"/>
  <c r="H2031" i="14" s="1"/>
  <c r="G2030" i="14"/>
  <c r="H2030" i="14" s="1"/>
  <c r="G2029" i="14"/>
  <c r="H2029" i="14" s="1"/>
  <c r="H2028" i="14"/>
  <c r="G2027" i="14"/>
  <c r="H2027" i="14" s="1"/>
  <c r="G2026" i="14"/>
  <c r="H2026" i="14" s="1"/>
  <c r="G2025" i="14"/>
  <c r="H2025" i="14" s="1"/>
  <c r="G2024" i="14"/>
  <c r="H2024" i="14" s="1"/>
  <c r="G2023" i="14"/>
  <c r="H2023" i="14" s="1"/>
  <c r="G2022" i="14"/>
  <c r="H2022" i="14" s="1"/>
  <c r="G2021" i="14"/>
  <c r="H2021" i="14" s="1"/>
  <c r="G2020" i="14"/>
  <c r="H2020" i="14" s="1"/>
  <c r="G2019" i="14"/>
  <c r="H2019" i="14" s="1"/>
  <c r="G2018" i="14"/>
  <c r="H2018" i="14" s="1"/>
  <c r="H2017" i="14"/>
  <c r="G2016" i="14"/>
  <c r="H2016" i="14" s="1"/>
  <c r="G2015" i="14"/>
  <c r="H2015" i="14" s="1"/>
  <c r="G2014" i="14"/>
  <c r="H2014" i="14" s="1"/>
  <c r="G2013" i="14"/>
  <c r="H2013" i="14" s="1"/>
  <c r="H2012" i="14"/>
  <c r="G2011" i="14"/>
  <c r="H2011" i="14" s="1"/>
  <c r="H2010" i="14"/>
  <c r="G2009" i="14"/>
  <c r="H2009" i="14" s="1"/>
  <c r="G2008" i="14"/>
  <c r="H2008" i="14" s="1"/>
  <c r="H2007" i="14"/>
  <c r="G2006" i="14"/>
  <c r="H2006" i="14" s="1"/>
  <c r="H2005" i="14"/>
  <c r="G2004" i="14"/>
  <c r="H2004" i="14" s="1"/>
  <c r="G2003" i="14"/>
  <c r="H2003" i="14" s="1"/>
  <c r="H2002" i="14"/>
  <c r="G2001" i="14"/>
  <c r="H2001" i="14" s="1"/>
  <c r="H2000" i="14"/>
  <c r="G1999" i="14"/>
  <c r="H1999" i="14" s="1"/>
  <c r="G1998" i="14"/>
  <c r="H1998" i="14" s="1"/>
  <c r="G1997" i="14"/>
  <c r="H1997" i="14" s="1"/>
  <c r="H1996" i="14"/>
  <c r="G1995" i="14"/>
  <c r="H1995" i="14" s="1"/>
  <c r="G1994" i="14"/>
  <c r="H1994" i="14" s="1"/>
  <c r="G1993" i="14"/>
  <c r="H1993" i="14" s="1"/>
  <c r="G1992" i="14"/>
  <c r="H1992" i="14" s="1"/>
  <c r="G1991" i="14"/>
  <c r="H1991" i="14" s="1"/>
  <c r="G1990" i="14"/>
  <c r="H1990" i="14" s="1"/>
  <c r="G1989" i="14"/>
  <c r="H1989" i="14" s="1"/>
  <c r="G1988" i="14"/>
  <c r="H1988" i="14" s="1"/>
  <c r="G1987" i="14"/>
  <c r="H1987" i="14" s="1"/>
  <c r="H1986" i="14"/>
  <c r="G1985" i="14"/>
  <c r="H1985" i="14" s="1"/>
  <c r="G1984" i="14"/>
  <c r="H1984" i="14" s="1"/>
  <c r="G1983" i="14"/>
  <c r="H1983" i="14" s="1"/>
  <c r="G1982" i="14"/>
  <c r="H1982" i="14" s="1"/>
  <c r="G1981" i="14"/>
  <c r="H1981" i="14" s="1"/>
  <c r="G1980" i="14"/>
  <c r="H1980" i="14" s="1"/>
  <c r="G1979" i="14"/>
  <c r="H1979" i="14" s="1"/>
  <c r="G1978" i="14"/>
  <c r="H1978" i="14" s="1"/>
  <c r="G1977" i="14"/>
  <c r="H1977" i="14" s="1"/>
  <c r="G1976" i="14"/>
  <c r="H1976" i="14" s="1"/>
  <c r="H1975" i="14"/>
  <c r="G1974" i="14"/>
  <c r="H1974" i="14" s="1"/>
  <c r="G1973" i="14"/>
  <c r="H1973" i="14" s="1"/>
  <c r="G1972" i="14"/>
  <c r="H1972" i="14" s="1"/>
  <c r="G1971" i="14"/>
  <c r="H1971" i="14" s="1"/>
  <c r="H1970" i="14"/>
  <c r="G1969" i="14"/>
  <c r="H1969" i="14" s="1"/>
  <c r="H1968" i="14"/>
  <c r="G1967" i="14"/>
  <c r="H1967" i="14" s="1"/>
  <c r="G1966" i="14"/>
  <c r="H1966" i="14" s="1"/>
  <c r="H1965" i="14"/>
  <c r="G1964" i="14"/>
  <c r="H1964" i="14" s="1"/>
  <c r="G1963" i="14"/>
  <c r="H1963" i="14" s="1"/>
  <c r="G1962" i="14"/>
  <c r="H1962" i="14" s="1"/>
  <c r="G1961" i="14"/>
  <c r="H1961" i="14" s="1"/>
  <c r="G1960" i="14"/>
  <c r="H1960" i="14" s="1"/>
  <c r="G1959" i="14"/>
  <c r="H1959" i="14" s="1"/>
  <c r="G1958" i="14"/>
  <c r="H1958" i="14" s="1"/>
  <c r="G1957" i="14"/>
  <c r="H1957" i="14" s="1"/>
  <c r="G1956" i="14"/>
  <c r="H1956" i="14" s="1"/>
  <c r="G1955" i="14"/>
  <c r="H1955" i="14" s="1"/>
  <c r="H1954" i="14"/>
  <c r="G1953" i="14"/>
  <c r="H1953" i="14" s="1"/>
  <c r="G1952" i="14"/>
  <c r="H1952" i="14" s="1"/>
  <c r="G1951" i="14"/>
  <c r="H1951" i="14" s="1"/>
  <c r="G1950" i="14"/>
  <c r="H1950" i="14" s="1"/>
  <c r="H1949" i="14"/>
  <c r="G1948" i="14"/>
  <c r="H1948" i="14" s="1"/>
  <c r="G1947" i="14"/>
  <c r="H1947" i="14" s="1"/>
  <c r="G1946" i="14"/>
  <c r="H1946" i="14" s="1"/>
  <c r="G1945" i="14"/>
  <c r="H1945" i="14" s="1"/>
  <c r="H1944" i="14"/>
  <c r="G1943" i="14"/>
  <c r="H1943" i="14" s="1"/>
  <c r="G1942" i="14"/>
  <c r="H1942" i="14" s="1"/>
  <c r="G1941" i="14"/>
  <c r="H1941" i="14" s="1"/>
  <c r="G1940" i="14"/>
  <c r="H1940" i="14" s="1"/>
  <c r="H1939" i="14"/>
  <c r="G1938" i="14"/>
  <c r="H1938" i="14" s="1"/>
  <c r="G1937" i="14"/>
  <c r="H1937" i="14" s="1"/>
  <c r="G1936" i="14"/>
  <c r="H1936" i="14" s="1"/>
  <c r="G1935" i="14"/>
  <c r="H1935" i="14" s="1"/>
  <c r="H1934" i="14"/>
  <c r="G1933" i="14"/>
  <c r="H1933" i="14" s="1"/>
  <c r="G1932" i="14"/>
  <c r="H1932" i="14" s="1"/>
  <c r="G1931" i="14"/>
  <c r="H1931" i="14" s="1"/>
  <c r="G1930" i="14"/>
  <c r="H1930" i="14" s="1"/>
  <c r="H1929" i="14"/>
  <c r="G1928" i="14"/>
  <c r="H1928" i="14" s="1"/>
  <c r="G1927" i="14"/>
  <c r="H1927" i="14" s="1"/>
  <c r="G1926" i="14"/>
  <c r="H1926" i="14" s="1"/>
  <c r="G1925" i="14"/>
  <c r="H1925" i="14" s="1"/>
  <c r="H1924" i="14"/>
  <c r="G1923" i="14"/>
  <c r="H1923" i="14" s="1"/>
  <c r="G1922" i="14"/>
  <c r="H1922" i="14" s="1"/>
  <c r="G1921" i="14"/>
  <c r="H1921" i="14" s="1"/>
  <c r="G1920" i="14"/>
  <c r="H1920" i="14" s="1"/>
  <c r="H1919" i="14"/>
  <c r="G1918" i="14"/>
  <c r="H1918" i="14" s="1"/>
  <c r="G1917" i="14"/>
  <c r="H1917" i="14" s="1"/>
  <c r="G1916" i="14"/>
  <c r="H1916" i="14" s="1"/>
  <c r="G1915" i="14"/>
  <c r="H1915" i="14" s="1"/>
  <c r="H1914" i="14"/>
  <c r="G1913" i="14"/>
  <c r="H1913" i="14" s="1"/>
  <c r="G1912" i="14"/>
  <c r="H1912" i="14" s="1"/>
  <c r="G1911" i="14"/>
  <c r="H1911" i="14" s="1"/>
  <c r="G1910" i="14"/>
  <c r="H1910" i="14" s="1"/>
  <c r="H1909" i="14"/>
  <c r="G1908" i="14"/>
  <c r="H1908" i="14" s="1"/>
  <c r="G1907" i="14"/>
  <c r="H1907" i="14" s="1"/>
  <c r="G1906" i="14"/>
  <c r="H1906" i="14" s="1"/>
  <c r="G1905" i="14"/>
  <c r="H1905" i="14" s="1"/>
  <c r="H1904" i="14"/>
  <c r="G1903" i="14"/>
  <c r="H1903" i="14" s="1"/>
  <c r="G1902" i="14"/>
  <c r="H1902" i="14" s="1"/>
  <c r="G1901" i="14"/>
  <c r="H1901" i="14" s="1"/>
  <c r="G1900" i="14"/>
  <c r="H1900" i="14" s="1"/>
  <c r="H1899" i="14"/>
  <c r="G1898" i="14"/>
  <c r="H1898" i="14" s="1"/>
  <c r="G1897" i="14"/>
  <c r="H1897" i="14" s="1"/>
  <c r="G1896" i="14"/>
  <c r="H1896" i="14" s="1"/>
  <c r="G1895" i="14"/>
  <c r="H1895" i="14" s="1"/>
  <c r="H1894" i="14"/>
  <c r="G1893" i="14"/>
  <c r="H1893" i="14" s="1"/>
  <c r="G1892" i="14"/>
  <c r="H1892" i="14" s="1"/>
  <c r="G1891" i="14"/>
  <c r="H1891" i="14" s="1"/>
  <c r="G1890" i="14"/>
  <c r="H1890" i="14" s="1"/>
  <c r="H1889" i="14"/>
  <c r="G1888" i="14"/>
  <c r="H1888" i="14" s="1"/>
  <c r="G1887" i="14"/>
  <c r="H1887" i="14" s="1"/>
  <c r="G1886" i="14"/>
  <c r="H1886" i="14" s="1"/>
  <c r="G1885" i="14"/>
  <c r="H1885" i="14" s="1"/>
  <c r="H1884" i="14"/>
  <c r="G1883" i="14"/>
  <c r="H1883" i="14" s="1"/>
  <c r="G1882" i="14"/>
  <c r="H1882" i="14" s="1"/>
  <c r="G1881" i="14"/>
  <c r="H1881" i="14" s="1"/>
  <c r="G1880" i="14"/>
  <c r="H1880" i="14" s="1"/>
  <c r="H1879" i="14"/>
  <c r="G1878" i="14"/>
  <c r="H1878" i="14" s="1"/>
  <c r="G1877" i="14"/>
  <c r="H1877" i="14" s="1"/>
  <c r="G1876" i="14"/>
  <c r="H1876" i="14" s="1"/>
  <c r="G1875" i="14"/>
  <c r="H1875" i="14" s="1"/>
  <c r="H1874" i="14"/>
  <c r="G1873" i="14"/>
  <c r="H1873" i="14" s="1"/>
  <c r="G1872" i="14"/>
  <c r="H1872" i="14" s="1"/>
  <c r="G1871" i="14"/>
  <c r="H1871" i="14" s="1"/>
  <c r="G1870" i="14"/>
  <c r="H1870" i="14" s="1"/>
  <c r="H1869" i="14"/>
  <c r="G1868" i="14"/>
  <c r="H1868" i="14" s="1"/>
  <c r="G1867" i="14"/>
  <c r="H1867" i="14" s="1"/>
  <c r="G1866" i="14"/>
  <c r="H1866" i="14" s="1"/>
  <c r="G1865" i="14"/>
  <c r="H1865" i="14" s="1"/>
  <c r="H1864" i="14"/>
  <c r="H1863" i="14"/>
  <c r="G1862" i="14"/>
  <c r="H1862" i="14" s="1"/>
  <c r="G1861" i="14"/>
  <c r="H1861" i="14" s="1"/>
  <c r="G1860" i="14"/>
  <c r="H1860" i="14" s="1"/>
  <c r="H1859" i="14"/>
  <c r="G1858" i="14"/>
  <c r="H1858" i="14" s="1"/>
  <c r="G1857" i="14"/>
  <c r="H1857" i="14" s="1"/>
  <c r="G1856" i="14"/>
  <c r="H1856" i="14" s="1"/>
  <c r="G1855" i="14"/>
  <c r="H1855" i="14" s="1"/>
  <c r="H1854" i="14"/>
  <c r="G1853" i="14"/>
  <c r="H1853" i="14" s="1"/>
  <c r="G1852" i="14"/>
  <c r="H1852" i="14" s="1"/>
  <c r="G1851" i="14"/>
  <c r="H1851" i="14" s="1"/>
  <c r="G1850" i="14"/>
  <c r="H1850" i="14" s="1"/>
  <c r="H1849" i="14"/>
  <c r="G1848" i="14"/>
  <c r="H1848" i="14" s="1"/>
  <c r="G1847" i="14"/>
  <c r="H1847" i="14" s="1"/>
  <c r="G1846" i="14"/>
  <c r="H1846" i="14" s="1"/>
  <c r="G1845" i="14"/>
  <c r="H1845" i="14" s="1"/>
  <c r="H1844" i="14"/>
  <c r="G1843" i="14"/>
  <c r="H1843" i="14" s="1"/>
  <c r="G1842" i="14"/>
  <c r="H1842" i="14" s="1"/>
  <c r="G1841" i="14"/>
  <c r="H1841" i="14" s="1"/>
  <c r="G1840" i="14"/>
  <c r="H1840" i="14" s="1"/>
  <c r="H1839" i="14"/>
  <c r="G1838" i="14"/>
  <c r="H1838" i="14" s="1"/>
  <c r="G1837" i="14"/>
  <c r="H1837" i="14" s="1"/>
  <c r="G1836" i="14"/>
  <c r="H1836" i="14" s="1"/>
  <c r="G1835" i="14"/>
  <c r="H1835" i="14" s="1"/>
  <c r="H1834" i="14"/>
  <c r="G1833" i="14"/>
  <c r="H1833" i="14" s="1"/>
  <c r="G1832" i="14"/>
  <c r="H1832" i="14" s="1"/>
  <c r="G1831" i="14"/>
  <c r="H1831" i="14" s="1"/>
  <c r="G1830" i="14"/>
  <c r="H1830" i="14" s="1"/>
  <c r="H1829" i="14"/>
  <c r="G1828" i="14"/>
  <c r="H1828" i="14" s="1"/>
  <c r="G1827" i="14"/>
  <c r="H1827" i="14" s="1"/>
  <c r="G1826" i="14"/>
  <c r="H1826" i="14" s="1"/>
  <c r="G1825" i="14"/>
  <c r="H1825" i="14" s="1"/>
  <c r="H1824" i="14"/>
  <c r="G1823" i="14"/>
  <c r="H1823" i="14" s="1"/>
  <c r="G1822" i="14"/>
  <c r="H1822" i="14" s="1"/>
  <c r="G1821" i="14"/>
  <c r="H1821" i="14" s="1"/>
  <c r="G1820" i="14"/>
  <c r="H1820" i="14" s="1"/>
  <c r="H1819" i="14"/>
  <c r="G1818" i="14"/>
  <c r="H1818" i="14" s="1"/>
  <c r="G1817" i="14"/>
  <c r="H1817" i="14" s="1"/>
  <c r="G1816" i="14"/>
  <c r="H1816" i="14" s="1"/>
  <c r="H1815" i="14"/>
  <c r="G1814" i="14"/>
  <c r="H1814" i="14" s="1"/>
  <c r="G1813" i="14"/>
  <c r="H1813" i="14" s="1"/>
  <c r="G1812" i="14"/>
  <c r="H1812" i="14" s="1"/>
  <c r="H1811" i="14"/>
  <c r="G1810" i="14"/>
  <c r="H1810" i="14" s="1"/>
  <c r="G1809" i="14"/>
  <c r="H1809" i="14" s="1"/>
  <c r="G1808" i="14"/>
  <c r="H1808" i="14" s="1"/>
  <c r="H1807" i="14"/>
  <c r="G1806" i="14"/>
  <c r="H1806" i="14" s="1"/>
  <c r="G1805" i="14"/>
  <c r="H1805" i="14" s="1"/>
  <c r="G1804" i="14"/>
  <c r="H1804" i="14" s="1"/>
  <c r="H1803" i="14"/>
  <c r="G1802" i="14"/>
  <c r="H1802" i="14" s="1"/>
  <c r="G1801" i="14"/>
  <c r="H1801" i="14" s="1"/>
  <c r="G1800" i="14"/>
  <c r="H1800" i="14" s="1"/>
  <c r="G1799" i="14"/>
  <c r="H1799" i="14" s="1"/>
  <c r="H1798" i="14"/>
  <c r="G1797" i="14"/>
  <c r="H1797" i="14" s="1"/>
  <c r="G1796" i="14"/>
  <c r="H1796" i="14" s="1"/>
  <c r="G1795" i="14"/>
  <c r="H1795" i="14" s="1"/>
  <c r="G1794" i="14"/>
  <c r="H1794" i="14" s="1"/>
  <c r="H1793" i="14"/>
  <c r="G1792" i="14"/>
  <c r="H1792" i="14" s="1"/>
  <c r="G1791" i="14"/>
  <c r="H1791" i="14" s="1"/>
  <c r="G1790" i="14"/>
  <c r="H1790" i="14" s="1"/>
  <c r="H1789" i="14"/>
  <c r="G1788" i="14"/>
  <c r="H1788" i="14" s="1"/>
  <c r="G1787" i="14"/>
  <c r="H1787" i="14" s="1"/>
  <c r="G1786" i="14"/>
  <c r="H1786" i="14" s="1"/>
  <c r="H1785" i="14"/>
  <c r="G1784" i="14"/>
  <c r="H1784" i="14" s="1"/>
  <c r="G1783" i="14"/>
  <c r="H1783" i="14" s="1"/>
  <c r="G1782" i="14"/>
  <c r="H1782" i="14" s="1"/>
  <c r="H1781" i="14"/>
  <c r="G1780" i="14"/>
  <c r="H1780" i="14" s="1"/>
  <c r="G1779" i="14"/>
  <c r="H1779" i="14" s="1"/>
  <c r="G1778" i="14"/>
  <c r="H1778" i="14" s="1"/>
  <c r="H1777" i="14"/>
  <c r="G1776" i="14"/>
  <c r="H1776" i="14" s="1"/>
  <c r="G1775" i="14"/>
  <c r="H1775" i="14" s="1"/>
  <c r="G1774" i="14"/>
  <c r="H1774" i="14" s="1"/>
  <c r="H1773" i="14"/>
  <c r="G1772" i="14"/>
  <c r="H1772" i="14" s="1"/>
  <c r="G1771" i="14"/>
  <c r="H1771" i="14" s="1"/>
  <c r="G1770" i="14"/>
  <c r="H1770" i="14" s="1"/>
  <c r="H1769" i="14"/>
  <c r="G1768" i="14"/>
  <c r="H1768" i="14" s="1"/>
  <c r="G1767" i="14"/>
  <c r="H1767" i="14" s="1"/>
  <c r="G1766" i="14"/>
  <c r="H1766" i="14" s="1"/>
  <c r="H1765" i="14"/>
  <c r="G1764" i="14"/>
  <c r="H1764" i="14" s="1"/>
  <c r="G1763" i="14"/>
  <c r="H1763" i="14" s="1"/>
  <c r="G1762" i="14"/>
  <c r="H1762" i="14" s="1"/>
  <c r="H1761" i="14"/>
  <c r="G1760" i="14"/>
  <c r="H1760" i="14" s="1"/>
  <c r="G1759" i="14"/>
  <c r="H1759" i="14" s="1"/>
  <c r="G1758" i="14"/>
  <c r="H1758" i="14" s="1"/>
  <c r="H1757" i="14"/>
  <c r="G1756" i="14"/>
  <c r="H1756" i="14" s="1"/>
  <c r="G1755" i="14"/>
  <c r="H1755" i="14" s="1"/>
  <c r="G1754" i="14"/>
  <c r="H1754" i="14" s="1"/>
  <c r="H1753" i="14"/>
  <c r="G1752" i="14"/>
  <c r="H1752" i="14" s="1"/>
  <c r="G1751" i="14"/>
  <c r="H1751" i="14" s="1"/>
  <c r="G1750" i="14"/>
  <c r="H1750" i="14" s="1"/>
  <c r="G1749" i="14"/>
  <c r="H1749" i="14" s="1"/>
  <c r="H1748" i="14"/>
  <c r="G1747" i="14"/>
  <c r="H1747" i="14" s="1"/>
  <c r="G1746" i="14"/>
  <c r="H1746" i="14" s="1"/>
  <c r="G1745" i="14"/>
  <c r="H1745" i="14" s="1"/>
  <c r="G1744" i="14"/>
  <c r="H1744" i="14" s="1"/>
  <c r="H1743" i="14"/>
  <c r="G1742" i="14"/>
  <c r="H1742" i="14" s="1"/>
  <c r="G1741" i="14"/>
  <c r="H1741" i="14" s="1"/>
  <c r="G1740" i="14"/>
  <c r="H1740" i="14" s="1"/>
  <c r="G1739" i="14"/>
  <c r="H1739" i="14" s="1"/>
  <c r="H1738" i="14"/>
  <c r="G1737" i="14"/>
  <c r="H1737" i="14" s="1"/>
  <c r="G1736" i="14"/>
  <c r="H1736" i="14" s="1"/>
  <c r="G1735" i="14"/>
  <c r="H1735" i="14" s="1"/>
  <c r="G1734" i="14"/>
  <c r="H1734" i="14" s="1"/>
  <c r="H1733" i="14"/>
  <c r="G1732" i="14"/>
  <c r="H1732" i="14" s="1"/>
  <c r="G1731" i="14"/>
  <c r="H1731" i="14" s="1"/>
  <c r="G1730" i="14"/>
  <c r="H1730" i="14" s="1"/>
  <c r="G1729" i="14"/>
  <c r="H1729" i="14" s="1"/>
  <c r="H1728" i="14"/>
  <c r="G1727" i="14"/>
  <c r="H1727" i="14" s="1"/>
  <c r="G1726" i="14"/>
  <c r="H1726" i="14" s="1"/>
  <c r="G1725" i="14"/>
  <c r="H1725" i="14" s="1"/>
  <c r="G1724" i="14"/>
  <c r="H1724" i="14" s="1"/>
  <c r="H1723" i="14"/>
  <c r="H1722" i="14"/>
  <c r="G1721" i="14"/>
  <c r="H1721" i="14" s="1"/>
  <c r="G1720" i="14"/>
  <c r="H1720" i="14" s="1"/>
  <c r="G1719" i="14"/>
  <c r="H1719" i="14" s="1"/>
  <c r="H1718" i="14"/>
  <c r="G1717" i="14"/>
  <c r="H1717" i="14" s="1"/>
  <c r="G1716" i="14"/>
  <c r="H1716" i="14" s="1"/>
  <c r="G1715" i="14"/>
  <c r="H1715" i="14" s="1"/>
  <c r="G1714" i="14"/>
  <c r="H1714" i="14" s="1"/>
  <c r="H1713" i="14"/>
  <c r="G1712" i="14"/>
  <c r="H1712" i="14" s="1"/>
  <c r="G1711" i="14"/>
  <c r="H1711" i="14" s="1"/>
  <c r="G1710" i="14"/>
  <c r="H1710" i="14" s="1"/>
  <c r="G1709" i="14"/>
  <c r="H1709" i="14" s="1"/>
  <c r="H1708" i="14"/>
  <c r="G1707" i="14"/>
  <c r="H1707" i="14" s="1"/>
  <c r="G1706" i="14"/>
  <c r="H1706" i="14" s="1"/>
  <c r="G1705" i="14"/>
  <c r="H1705" i="14" s="1"/>
  <c r="G1704" i="14"/>
  <c r="H1704" i="14" s="1"/>
  <c r="H1703" i="14"/>
  <c r="G1702" i="14"/>
  <c r="H1702" i="14" s="1"/>
  <c r="G1701" i="14"/>
  <c r="H1701" i="14" s="1"/>
  <c r="G1700" i="14"/>
  <c r="H1700" i="14" s="1"/>
  <c r="G1699" i="14"/>
  <c r="H1699" i="14" s="1"/>
  <c r="H1698" i="14"/>
  <c r="G1697" i="14"/>
  <c r="H1697" i="14" s="1"/>
  <c r="G1696" i="14"/>
  <c r="H1696" i="14" s="1"/>
  <c r="G1695" i="14"/>
  <c r="H1695" i="14" s="1"/>
  <c r="G1694" i="14"/>
  <c r="H1694" i="14" s="1"/>
  <c r="H1693" i="14"/>
  <c r="G1692" i="14"/>
  <c r="H1692" i="14" s="1"/>
  <c r="G1691" i="14"/>
  <c r="H1691" i="14" s="1"/>
  <c r="G1690" i="14"/>
  <c r="H1690" i="14" s="1"/>
  <c r="G1689" i="14"/>
  <c r="H1689" i="14" s="1"/>
  <c r="H1688" i="14"/>
  <c r="G1687" i="14"/>
  <c r="H1687" i="14" s="1"/>
  <c r="G1686" i="14"/>
  <c r="H1686" i="14" s="1"/>
  <c r="G1685" i="14"/>
  <c r="H1685" i="14" s="1"/>
  <c r="G1684" i="14"/>
  <c r="H1684" i="14" s="1"/>
  <c r="H1683" i="14"/>
  <c r="G1682" i="14"/>
  <c r="H1682" i="14" s="1"/>
  <c r="G1681" i="14"/>
  <c r="H1681" i="14" s="1"/>
  <c r="G1680" i="14"/>
  <c r="H1680" i="14" s="1"/>
  <c r="G1679" i="14"/>
  <c r="H1679" i="14" s="1"/>
  <c r="H1678" i="14"/>
  <c r="G1677" i="14"/>
  <c r="H1677" i="14" s="1"/>
  <c r="G1676" i="14"/>
  <c r="H1676" i="14" s="1"/>
  <c r="G1675" i="14"/>
  <c r="H1675" i="14" s="1"/>
  <c r="G1674" i="14"/>
  <c r="H1674" i="14" s="1"/>
  <c r="H1673" i="14"/>
  <c r="G1672" i="14"/>
  <c r="H1672" i="14" s="1"/>
  <c r="G1671" i="14"/>
  <c r="H1671" i="14" s="1"/>
  <c r="G1670" i="14"/>
  <c r="H1670" i="14" s="1"/>
  <c r="G1669" i="14"/>
  <c r="H1669" i="14" s="1"/>
  <c r="H1668" i="14"/>
  <c r="G1667" i="14"/>
  <c r="H1667" i="14" s="1"/>
  <c r="G1666" i="14"/>
  <c r="H1666" i="14" s="1"/>
  <c r="G1665" i="14"/>
  <c r="H1665" i="14" s="1"/>
  <c r="G1664" i="14"/>
  <c r="H1664" i="14" s="1"/>
  <c r="H1663" i="14"/>
  <c r="G1662" i="14"/>
  <c r="H1662" i="14" s="1"/>
  <c r="G1661" i="14"/>
  <c r="H1661" i="14" s="1"/>
  <c r="G1660" i="14"/>
  <c r="H1660" i="14" s="1"/>
  <c r="G1659" i="14"/>
  <c r="H1659" i="14" s="1"/>
  <c r="H1658" i="14"/>
  <c r="G1657" i="14"/>
  <c r="H1657" i="14" s="1"/>
  <c r="G1656" i="14"/>
  <c r="H1656" i="14" s="1"/>
  <c r="G1655" i="14"/>
  <c r="H1655" i="14" s="1"/>
  <c r="G1654" i="14"/>
  <c r="H1654" i="14" s="1"/>
  <c r="H1653" i="14"/>
  <c r="G1652" i="14"/>
  <c r="H1652" i="14" s="1"/>
  <c r="G1651" i="14"/>
  <c r="H1651" i="14" s="1"/>
  <c r="G1650" i="14"/>
  <c r="H1650" i="14" s="1"/>
  <c r="G1649" i="14"/>
  <c r="H1649" i="14" s="1"/>
  <c r="H1648" i="14"/>
  <c r="G1647" i="14"/>
  <c r="H1647" i="14" s="1"/>
  <c r="G1646" i="14"/>
  <c r="H1646" i="14" s="1"/>
  <c r="G1645" i="14"/>
  <c r="H1645" i="14" s="1"/>
  <c r="G1644" i="14"/>
  <c r="H1644" i="14" s="1"/>
  <c r="H1643" i="14"/>
  <c r="G1642" i="14"/>
  <c r="H1642" i="14" s="1"/>
  <c r="G1641" i="14"/>
  <c r="H1641" i="14" s="1"/>
  <c r="G1640" i="14"/>
  <c r="H1640" i="14" s="1"/>
  <c r="G1639" i="14"/>
  <c r="H1639" i="14" s="1"/>
  <c r="H1638" i="14"/>
  <c r="G1637" i="14"/>
  <c r="H1637" i="14" s="1"/>
  <c r="G1636" i="14"/>
  <c r="H1636" i="14" s="1"/>
  <c r="G1635" i="14"/>
  <c r="H1635" i="14" s="1"/>
  <c r="G1634" i="14"/>
  <c r="H1634" i="14" s="1"/>
  <c r="H1633" i="14"/>
  <c r="G1632" i="14"/>
  <c r="H1632" i="14" s="1"/>
  <c r="G1631" i="14"/>
  <c r="H1631" i="14" s="1"/>
  <c r="G1630" i="14"/>
  <c r="H1630" i="14" s="1"/>
  <c r="G1629" i="14"/>
  <c r="H1629" i="14" s="1"/>
  <c r="H1628" i="14"/>
  <c r="G1627" i="14"/>
  <c r="H1627" i="14" s="1"/>
  <c r="G1626" i="14"/>
  <c r="H1626" i="14" s="1"/>
  <c r="G1625" i="14"/>
  <c r="H1625" i="14" s="1"/>
  <c r="G1624" i="14"/>
  <c r="H1624" i="14" s="1"/>
  <c r="H1623" i="14"/>
  <c r="G1622" i="14"/>
  <c r="H1622" i="14" s="1"/>
  <c r="G1621" i="14"/>
  <c r="H1621" i="14" s="1"/>
  <c r="G1620" i="14"/>
  <c r="H1620" i="14" s="1"/>
  <c r="G1619" i="14"/>
  <c r="H1619" i="14" s="1"/>
  <c r="H1618" i="14"/>
  <c r="G1617" i="14"/>
  <c r="H1617" i="14" s="1"/>
  <c r="G1616" i="14"/>
  <c r="H1616" i="14" s="1"/>
  <c r="G1615" i="14"/>
  <c r="H1615" i="14" s="1"/>
  <c r="H1614" i="14"/>
  <c r="G1613" i="14"/>
  <c r="H1613" i="14" s="1"/>
  <c r="G1612" i="14"/>
  <c r="H1612" i="14" s="1"/>
  <c r="G1611" i="14"/>
  <c r="H1611" i="14" s="1"/>
  <c r="H1610" i="14"/>
  <c r="G1609" i="14"/>
  <c r="H1609" i="14" s="1"/>
  <c r="G1608" i="14"/>
  <c r="H1608" i="14" s="1"/>
  <c r="G1607" i="14"/>
  <c r="H1607" i="14" s="1"/>
  <c r="H1606" i="14"/>
  <c r="G1605" i="14"/>
  <c r="H1605" i="14" s="1"/>
  <c r="G1604" i="14"/>
  <c r="H1604" i="14" s="1"/>
  <c r="G1603" i="14"/>
  <c r="H1603" i="14" s="1"/>
  <c r="H1602" i="14"/>
  <c r="G1601" i="14"/>
  <c r="H1601" i="14" s="1"/>
  <c r="G1600" i="14"/>
  <c r="H1600" i="14" s="1"/>
  <c r="G1599" i="14"/>
  <c r="H1599" i="14" s="1"/>
  <c r="G1598" i="14"/>
  <c r="H1598" i="14" s="1"/>
  <c r="H1597" i="14"/>
  <c r="G1596" i="14"/>
  <c r="H1596" i="14" s="1"/>
  <c r="G1595" i="14"/>
  <c r="H1595" i="14" s="1"/>
  <c r="G1594" i="14"/>
  <c r="H1594" i="14" s="1"/>
  <c r="G1593" i="14"/>
  <c r="H1593" i="14" s="1"/>
  <c r="H1592" i="14"/>
  <c r="H1591" i="14"/>
  <c r="H1590" i="14"/>
  <c r="G1589" i="14"/>
  <c r="H1589" i="14" s="1"/>
  <c r="H1588" i="14"/>
  <c r="G1587" i="14"/>
  <c r="H1587" i="14" s="1"/>
  <c r="G1586" i="14"/>
  <c r="H1586" i="14" s="1"/>
  <c r="G1585" i="14"/>
  <c r="H1585" i="14" s="1"/>
  <c r="H1584" i="14"/>
  <c r="G1583" i="14"/>
  <c r="H1583" i="14" s="1"/>
  <c r="G1582" i="14"/>
  <c r="H1582" i="14" s="1"/>
  <c r="H1581" i="14"/>
  <c r="G1580" i="14"/>
  <c r="H1580" i="14" s="1"/>
  <c r="G1579" i="14"/>
  <c r="H1579" i="14" s="1"/>
  <c r="H1578" i="14"/>
  <c r="G1577" i="14"/>
  <c r="H1577" i="14" s="1"/>
  <c r="G1576" i="14"/>
  <c r="H1576" i="14" s="1"/>
  <c r="H1575" i="14"/>
  <c r="G1574" i="14"/>
  <c r="H1574" i="14" s="1"/>
  <c r="G1573" i="14"/>
  <c r="H1573" i="14" s="1"/>
  <c r="H1572" i="14"/>
  <c r="G1571" i="14"/>
  <c r="H1571" i="14" s="1"/>
  <c r="G1570" i="14"/>
  <c r="H1570" i="14" s="1"/>
  <c r="H1569" i="14"/>
  <c r="G1568" i="14"/>
  <c r="H1568" i="14" s="1"/>
  <c r="G1567" i="14"/>
  <c r="H1567" i="14" s="1"/>
  <c r="H1566" i="14"/>
  <c r="G1565" i="14"/>
  <c r="H1565" i="14" s="1"/>
  <c r="G1564" i="14"/>
  <c r="H1564" i="14" s="1"/>
  <c r="H1563" i="14"/>
  <c r="G1562" i="14"/>
  <c r="H1562" i="14" s="1"/>
  <c r="G1561" i="14"/>
  <c r="H1561" i="14" s="1"/>
  <c r="H1560" i="14"/>
  <c r="G1559" i="14"/>
  <c r="H1559" i="14" s="1"/>
  <c r="G1558" i="14"/>
  <c r="H1558" i="14" s="1"/>
  <c r="G1557" i="14"/>
  <c r="H1557" i="14" s="1"/>
  <c r="G1556" i="14"/>
  <c r="H1556" i="14" s="1"/>
  <c r="H1555" i="14"/>
  <c r="G1554" i="14"/>
  <c r="H1554" i="14" s="1"/>
  <c r="G1553" i="14"/>
  <c r="H1553" i="14" s="1"/>
  <c r="G1552" i="14"/>
  <c r="H1552" i="14" s="1"/>
  <c r="G1551" i="14"/>
  <c r="H1551" i="14" s="1"/>
  <c r="G1550" i="14"/>
  <c r="H1550" i="14" s="1"/>
  <c r="H1549" i="14"/>
  <c r="G1548" i="14"/>
  <c r="H1548" i="14" s="1"/>
  <c r="G1547" i="14"/>
  <c r="H1547" i="14" s="1"/>
  <c r="G1546" i="14"/>
  <c r="H1546" i="14" s="1"/>
  <c r="G1545" i="14"/>
  <c r="H1545" i="14" s="1"/>
  <c r="H1544" i="14"/>
  <c r="G1543" i="14"/>
  <c r="H1543" i="14" s="1"/>
  <c r="G1542" i="14"/>
  <c r="H1542" i="14" s="1"/>
  <c r="G1541" i="14"/>
  <c r="H1541" i="14" s="1"/>
  <c r="G1540" i="14"/>
  <c r="H1540" i="14" s="1"/>
  <c r="H1539" i="14"/>
  <c r="G1538" i="14"/>
  <c r="H1538" i="14" s="1"/>
  <c r="G1537" i="14"/>
  <c r="H1537" i="14" s="1"/>
  <c r="G1536" i="14"/>
  <c r="H1536" i="14" s="1"/>
  <c r="G1535" i="14"/>
  <c r="H1535" i="14" s="1"/>
  <c r="H1534" i="14"/>
  <c r="G1533" i="14"/>
  <c r="H1533" i="14" s="1"/>
  <c r="G1532" i="14"/>
  <c r="H1532" i="14" s="1"/>
  <c r="G1531" i="14"/>
  <c r="H1531" i="14" s="1"/>
  <c r="G1530" i="14"/>
  <c r="H1530" i="14" s="1"/>
  <c r="H1529" i="14"/>
  <c r="G1528" i="14"/>
  <c r="H1528" i="14" s="1"/>
  <c r="G1527" i="14"/>
  <c r="H1527" i="14" s="1"/>
  <c r="G1526" i="14"/>
  <c r="H1526" i="14" s="1"/>
  <c r="G1525" i="14"/>
  <c r="H1525" i="14" s="1"/>
  <c r="H1524" i="14"/>
  <c r="G1523" i="14"/>
  <c r="H1523" i="14" s="1"/>
  <c r="G1522" i="14"/>
  <c r="H1522" i="14" s="1"/>
  <c r="G1521" i="14"/>
  <c r="H1521" i="14" s="1"/>
  <c r="G1520" i="14"/>
  <c r="H1520" i="14" s="1"/>
  <c r="H1519" i="14"/>
  <c r="G1518" i="14"/>
  <c r="H1518" i="14" s="1"/>
  <c r="G1517" i="14"/>
  <c r="H1517" i="14" s="1"/>
  <c r="G1516" i="14"/>
  <c r="H1516" i="14" s="1"/>
  <c r="G1515" i="14"/>
  <c r="H1515" i="14" s="1"/>
  <c r="H1514" i="14"/>
  <c r="G1513" i="14"/>
  <c r="H1513" i="14" s="1"/>
  <c r="G1512" i="14"/>
  <c r="H1512" i="14" s="1"/>
  <c r="G1511" i="14"/>
  <c r="H1511" i="14" s="1"/>
  <c r="G1510" i="14"/>
  <c r="H1510" i="14" s="1"/>
  <c r="G1509" i="14"/>
  <c r="H1509" i="14" s="1"/>
  <c r="H1508" i="14"/>
  <c r="G1507" i="14"/>
  <c r="H1507" i="14" s="1"/>
  <c r="G1506" i="14"/>
  <c r="H1506" i="14" s="1"/>
  <c r="G1505" i="14"/>
  <c r="H1505" i="14" s="1"/>
  <c r="G1504" i="14"/>
  <c r="H1504" i="14" s="1"/>
  <c r="G1503" i="14"/>
  <c r="H1503" i="14" s="1"/>
  <c r="H1502" i="14"/>
  <c r="G1501" i="14"/>
  <c r="H1501" i="14" s="1"/>
  <c r="G1500" i="14"/>
  <c r="H1500" i="14" s="1"/>
  <c r="G1499" i="14"/>
  <c r="H1499" i="14" s="1"/>
  <c r="G1498" i="14"/>
  <c r="H1498" i="14" s="1"/>
  <c r="G1497" i="14"/>
  <c r="H1497" i="14" s="1"/>
  <c r="H1496" i="14"/>
  <c r="G1495" i="14"/>
  <c r="H1495" i="14" s="1"/>
  <c r="G1494" i="14"/>
  <c r="H1494" i="14" s="1"/>
  <c r="G1493" i="14"/>
  <c r="H1493" i="14" s="1"/>
  <c r="G1492" i="14"/>
  <c r="H1492" i="14" s="1"/>
  <c r="G1491" i="14"/>
  <c r="H1491" i="14" s="1"/>
  <c r="H1490" i="14"/>
  <c r="G1489" i="14"/>
  <c r="H1489" i="14" s="1"/>
  <c r="G1488" i="14"/>
  <c r="H1488" i="14" s="1"/>
  <c r="G1487" i="14"/>
  <c r="H1487" i="14" s="1"/>
  <c r="G1486" i="14"/>
  <c r="H1486" i="14" s="1"/>
  <c r="G1485" i="14"/>
  <c r="H1485" i="14" s="1"/>
  <c r="G1484" i="14"/>
  <c r="H1484" i="14" s="1"/>
  <c r="H1483" i="14"/>
  <c r="G1482" i="14"/>
  <c r="H1482" i="14" s="1"/>
  <c r="G1481" i="14"/>
  <c r="H1481" i="14" s="1"/>
  <c r="G1480" i="14"/>
  <c r="H1480" i="14" s="1"/>
  <c r="G1479" i="14"/>
  <c r="H1479" i="14" s="1"/>
  <c r="G1478" i="14"/>
  <c r="H1478" i="14" s="1"/>
  <c r="G1477" i="14"/>
  <c r="H1477" i="14" s="1"/>
  <c r="H1476" i="14"/>
  <c r="G1475" i="14"/>
  <c r="H1475" i="14" s="1"/>
  <c r="G1474" i="14"/>
  <c r="H1474" i="14" s="1"/>
  <c r="G1473" i="14"/>
  <c r="H1473" i="14" s="1"/>
  <c r="G1472" i="14"/>
  <c r="H1472" i="14" s="1"/>
  <c r="H1471" i="14"/>
  <c r="G1470" i="14"/>
  <c r="H1470" i="14" s="1"/>
  <c r="G1469" i="14"/>
  <c r="H1469" i="14" s="1"/>
  <c r="G1468" i="14"/>
  <c r="H1468" i="14" s="1"/>
  <c r="G1467" i="14"/>
  <c r="H1467" i="14" s="1"/>
  <c r="G1466" i="14"/>
  <c r="H1466" i="14" s="1"/>
  <c r="H1465" i="14"/>
  <c r="G1464" i="14"/>
  <c r="H1464" i="14" s="1"/>
  <c r="G1463" i="14"/>
  <c r="H1463" i="14" s="1"/>
  <c r="G1462" i="14"/>
  <c r="H1462" i="14" s="1"/>
  <c r="G1461" i="14"/>
  <c r="H1461" i="14" s="1"/>
  <c r="G1460" i="14"/>
  <c r="H1460" i="14" s="1"/>
  <c r="G1459" i="14"/>
  <c r="H1459" i="14" s="1"/>
  <c r="H1458" i="14"/>
  <c r="G1457" i="14"/>
  <c r="H1457" i="14" s="1"/>
  <c r="G1456" i="14"/>
  <c r="H1456" i="14" s="1"/>
  <c r="G1455" i="14"/>
  <c r="H1455" i="14" s="1"/>
  <c r="G1454" i="14"/>
  <c r="H1454" i="14" s="1"/>
  <c r="G1453" i="14"/>
  <c r="H1453" i="14" s="1"/>
  <c r="H1452" i="14"/>
  <c r="G1451" i="14"/>
  <c r="H1451" i="14" s="1"/>
  <c r="G1450" i="14"/>
  <c r="H1450" i="14" s="1"/>
  <c r="G1449" i="14"/>
  <c r="H1449" i="14" s="1"/>
  <c r="G1448" i="14"/>
  <c r="H1448" i="14" s="1"/>
  <c r="G1447" i="14"/>
  <c r="H1447" i="14" s="1"/>
  <c r="H1446" i="14"/>
  <c r="G1445" i="14"/>
  <c r="H1445" i="14" s="1"/>
  <c r="G1444" i="14"/>
  <c r="H1444" i="14" s="1"/>
  <c r="G1443" i="14"/>
  <c r="H1443" i="14" s="1"/>
  <c r="G1442" i="14"/>
  <c r="H1442" i="14" s="1"/>
  <c r="H1441" i="14"/>
  <c r="G1440" i="14"/>
  <c r="H1440" i="14" s="1"/>
  <c r="G1439" i="14"/>
  <c r="H1439" i="14" s="1"/>
  <c r="G1438" i="14"/>
  <c r="H1438" i="14" s="1"/>
  <c r="G1437" i="14"/>
  <c r="H1437" i="14" s="1"/>
  <c r="G1436" i="14"/>
  <c r="H1436" i="14" s="1"/>
  <c r="H1435" i="14"/>
  <c r="G1434" i="14"/>
  <c r="H1434" i="14" s="1"/>
  <c r="G1433" i="14"/>
  <c r="H1433" i="14" s="1"/>
  <c r="G1432" i="14"/>
  <c r="H1432" i="14" s="1"/>
  <c r="G1431" i="14"/>
  <c r="H1431" i="14" s="1"/>
  <c r="G1430" i="14"/>
  <c r="H1430" i="14" s="1"/>
  <c r="G1429" i="14"/>
  <c r="H1429" i="14" s="1"/>
  <c r="H1428" i="14"/>
  <c r="G1427" i="14"/>
  <c r="H1427" i="14" s="1"/>
  <c r="G1426" i="14"/>
  <c r="H1426" i="14" s="1"/>
  <c r="G1425" i="14"/>
  <c r="H1425" i="14" s="1"/>
  <c r="G1424" i="14"/>
  <c r="H1424" i="14" s="1"/>
  <c r="G1423" i="14"/>
  <c r="H1423" i="14" s="1"/>
  <c r="H1422" i="14"/>
  <c r="G1421" i="14"/>
  <c r="H1421" i="14" s="1"/>
  <c r="G1420" i="14"/>
  <c r="H1420" i="14" s="1"/>
  <c r="G1419" i="14"/>
  <c r="H1419" i="14" s="1"/>
  <c r="G1418" i="14"/>
  <c r="H1418" i="14" s="1"/>
  <c r="G1417" i="14"/>
  <c r="H1417" i="14" s="1"/>
  <c r="H1416" i="14"/>
  <c r="G1415" i="14"/>
  <c r="H1415" i="14" s="1"/>
  <c r="G1414" i="14"/>
  <c r="H1414" i="14" s="1"/>
  <c r="G1413" i="14"/>
  <c r="H1413" i="14" s="1"/>
  <c r="G1412" i="14"/>
  <c r="H1412" i="14" s="1"/>
  <c r="G1411" i="14"/>
  <c r="H1411" i="14" s="1"/>
  <c r="H1410" i="14"/>
  <c r="G1409" i="14"/>
  <c r="H1409" i="14" s="1"/>
  <c r="G1408" i="14"/>
  <c r="H1408" i="14" s="1"/>
  <c r="G1407" i="14"/>
  <c r="H1407" i="14" s="1"/>
  <c r="G1406" i="14"/>
  <c r="H1406" i="14" s="1"/>
  <c r="H1405" i="14"/>
  <c r="G1404" i="14"/>
  <c r="H1404" i="14" s="1"/>
  <c r="G1403" i="14"/>
  <c r="H1403" i="14" s="1"/>
  <c r="G1402" i="14"/>
  <c r="H1402" i="14" s="1"/>
  <c r="G1401" i="14"/>
  <c r="H1401" i="14" s="1"/>
  <c r="G1400" i="14"/>
  <c r="H1400" i="14" s="1"/>
  <c r="H1399" i="14"/>
  <c r="G1398" i="14"/>
  <c r="H1398" i="14" s="1"/>
  <c r="G1397" i="14"/>
  <c r="H1397" i="14" s="1"/>
  <c r="G1396" i="14"/>
  <c r="H1396" i="14" s="1"/>
  <c r="G1395" i="14"/>
  <c r="H1395" i="14" s="1"/>
  <c r="G1394" i="14"/>
  <c r="H1394" i="14" s="1"/>
  <c r="G1393" i="14"/>
  <c r="H1393" i="14" s="1"/>
  <c r="H1392" i="14"/>
  <c r="G1391" i="14"/>
  <c r="H1391" i="14" s="1"/>
  <c r="G1390" i="14"/>
  <c r="H1390" i="14" s="1"/>
  <c r="G1389" i="14"/>
  <c r="H1389" i="14" s="1"/>
  <c r="G1388" i="14"/>
  <c r="H1388" i="14" s="1"/>
  <c r="G1387" i="14"/>
  <c r="H1387" i="14" s="1"/>
  <c r="H1386" i="14"/>
  <c r="G1385" i="14"/>
  <c r="H1385" i="14" s="1"/>
  <c r="G1384" i="14"/>
  <c r="H1384" i="14" s="1"/>
  <c r="G1383" i="14"/>
  <c r="H1383" i="14" s="1"/>
  <c r="G1382" i="14"/>
  <c r="H1382" i="14" s="1"/>
  <c r="G1381" i="14"/>
  <c r="H1381" i="14" s="1"/>
  <c r="H1380" i="14"/>
  <c r="G1379" i="14"/>
  <c r="H1379" i="14" s="1"/>
  <c r="G1378" i="14"/>
  <c r="H1378" i="14" s="1"/>
  <c r="G1377" i="14"/>
  <c r="H1377" i="14" s="1"/>
  <c r="G1376" i="14"/>
  <c r="H1376" i="14" s="1"/>
  <c r="G1375" i="14"/>
  <c r="H1375" i="14" s="1"/>
  <c r="H1374" i="14"/>
  <c r="G1373" i="14"/>
  <c r="H1373" i="14" s="1"/>
  <c r="G1372" i="14"/>
  <c r="H1372" i="14" s="1"/>
  <c r="G1371" i="14"/>
  <c r="H1371" i="14" s="1"/>
  <c r="G1370" i="14"/>
  <c r="H1370" i="14" s="1"/>
  <c r="G1369" i="14"/>
  <c r="H1369" i="14" s="1"/>
  <c r="H1368" i="14"/>
  <c r="G1367" i="14"/>
  <c r="H1367" i="14" s="1"/>
  <c r="G1366" i="14"/>
  <c r="H1366" i="14" s="1"/>
  <c r="G1365" i="14"/>
  <c r="H1365" i="14" s="1"/>
  <c r="G1364" i="14"/>
  <c r="H1364" i="14" s="1"/>
  <c r="H1363" i="14"/>
  <c r="G1362" i="14"/>
  <c r="H1362" i="14" s="1"/>
  <c r="G1361" i="14"/>
  <c r="H1361" i="14" s="1"/>
  <c r="G1360" i="14"/>
  <c r="H1360" i="14" s="1"/>
  <c r="G1359" i="14"/>
  <c r="H1359" i="14" s="1"/>
  <c r="H1358" i="14"/>
  <c r="G1357" i="14"/>
  <c r="H1357" i="14" s="1"/>
  <c r="G1356" i="14"/>
  <c r="H1356" i="14" s="1"/>
  <c r="G1355" i="14"/>
  <c r="H1355" i="14" s="1"/>
  <c r="G1354" i="14"/>
  <c r="H1354" i="14" s="1"/>
  <c r="H1353" i="14"/>
  <c r="G1352" i="14"/>
  <c r="H1352" i="14" s="1"/>
  <c r="G1351" i="14"/>
  <c r="H1351" i="14" s="1"/>
  <c r="G1350" i="14"/>
  <c r="H1350" i="14" s="1"/>
  <c r="G1349" i="14"/>
  <c r="H1349" i="14" s="1"/>
  <c r="H1348" i="14"/>
  <c r="G1347" i="14"/>
  <c r="H1347" i="14" s="1"/>
  <c r="G1346" i="14"/>
  <c r="H1346" i="14" s="1"/>
  <c r="G1345" i="14"/>
  <c r="H1345" i="14" s="1"/>
  <c r="G1344" i="14"/>
  <c r="H1344" i="14" s="1"/>
  <c r="H1343" i="14"/>
  <c r="G1342" i="14"/>
  <c r="H1342" i="14" s="1"/>
  <c r="G1341" i="14"/>
  <c r="H1341" i="14" s="1"/>
  <c r="G1340" i="14"/>
  <c r="H1340" i="14" s="1"/>
  <c r="G1339" i="14"/>
  <c r="H1339" i="14" s="1"/>
  <c r="H1338" i="14"/>
  <c r="H1337" i="14"/>
  <c r="H1336" i="14"/>
  <c r="H1335" i="14"/>
  <c r="H1334" i="14"/>
  <c r="G1333" i="14"/>
  <c r="H1333" i="14" s="1"/>
  <c r="G1332" i="14"/>
  <c r="H1332" i="14" s="1"/>
  <c r="H1331" i="14"/>
  <c r="G1330" i="14"/>
  <c r="H1330" i="14" s="1"/>
  <c r="G1329" i="14"/>
  <c r="H1329" i="14" s="1"/>
  <c r="H1328" i="14"/>
  <c r="G1327" i="14"/>
  <c r="H1327" i="14" s="1"/>
  <c r="G1326" i="14"/>
  <c r="H1326" i="14" s="1"/>
  <c r="H1325" i="14"/>
  <c r="G1324" i="14"/>
  <c r="H1324" i="14" s="1"/>
  <c r="G1323" i="14"/>
  <c r="H1323" i="14" s="1"/>
  <c r="H1322" i="14"/>
  <c r="G1321" i="14"/>
  <c r="H1321" i="14" s="1"/>
  <c r="G1320" i="14"/>
  <c r="H1320" i="14" s="1"/>
  <c r="H1319" i="14"/>
  <c r="G1318" i="14"/>
  <c r="H1318" i="14" s="1"/>
  <c r="G1317" i="14"/>
  <c r="H1317" i="14" s="1"/>
  <c r="H1316" i="14"/>
  <c r="G1315" i="14"/>
  <c r="H1315" i="14" s="1"/>
  <c r="G1314" i="14"/>
  <c r="H1314" i="14" s="1"/>
  <c r="H1313" i="14"/>
  <c r="G1312" i="14"/>
  <c r="H1312" i="14" s="1"/>
  <c r="G1311" i="14"/>
  <c r="H1311" i="14" s="1"/>
  <c r="H1310" i="14"/>
  <c r="G1309" i="14"/>
  <c r="H1309" i="14" s="1"/>
  <c r="G1308" i="14"/>
  <c r="H1308" i="14" s="1"/>
  <c r="H1307" i="14"/>
  <c r="G1306" i="14"/>
  <c r="H1306" i="14" s="1"/>
  <c r="G1305" i="14"/>
  <c r="H1305" i="14" s="1"/>
  <c r="H1304" i="14"/>
  <c r="G1303" i="14"/>
  <c r="H1303" i="14" s="1"/>
  <c r="G1302" i="14"/>
  <c r="H1302" i="14" s="1"/>
  <c r="H1301" i="14"/>
  <c r="G1300" i="14"/>
  <c r="H1300" i="14" s="1"/>
  <c r="G1299" i="14"/>
  <c r="H1299" i="14" s="1"/>
  <c r="H1298" i="14"/>
  <c r="G1297" i="14"/>
  <c r="H1297" i="14" s="1"/>
  <c r="G1296" i="14"/>
  <c r="H1296" i="14" s="1"/>
  <c r="H1295" i="14"/>
  <c r="G1294" i="14"/>
  <c r="H1294" i="14" s="1"/>
  <c r="G1293" i="14"/>
  <c r="H1293" i="14" s="1"/>
  <c r="H1292" i="14"/>
  <c r="G1291" i="14"/>
  <c r="H1291" i="14" s="1"/>
  <c r="G1290" i="14"/>
  <c r="H1290" i="14" s="1"/>
  <c r="H1289" i="14"/>
  <c r="G1288" i="14"/>
  <c r="H1288" i="14" s="1"/>
  <c r="G1287" i="14"/>
  <c r="H1287" i="14" s="1"/>
  <c r="H1286" i="14"/>
  <c r="G1285" i="14"/>
  <c r="H1285" i="14" s="1"/>
  <c r="G1284" i="14"/>
  <c r="H1284" i="14" s="1"/>
  <c r="H1283" i="14"/>
  <c r="G1282" i="14"/>
  <c r="H1282" i="14" s="1"/>
  <c r="G1281" i="14"/>
  <c r="H1281" i="14" s="1"/>
  <c r="H1280" i="14"/>
  <c r="G1279" i="14"/>
  <c r="H1279" i="14" s="1"/>
  <c r="G1278" i="14"/>
  <c r="H1278" i="14" s="1"/>
  <c r="H1277" i="14"/>
  <c r="G1276" i="14"/>
  <c r="H1276" i="14" s="1"/>
  <c r="G1275" i="14"/>
  <c r="H1275" i="14" s="1"/>
  <c r="H1274" i="14"/>
  <c r="G1273" i="14"/>
  <c r="H1273" i="14" s="1"/>
  <c r="G1272" i="14"/>
  <c r="H1272" i="14" s="1"/>
  <c r="H1271" i="14"/>
  <c r="G1270" i="14"/>
  <c r="H1270" i="14" s="1"/>
  <c r="G1269" i="14"/>
  <c r="H1269" i="14" s="1"/>
  <c r="H1268" i="14"/>
  <c r="G1267" i="14"/>
  <c r="H1267" i="14" s="1"/>
  <c r="G1266" i="14"/>
  <c r="H1266" i="14" s="1"/>
  <c r="H1265" i="14"/>
  <c r="G1264" i="14"/>
  <c r="H1264" i="14" s="1"/>
  <c r="G1263" i="14"/>
  <c r="H1263" i="14" s="1"/>
  <c r="H1262" i="14"/>
  <c r="G1261" i="14"/>
  <c r="H1261" i="14" s="1"/>
  <c r="G1260" i="14"/>
  <c r="H1260" i="14" s="1"/>
  <c r="H1259" i="14"/>
  <c r="H1258" i="14"/>
  <c r="H1257" i="14"/>
  <c r="H1256" i="14"/>
  <c r="H1255" i="14"/>
  <c r="H1254" i="14"/>
  <c r="H1253" i="14"/>
  <c r="H1252" i="14"/>
  <c r="H1251" i="14"/>
  <c r="H1250" i="14"/>
  <c r="H1249" i="14"/>
  <c r="H1248" i="14"/>
  <c r="H1247" i="14"/>
  <c r="H1246" i="14"/>
  <c r="H1245" i="14"/>
  <c r="H1244" i="14"/>
  <c r="H1243" i="14"/>
  <c r="G1242" i="14"/>
  <c r="H1242" i="14" s="1"/>
  <c r="G1241" i="14"/>
  <c r="H1241" i="14" s="1"/>
  <c r="G1240" i="14"/>
  <c r="H1240" i="14" s="1"/>
  <c r="G1239" i="14"/>
  <c r="H1239" i="14" s="1"/>
  <c r="G1238" i="14"/>
  <c r="H1238" i="14" s="1"/>
  <c r="G1237" i="14"/>
  <c r="H1237" i="14" s="1"/>
  <c r="G1236" i="14"/>
  <c r="H1236" i="14" s="1"/>
  <c r="G1235" i="14"/>
  <c r="H1235" i="14" s="1"/>
  <c r="G1234" i="14"/>
  <c r="H1234" i="14" s="1"/>
  <c r="G1233" i="14"/>
  <c r="H1233" i="14" s="1"/>
  <c r="H1232" i="14"/>
  <c r="G1231" i="14"/>
  <c r="H1231" i="14" s="1"/>
  <c r="G1230" i="14"/>
  <c r="H1230" i="14" s="1"/>
  <c r="G1229" i="14"/>
  <c r="H1229" i="14" s="1"/>
  <c r="G1228" i="14"/>
  <c r="H1228" i="14" s="1"/>
  <c r="G1227" i="14"/>
  <c r="H1227" i="14" s="1"/>
  <c r="G1226" i="14"/>
  <c r="H1226" i="14" s="1"/>
  <c r="G1225" i="14"/>
  <c r="H1225" i="14" s="1"/>
  <c r="G1224" i="14"/>
  <c r="H1224" i="14" s="1"/>
  <c r="G1223" i="14"/>
  <c r="H1223" i="14" s="1"/>
  <c r="G1222" i="14"/>
  <c r="H1222" i="14" s="1"/>
  <c r="H1221" i="14"/>
  <c r="G1220" i="14"/>
  <c r="H1220" i="14" s="1"/>
  <c r="G1219" i="14"/>
  <c r="H1219" i="14" s="1"/>
  <c r="G1218" i="14"/>
  <c r="H1218" i="14" s="1"/>
  <c r="G1217" i="14"/>
  <c r="H1217" i="14" s="1"/>
  <c r="G1216" i="14"/>
  <c r="H1216" i="14" s="1"/>
  <c r="G1215" i="14"/>
  <c r="H1215" i="14" s="1"/>
  <c r="G1214" i="14"/>
  <c r="H1214" i="14" s="1"/>
  <c r="G1213" i="14"/>
  <c r="H1213" i="14" s="1"/>
  <c r="G1212" i="14"/>
  <c r="H1212" i="14" s="1"/>
  <c r="G1211" i="14"/>
  <c r="H1211" i="14" s="1"/>
  <c r="H1210" i="14"/>
  <c r="G1209" i="14"/>
  <c r="H1209" i="14" s="1"/>
  <c r="G1208" i="14"/>
  <c r="H1208" i="14" s="1"/>
  <c r="G1207" i="14"/>
  <c r="H1207" i="14" s="1"/>
  <c r="G1206" i="14"/>
  <c r="H1206" i="14" s="1"/>
  <c r="G1205" i="14"/>
  <c r="H1205" i="14" s="1"/>
  <c r="G1204" i="14"/>
  <c r="H1204" i="14" s="1"/>
  <c r="G1203" i="14"/>
  <c r="H1203" i="14" s="1"/>
  <c r="G1202" i="14"/>
  <c r="H1202" i="14" s="1"/>
  <c r="G1201" i="14"/>
  <c r="H1201" i="14" s="1"/>
  <c r="G1200" i="14"/>
  <c r="H1200" i="14" s="1"/>
  <c r="H1199" i="14"/>
  <c r="G1198" i="14"/>
  <c r="H1198" i="14" s="1"/>
  <c r="G1197" i="14"/>
  <c r="H1197" i="14" s="1"/>
  <c r="G1196" i="14"/>
  <c r="H1196" i="14" s="1"/>
  <c r="G1195" i="14"/>
  <c r="H1195" i="14" s="1"/>
  <c r="G1194" i="14"/>
  <c r="H1194" i="14" s="1"/>
  <c r="G1193" i="14"/>
  <c r="H1193" i="14" s="1"/>
  <c r="G1192" i="14"/>
  <c r="H1192" i="14" s="1"/>
  <c r="G1191" i="14"/>
  <c r="H1191" i="14" s="1"/>
  <c r="G1190" i="14"/>
  <c r="H1190" i="14" s="1"/>
  <c r="G1189" i="14"/>
  <c r="H1189" i="14" s="1"/>
  <c r="H1188" i="14"/>
  <c r="G1187" i="14"/>
  <c r="H1187" i="14" s="1"/>
  <c r="G1186" i="14"/>
  <c r="H1186" i="14" s="1"/>
  <c r="G1185" i="14"/>
  <c r="H1185" i="14" s="1"/>
  <c r="G1184" i="14"/>
  <c r="H1184" i="14" s="1"/>
  <c r="G1183" i="14"/>
  <c r="H1183" i="14" s="1"/>
  <c r="G1182" i="14"/>
  <c r="H1182" i="14" s="1"/>
  <c r="G1181" i="14"/>
  <c r="H1181" i="14" s="1"/>
  <c r="G1180" i="14"/>
  <c r="H1180" i="14" s="1"/>
  <c r="G1179" i="14"/>
  <c r="H1179" i="14" s="1"/>
  <c r="G1178" i="14"/>
  <c r="H1178" i="14" s="1"/>
  <c r="H1177" i="14"/>
  <c r="G1176" i="14"/>
  <c r="H1176" i="14" s="1"/>
  <c r="G1175" i="14"/>
  <c r="H1175" i="14" s="1"/>
  <c r="G1174" i="14"/>
  <c r="H1174" i="14" s="1"/>
  <c r="G1173" i="14"/>
  <c r="H1173" i="14" s="1"/>
  <c r="G1172" i="14"/>
  <c r="H1172" i="14" s="1"/>
  <c r="G1171" i="14"/>
  <c r="H1171" i="14" s="1"/>
  <c r="G1170" i="14"/>
  <c r="H1170" i="14" s="1"/>
  <c r="G1169" i="14"/>
  <c r="H1169" i="14" s="1"/>
  <c r="G1168" i="14"/>
  <c r="H1168" i="14" s="1"/>
  <c r="H1167" i="14"/>
  <c r="H1166" i="14"/>
  <c r="G1165" i="14"/>
  <c r="H1165" i="14" s="1"/>
  <c r="G1164" i="14"/>
  <c r="H1164" i="14" s="1"/>
  <c r="G1163" i="14"/>
  <c r="H1163" i="14" s="1"/>
  <c r="G1162" i="14"/>
  <c r="H1162" i="14" s="1"/>
  <c r="G1161" i="14"/>
  <c r="H1161" i="14" s="1"/>
  <c r="G1160" i="14"/>
  <c r="H1160" i="14" s="1"/>
  <c r="G1159" i="14"/>
  <c r="H1159" i="14" s="1"/>
  <c r="G1158" i="14"/>
  <c r="H1158" i="14" s="1"/>
  <c r="G1157" i="14"/>
  <c r="H1157" i="14" s="1"/>
  <c r="G1156" i="14"/>
  <c r="H1156" i="14" s="1"/>
  <c r="H1155" i="14"/>
  <c r="G1154" i="14"/>
  <c r="H1154" i="14" s="1"/>
  <c r="G1153" i="14"/>
  <c r="H1153" i="14" s="1"/>
  <c r="G1152" i="14"/>
  <c r="H1152" i="14" s="1"/>
  <c r="G1151" i="14"/>
  <c r="H1151" i="14" s="1"/>
  <c r="G1150" i="14"/>
  <c r="H1150" i="14" s="1"/>
  <c r="G1149" i="14"/>
  <c r="H1149" i="14" s="1"/>
  <c r="G1148" i="14"/>
  <c r="H1148" i="14" s="1"/>
  <c r="G1147" i="14"/>
  <c r="H1147" i="14" s="1"/>
  <c r="G1146" i="14"/>
  <c r="H1146" i="14" s="1"/>
  <c r="G1145" i="14"/>
  <c r="H1145" i="14" s="1"/>
  <c r="G1144" i="14"/>
  <c r="H1144" i="14" s="1"/>
  <c r="H1143" i="14"/>
  <c r="G1142" i="14"/>
  <c r="H1142" i="14" s="1"/>
  <c r="G1141" i="14"/>
  <c r="H1141" i="14" s="1"/>
  <c r="G1140" i="14"/>
  <c r="H1140" i="14" s="1"/>
  <c r="G1139" i="14"/>
  <c r="H1139" i="14" s="1"/>
  <c r="G1138" i="14"/>
  <c r="H1138" i="14" s="1"/>
  <c r="G1137" i="14"/>
  <c r="H1137" i="14" s="1"/>
  <c r="G1136" i="14"/>
  <c r="H1136" i="14" s="1"/>
  <c r="G1135" i="14"/>
  <c r="H1135" i="14" s="1"/>
  <c r="G1134" i="14"/>
  <c r="H1134" i="14" s="1"/>
  <c r="G1133" i="14"/>
  <c r="H1133" i="14" s="1"/>
  <c r="G1132" i="14"/>
  <c r="H1132" i="14" s="1"/>
  <c r="H1131" i="14"/>
  <c r="G1130" i="14"/>
  <c r="H1130" i="14" s="1"/>
  <c r="G1129" i="14"/>
  <c r="H1129" i="14" s="1"/>
  <c r="G1128" i="14"/>
  <c r="H1128" i="14" s="1"/>
  <c r="G1127" i="14"/>
  <c r="H1127" i="14" s="1"/>
  <c r="G1126" i="14"/>
  <c r="H1126" i="14" s="1"/>
  <c r="G1125" i="14"/>
  <c r="H1125" i="14" s="1"/>
  <c r="G1124" i="14"/>
  <c r="H1124" i="14" s="1"/>
  <c r="G1123" i="14"/>
  <c r="H1123" i="14" s="1"/>
  <c r="G1122" i="14"/>
  <c r="H1122" i="14" s="1"/>
  <c r="G1121" i="14"/>
  <c r="H1121" i="14" s="1"/>
  <c r="G1120" i="14"/>
  <c r="H1120" i="14" s="1"/>
  <c r="H1119" i="14"/>
  <c r="G1118" i="14"/>
  <c r="H1118" i="14" s="1"/>
  <c r="G1117" i="14"/>
  <c r="H1117" i="14" s="1"/>
  <c r="G1116" i="14"/>
  <c r="H1116" i="14" s="1"/>
  <c r="G1115" i="14"/>
  <c r="H1115" i="14" s="1"/>
  <c r="G1114" i="14"/>
  <c r="H1114" i="14" s="1"/>
  <c r="G1113" i="14"/>
  <c r="H1113" i="14" s="1"/>
  <c r="G1112" i="14"/>
  <c r="H1112" i="14" s="1"/>
  <c r="G1111" i="14"/>
  <c r="H1111" i="14" s="1"/>
  <c r="G1110" i="14"/>
  <c r="H1110" i="14" s="1"/>
  <c r="G1109" i="14"/>
  <c r="H1109" i="14" s="1"/>
  <c r="G1108" i="14"/>
  <c r="H1108" i="14" s="1"/>
  <c r="H1107" i="14"/>
  <c r="G1106" i="14"/>
  <c r="H1106" i="14" s="1"/>
  <c r="G1105" i="14"/>
  <c r="H1105" i="14" s="1"/>
  <c r="G1104" i="14"/>
  <c r="H1104" i="14" s="1"/>
  <c r="G1103" i="14"/>
  <c r="H1103" i="14" s="1"/>
  <c r="G1102" i="14"/>
  <c r="H1102" i="14" s="1"/>
  <c r="G1101" i="14"/>
  <c r="H1101" i="14" s="1"/>
  <c r="G1100" i="14"/>
  <c r="H1100" i="14" s="1"/>
  <c r="G1099" i="14"/>
  <c r="H1099" i="14" s="1"/>
  <c r="G1098" i="14"/>
  <c r="H1098" i="14" s="1"/>
  <c r="G1097" i="14"/>
  <c r="H1097" i="14" s="1"/>
  <c r="G1096" i="14"/>
  <c r="H1096" i="14" s="1"/>
  <c r="H1095" i="14"/>
  <c r="G1094" i="14"/>
  <c r="H1094" i="14" s="1"/>
  <c r="G1093" i="14"/>
  <c r="H1093" i="14" s="1"/>
  <c r="G1092" i="14"/>
  <c r="H1092" i="14" s="1"/>
  <c r="G1091" i="14"/>
  <c r="H1091" i="14" s="1"/>
  <c r="G1090" i="14"/>
  <c r="H1090" i="14" s="1"/>
  <c r="G1089" i="14"/>
  <c r="H1089" i="14" s="1"/>
  <c r="G1088" i="14"/>
  <c r="H1088" i="14" s="1"/>
  <c r="G1087" i="14"/>
  <c r="H1087" i="14" s="1"/>
  <c r="G1086" i="14"/>
  <c r="H1086" i="14" s="1"/>
  <c r="G1085" i="14"/>
  <c r="H1085" i="14" s="1"/>
  <c r="G1084" i="14"/>
  <c r="H1084" i="14" s="1"/>
  <c r="H1083" i="14"/>
  <c r="G1082" i="14"/>
  <c r="H1082" i="14" s="1"/>
  <c r="G1081" i="14"/>
  <c r="H1081" i="14" s="1"/>
  <c r="G1080" i="14"/>
  <c r="H1080" i="14" s="1"/>
  <c r="G1079" i="14"/>
  <c r="H1079" i="14" s="1"/>
  <c r="G1078" i="14"/>
  <c r="H1078" i="14" s="1"/>
  <c r="G1077" i="14"/>
  <c r="H1077" i="14" s="1"/>
  <c r="G1076" i="14"/>
  <c r="H1076" i="14" s="1"/>
  <c r="G1075" i="14"/>
  <c r="H1075" i="14" s="1"/>
  <c r="G1074" i="14"/>
  <c r="H1074" i="14" s="1"/>
  <c r="G1073" i="14"/>
  <c r="H1073" i="14" s="1"/>
  <c r="G1072" i="14"/>
  <c r="H1072" i="14" s="1"/>
  <c r="H1071" i="14"/>
  <c r="G1070" i="14"/>
  <c r="H1070" i="14" s="1"/>
  <c r="G1069" i="14"/>
  <c r="H1069" i="14" s="1"/>
  <c r="G1068" i="14"/>
  <c r="H1068" i="14" s="1"/>
  <c r="G1067" i="14"/>
  <c r="H1067" i="14" s="1"/>
  <c r="G1066" i="14"/>
  <c r="H1066" i="14" s="1"/>
  <c r="G1065" i="14"/>
  <c r="H1065" i="14" s="1"/>
  <c r="G1064" i="14"/>
  <c r="H1064" i="14" s="1"/>
  <c r="G1063" i="14"/>
  <c r="H1063" i="14" s="1"/>
  <c r="G1062" i="14"/>
  <c r="H1062" i="14" s="1"/>
  <c r="G1061" i="14"/>
  <c r="H1061" i="14" s="1"/>
  <c r="G1060" i="14"/>
  <c r="H1060" i="14" s="1"/>
  <c r="H1059" i="14"/>
  <c r="G1058" i="14"/>
  <c r="H1058" i="14" s="1"/>
  <c r="G1057" i="14"/>
  <c r="H1057" i="14" s="1"/>
  <c r="H1056" i="14"/>
  <c r="G1055" i="14"/>
  <c r="H1055" i="14" s="1"/>
  <c r="G1054" i="14"/>
  <c r="H1054" i="14" s="1"/>
  <c r="G1053" i="14"/>
  <c r="H1053" i="14" s="1"/>
  <c r="G1052" i="14"/>
  <c r="H1052" i="14" s="1"/>
  <c r="G1051" i="14"/>
  <c r="H1051" i="14" s="1"/>
  <c r="H1050" i="14"/>
  <c r="G1049" i="14"/>
  <c r="H1049" i="14" s="1"/>
  <c r="G1048" i="14"/>
  <c r="H1048" i="14" s="1"/>
  <c r="G1047" i="14"/>
  <c r="H1047" i="14" s="1"/>
  <c r="G1046" i="14"/>
  <c r="H1046" i="14" s="1"/>
  <c r="G1045" i="14"/>
  <c r="H1045" i="14" s="1"/>
  <c r="H1044" i="14"/>
  <c r="G1043" i="14"/>
  <c r="H1043" i="14" s="1"/>
  <c r="G1042" i="14"/>
  <c r="H1042" i="14" s="1"/>
  <c r="G1041" i="14"/>
  <c r="H1041" i="14" s="1"/>
  <c r="G1040" i="14"/>
  <c r="H1040" i="14" s="1"/>
  <c r="G1039" i="14"/>
  <c r="H1039" i="14" s="1"/>
  <c r="H1038" i="14"/>
  <c r="G1037" i="14"/>
  <c r="H1037" i="14" s="1"/>
  <c r="G1036" i="14"/>
  <c r="H1036" i="14" s="1"/>
  <c r="G1035" i="14"/>
  <c r="H1035" i="14" s="1"/>
  <c r="G1034" i="14"/>
  <c r="H1034" i="14" s="1"/>
  <c r="G1033" i="14"/>
  <c r="H1033" i="14" s="1"/>
  <c r="H1032" i="14"/>
  <c r="G1031" i="14"/>
  <c r="H1031" i="14" s="1"/>
  <c r="G1030" i="14"/>
  <c r="H1030" i="14" s="1"/>
  <c r="G1029" i="14"/>
  <c r="H1029" i="14" s="1"/>
  <c r="G1028" i="14"/>
  <c r="H1028" i="14" s="1"/>
  <c r="G1027" i="14"/>
  <c r="H1027" i="14" s="1"/>
  <c r="H1026" i="14"/>
  <c r="G1025" i="14"/>
  <c r="H1025" i="14" s="1"/>
  <c r="G1024" i="14"/>
  <c r="H1024" i="14" s="1"/>
  <c r="G1023" i="14"/>
  <c r="H1023" i="14" s="1"/>
  <c r="G1022" i="14"/>
  <c r="H1022" i="14" s="1"/>
  <c r="G1021" i="14"/>
  <c r="H1021" i="14" s="1"/>
  <c r="H1020" i="14"/>
  <c r="G1019" i="14"/>
  <c r="H1019" i="14" s="1"/>
  <c r="G1018" i="14"/>
  <c r="H1018" i="14" s="1"/>
  <c r="G1017" i="14"/>
  <c r="H1017" i="14" s="1"/>
  <c r="G1016" i="14"/>
  <c r="H1016" i="14" s="1"/>
  <c r="G1015" i="14"/>
  <c r="H1015" i="14" s="1"/>
  <c r="H1014" i="14"/>
  <c r="G1013" i="14"/>
  <c r="H1013" i="14" s="1"/>
  <c r="G1012" i="14"/>
  <c r="H1012" i="14" s="1"/>
  <c r="G1011" i="14"/>
  <c r="H1011" i="14" s="1"/>
  <c r="G1010" i="14"/>
  <c r="H1010" i="14" s="1"/>
  <c r="G1009" i="14"/>
  <c r="H1009" i="14" s="1"/>
  <c r="H1008" i="14"/>
  <c r="G1007" i="14"/>
  <c r="H1007" i="14" s="1"/>
  <c r="G1006" i="14"/>
  <c r="H1006" i="14" s="1"/>
  <c r="G1005" i="14"/>
  <c r="H1005" i="14" s="1"/>
  <c r="G1004" i="14"/>
  <c r="H1004" i="14" s="1"/>
  <c r="G1003" i="14"/>
  <c r="H1003" i="14" s="1"/>
  <c r="H1002" i="14"/>
  <c r="G1001" i="14"/>
  <c r="H1001" i="14" s="1"/>
  <c r="G1000" i="14"/>
  <c r="H1000" i="14" s="1"/>
  <c r="G999" i="14"/>
  <c r="H999" i="14" s="1"/>
  <c r="G998" i="14"/>
  <c r="H998" i="14" s="1"/>
  <c r="G997" i="14"/>
  <c r="H997" i="14" s="1"/>
  <c r="H996" i="14"/>
  <c r="G995" i="14"/>
  <c r="H995" i="14" s="1"/>
  <c r="G994" i="14"/>
  <c r="H994" i="14" s="1"/>
  <c r="G993" i="14"/>
  <c r="H993" i="14" s="1"/>
  <c r="G992" i="14"/>
  <c r="H992" i="14" s="1"/>
  <c r="G991" i="14"/>
  <c r="H991" i="14" s="1"/>
  <c r="H990" i="14"/>
  <c r="G989" i="14"/>
  <c r="H989" i="14" s="1"/>
  <c r="G988" i="14"/>
  <c r="H988" i="14" s="1"/>
  <c r="G987" i="14"/>
  <c r="H987" i="14" s="1"/>
  <c r="G986" i="14"/>
  <c r="H986" i="14" s="1"/>
  <c r="G985" i="14"/>
  <c r="H985" i="14" s="1"/>
  <c r="H984" i="14"/>
  <c r="G983" i="14"/>
  <c r="H983" i="14" s="1"/>
  <c r="G982" i="14"/>
  <c r="H982" i="14" s="1"/>
  <c r="G981" i="14"/>
  <c r="H981" i="14" s="1"/>
  <c r="G980" i="14"/>
  <c r="H980" i="14" s="1"/>
  <c r="G979" i="14"/>
  <c r="H979" i="14" s="1"/>
  <c r="H978" i="14"/>
  <c r="G977" i="14"/>
  <c r="H977" i="14" s="1"/>
  <c r="G976" i="14"/>
  <c r="H976" i="14" s="1"/>
  <c r="G975" i="14"/>
  <c r="H975" i="14" s="1"/>
  <c r="G974" i="14"/>
  <c r="H974" i="14" s="1"/>
  <c r="G973" i="14"/>
  <c r="H973" i="14" s="1"/>
  <c r="H972" i="14"/>
  <c r="G971" i="14"/>
  <c r="H971" i="14" s="1"/>
  <c r="G970" i="14"/>
  <c r="H970" i="14" s="1"/>
  <c r="G969" i="14"/>
  <c r="H969" i="14" s="1"/>
  <c r="G968" i="14"/>
  <c r="H968" i="14" s="1"/>
  <c r="G967" i="14"/>
  <c r="H967" i="14" s="1"/>
  <c r="H966" i="14"/>
  <c r="G965" i="14"/>
  <c r="H965" i="14" s="1"/>
  <c r="G964" i="14"/>
  <c r="H964" i="14" s="1"/>
  <c r="G963" i="14"/>
  <c r="H963" i="14" s="1"/>
  <c r="G962" i="14"/>
  <c r="H962" i="14" s="1"/>
  <c r="G961" i="14"/>
  <c r="H961" i="14" s="1"/>
  <c r="H960" i="14"/>
  <c r="G959" i="14"/>
  <c r="H959" i="14" s="1"/>
  <c r="G958" i="14"/>
  <c r="H958" i="14" s="1"/>
  <c r="G957" i="14"/>
  <c r="H957" i="14" s="1"/>
  <c r="G956" i="14"/>
  <c r="H956" i="14" s="1"/>
  <c r="G955" i="14"/>
  <c r="H955" i="14" s="1"/>
  <c r="H954" i="14"/>
  <c r="G953" i="14"/>
  <c r="H953" i="14" s="1"/>
  <c r="G952" i="14"/>
  <c r="H952" i="14" s="1"/>
  <c r="G951" i="14"/>
  <c r="H951" i="14" s="1"/>
  <c r="G950" i="14"/>
  <c r="H950" i="14" s="1"/>
  <c r="G949" i="14"/>
  <c r="H949" i="14" s="1"/>
  <c r="H948" i="14"/>
  <c r="G947" i="14"/>
  <c r="H947" i="14" s="1"/>
  <c r="G946" i="14"/>
  <c r="H946" i="14" s="1"/>
  <c r="G945" i="14"/>
  <c r="H945" i="14" s="1"/>
  <c r="G944" i="14"/>
  <c r="H944" i="14" s="1"/>
  <c r="G943" i="14"/>
  <c r="H943" i="14" s="1"/>
  <c r="H942" i="14"/>
  <c r="G941" i="14"/>
  <c r="H941" i="14" s="1"/>
  <c r="G940" i="14"/>
  <c r="H940" i="14" s="1"/>
  <c r="G939" i="14"/>
  <c r="H939" i="14" s="1"/>
  <c r="G938" i="14"/>
  <c r="H938" i="14" s="1"/>
  <c r="G937" i="14"/>
  <c r="H937" i="14" s="1"/>
  <c r="H936" i="14"/>
  <c r="G935" i="14"/>
  <c r="H935" i="14" s="1"/>
  <c r="G934" i="14"/>
  <c r="H934" i="14" s="1"/>
  <c r="G933" i="14"/>
  <c r="H933" i="14" s="1"/>
  <c r="G932" i="14"/>
  <c r="H932" i="14" s="1"/>
  <c r="G931" i="14"/>
  <c r="H931" i="14" s="1"/>
  <c r="H930" i="14"/>
  <c r="G929" i="14"/>
  <c r="H929" i="14" s="1"/>
  <c r="G928" i="14"/>
  <c r="H928" i="14" s="1"/>
  <c r="G927" i="14"/>
  <c r="H927" i="14" s="1"/>
  <c r="G926" i="14"/>
  <c r="H926" i="14" s="1"/>
  <c r="G925" i="14"/>
  <c r="H925" i="14" s="1"/>
  <c r="H924" i="14"/>
  <c r="G923" i="14"/>
  <c r="H923" i="14" s="1"/>
  <c r="G922" i="14"/>
  <c r="H922" i="14" s="1"/>
  <c r="G921" i="14"/>
  <c r="H921" i="14" s="1"/>
  <c r="G920" i="14"/>
  <c r="H920" i="14" s="1"/>
  <c r="G919" i="14"/>
  <c r="H919" i="14" s="1"/>
  <c r="H918" i="14"/>
  <c r="G917" i="14"/>
  <c r="H917" i="14" s="1"/>
  <c r="G916" i="14"/>
  <c r="H916" i="14" s="1"/>
  <c r="G915" i="14"/>
  <c r="H915" i="14" s="1"/>
  <c r="G914" i="14"/>
  <c r="H914" i="14" s="1"/>
  <c r="G913" i="14"/>
  <c r="H913" i="14" s="1"/>
  <c r="H912" i="14"/>
  <c r="G911" i="14"/>
  <c r="H911" i="14" s="1"/>
  <c r="G910" i="14"/>
  <c r="H910" i="14" s="1"/>
  <c r="G909" i="14"/>
  <c r="H909" i="14" s="1"/>
  <c r="G908" i="14"/>
  <c r="H908" i="14" s="1"/>
  <c r="G907" i="14"/>
  <c r="H907" i="14" s="1"/>
  <c r="H906" i="14"/>
  <c r="G905" i="14"/>
  <c r="H905" i="14" s="1"/>
  <c r="G904" i="14"/>
  <c r="H904" i="14" s="1"/>
  <c r="G903" i="14"/>
  <c r="H903" i="14" s="1"/>
  <c r="G902" i="14"/>
  <c r="H902" i="14" s="1"/>
  <c r="G901" i="14"/>
  <c r="H901" i="14" s="1"/>
  <c r="H900" i="14"/>
  <c r="G899" i="14"/>
  <c r="H899" i="14" s="1"/>
  <c r="G898" i="14"/>
  <c r="H898" i="14" s="1"/>
  <c r="G897" i="14"/>
  <c r="H897" i="14" s="1"/>
  <c r="G896" i="14"/>
  <c r="H896" i="14" s="1"/>
  <c r="G895" i="14"/>
  <c r="H895" i="14" s="1"/>
  <c r="H894" i="14"/>
  <c r="G893" i="14"/>
  <c r="H893" i="14" s="1"/>
  <c r="G892" i="14"/>
  <c r="H892" i="14" s="1"/>
  <c r="G891" i="14"/>
  <c r="H891" i="14" s="1"/>
  <c r="G890" i="14"/>
  <c r="H890" i="14" s="1"/>
  <c r="G889" i="14"/>
  <c r="H889" i="14" s="1"/>
  <c r="H888" i="14"/>
  <c r="G887" i="14"/>
  <c r="H887" i="14" s="1"/>
  <c r="G886" i="14"/>
  <c r="H886" i="14" s="1"/>
  <c r="G885" i="14"/>
  <c r="H885" i="14" s="1"/>
  <c r="G884" i="14"/>
  <c r="H884" i="14" s="1"/>
  <c r="G883" i="14"/>
  <c r="H883" i="14" s="1"/>
  <c r="H882" i="14"/>
  <c r="G881" i="14"/>
  <c r="H881" i="14" s="1"/>
  <c r="G880" i="14"/>
  <c r="H880" i="14" s="1"/>
  <c r="G879" i="14"/>
  <c r="H879" i="14" s="1"/>
  <c r="G878" i="14"/>
  <c r="H878" i="14" s="1"/>
  <c r="G877" i="14"/>
  <c r="H877" i="14" s="1"/>
  <c r="H876" i="14"/>
  <c r="G875" i="14"/>
  <c r="H875" i="14" s="1"/>
  <c r="G874" i="14"/>
  <c r="H874" i="14" s="1"/>
  <c r="G873" i="14"/>
  <c r="H873" i="14" s="1"/>
  <c r="G872" i="14"/>
  <c r="H872" i="14" s="1"/>
  <c r="G871" i="14"/>
  <c r="H871" i="14" s="1"/>
  <c r="H870" i="14"/>
  <c r="G869" i="14"/>
  <c r="H869" i="14" s="1"/>
  <c r="G868" i="14"/>
  <c r="H868" i="14" s="1"/>
  <c r="G867" i="14"/>
  <c r="H867" i="14" s="1"/>
  <c r="G866" i="14"/>
  <c r="H866" i="14" s="1"/>
  <c r="G865" i="14"/>
  <c r="H865" i="14" s="1"/>
  <c r="H864" i="14"/>
  <c r="G863" i="14"/>
  <c r="H863" i="14" s="1"/>
  <c r="G862" i="14"/>
  <c r="H862" i="14" s="1"/>
  <c r="G861" i="14"/>
  <c r="H861" i="14" s="1"/>
  <c r="G860" i="14"/>
  <c r="H860" i="14" s="1"/>
  <c r="G859" i="14"/>
  <c r="H859" i="14" s="1"/>
  <c r="H858" i="14"/>
  <c r="G857" i="14"/>
  <c r="H857" i="14" s="1"/>
  <c r="G856" i="14"/>
  <c r="H856" i="14" s="1"/>
  <c r="G855" i="14"/>
  <c r="H855" i="14" s="1"/>
  <c r="G854" i="14"/>
  <c r="H854" i="14" s="1"/>
  <c r="G853" i="14"/>
  <c r="H853" i="14" s="1"/>
  <c r="H852" i="14"/>
  <c r="G851" i="14"/>
  <c r="H851" i="14" s="1"/>
  <c r="G850" i="14"/>
  <c r="H850" i="14" s="1"/>
  <c r="G849" i="14"/>
  <c r="H849" i="14" s="1"/>
  <c r="G848" i="14"/>
  <c r="H848" i="14" s="1"/>
  <c r="G847" i="14"/>
  <c r="H847" i="14" s="1"/>
  <c r="H846" i="14"/>
  <c r="G845" i="14"/>
  <c r="H845" i="14" s="1"/>
  <c r="G844" i="14"/>
  <c r="H844" i="14" s="1"/>
  <c r="G843" i="14"/>
  <c r="H843" i="14" s="1"/>
  <c r="G842" i="14"/>
  <c r="H842" i="14" s="1"/>
  <c r="G841" i="14"/>
  <c r="H841" i="14" s="1"/>
  <c r="H840" i="14"/>
  <c r="G839" i="14"/>
  <c r="H839" i="14" s="1"/>
  <c r="G838" i="14"/>
  <c r="H838" i="14" s="1"/>
  <c r="G837" i="14"/>
  <c r="H837" i="14" s="1"/>
  <c r="G836" i="14"/>
  <c r="H836" i="14" s="1"/>
  <c r="G835" i="14"/>
  <c r="H835" i="14" s="1"/>
  <c r="H834" i="14"/>
  <c r="G833" i="14"/>
  <c r="H833" i="14" s="1"/>
  <c r="G832" i="14"/>
  <c r="H832" i="14" s="1"/>
  <c r="G831" i="14"/>
  <c r="H831" i="14" s="1"/>
  <c r="G830" i="14"/>
  <c r="H830" i="14" s="1"/>
  <c r="G829" i="14"/>
  <c r="H829" i="14" s="1"/>
  <c r="H828" i="14"/>
  <c r="G827" i="14"/>
  <c r="H827" i="14" s="1"/>
  <c r="G826" i="14"/>
  <c r="H826" i="14" s="1"/>
  <c r="G825" i="14"/>
  <c r="H825" i="14" s="1"/>
  <c r="G824" i="14"/>
  <c r="H824" i="14" s="1"/>
  <c r="G823" i="14"/>
  <c r="H823" i="14" s="1"/>
  <c r="H822" i="14"/>
  <c r="G821" i="14"/>
  <c r="H821" i="14" s="1"/>
  <c r="G820" i="14"/>
  <c r="H820" i="14" s="1"/>
  <c r="G819" i="14"/>
  <c r="H819" i="14" s="1"/>
  <c r="G818" i="14"/>
  <c r="H818" i="14" s="1"/>
  <c r="G817" i="14"/>
  <c r="H817" i="14" s="1"/>
  <c r="H816" i="14"/>
  <c r="G815" i="14"/>
  <c r="H815" i="14" s="1"/>
  <c r="G814" i="14"/>
  <c r="H814" i="14" s="1"/>
  <c r="G813" i="14"/>
  <c r="H813" i="14" s="1"/>
  <c r="G812" i="14"/>
  <c r="H812" i="14" s="1"/>
  <c r="G811" i="14"/>
  <c r="H811" i="14" s="1"/>
  <c r="H810" i="14"/>
  <c r="G809" i="14"/>
  <c r="H809" i="14" s="1"/>
  <c r="G808" i="14"/>
  <c r="H808" i="14" s="1"/>
  <c r="G807" i="14"/>
  <c r="H807" i="14" s="1"/>
  <c r="G806" i="14"/>
  <c r="H806" i="14" s="1"/>
  <c r="G805" i="14"/>
  <c r="H805" i="14" s="1"/>
  <c r="H804" i="14"/>
  <c r="G803" i="14"/>
  <c r="H803" i="14" s="1"/>
  <c r="G802" i="14"/>
  <c r="H802" i="14" s="1"/>
  <c r="G801" i="14"/>
  <c r="H801" i="14" s="1"/>
  <c r="G800" i="14"/>
  <c r="H800" i="14" s="1"/>
  <c r="G799" i="14"/>
  <c r="H799" i="14" s="1"/>
  <c r="H798" i="14"/>
  <c r="G797" i="14"/>
  <c r="H797" i="14" s="1"/>
  <c r="G796" i="14"/>
  <c r="H796" i="14" s="1"/>
  <c r="G795" i="14"/>
  <c r="H795" i="14" s="1"/>
  <c r="G794" i="14"/>
  <c r="H794" i="14" s="1"/>
  <c r="G793" i="14"/>
  <c r="H793" i="14" s="1"/>
  <c r="H792" i="14"/>
  <c r="G791" i="14"/>
  <c r="H791" i="14" s="1"/>
  <c r="G790" i="14"/>
  <c r="H790" i="14" s="1"/>
  <c r="G789" i="14"/>
  <c r="H789" i="14" s="1"/>
  <c r="G788" i="14"/>
  <c r="H788" i="14" s="1"/>
  <c r="G787" i="14"/>
  <c r="H787" i="14" s="1"/>
  <c r="H786" i="14"/>
  <c r="G785" i="14"/>
  <c r="H785" i="14" s="1"/>
  <c r="G784" i="14"/>
  <c r="H784" i="14" s="1"/>
  <c r="G783" i="14"/>
  <c r="H783" i="14" s="1"/>
  <c r="G782" i="14"/>
  <c r="H782" i="14" s="1"/>
  <c r="G781" i="14"/>
  <c r="H781" i="14" s="1"/>
  <c r="H780" i="14"/>
  <c r="G779" i="14"/>
  <c r="H779" i="14" s="1"/>
  <c r="G778" i="14"/>
  <c r="H778" i="14" s="1"/>
  <c r="G777" i="14"/>
  <c r="H777" i="14" s="1"/>
  <c r="G776" i="14"/>
  <c r="H776" i="14" s="1"/>
  <c r="G775" i="14"/>
  <c r="H775" i="14" s="1"/>
  <c r="H774" i="14"/>
  <c r="G773" i="14"/>
  <c r="H773" i="14" s="1"/>
  <c r="G772" i="14"/>
  <c r="H772" i="14" s="1"/>
  <c r="G771" i="14"/>
  <c r="H771" i="14" s="1"/>
  <c r="G770" i="14"/>
  <c r="H770" i="14" s="1"/>
  <c r="G769" i="14"/>
  <c r="H769" i="14" s="1"/>
  <c r="H768" i="14"/>
  <c r="G767" i="14"/>
  <c r="H767" i="14" s="1"/>
  <c r="G766" i="14"/>
  <c r="H766" i="14" s="1"/>
  <c r="G765" i="14"/>
  <c r="H765" i="14" s="1"/>
  <c r="G764" i="14"/>
  <c r="H764" i="14" s="1"/>
  <c r="G763" i="14"/>
  <c r="H763" i="14" s="1"/>
  <c r="H762" i="14"/>
  <c r="G761" i="14"/>
  <c r="H761" i="14" s="1"/>
  <c r="G760" i="14"/>
  <c r="H760" i="14" s="1"/>
  <c r="G759" i="14"/>
  <c r="H759" i="14" s="1"/>
  <c r="G758" i="14"/>
  <c r="H758" i="14" s="1"/>
  <c r="G757" i="14"/>
  <c r="H757" i="14" s="1"/>
  <c r="H756" i="14"/>
  <c r="G755" i="14"/>
  <c r="H755" i="14" s="1"/>
  <c r="G754" i="14"/>
  <c r="H754" i="14" s="1"/>
  <c r="G753" i="14"/>
  <c r="H753" i="14" s="1"/>
  <c r="G752" i="14"/>
  <c r="H752" i="14" s="1"/>
  <c r="G751" i="14"/>
  <c r="H751" i="14" s="1"/>
  <c r="H750" i="14"/>
  <c r="G749" i="14"/>
  <c r="H749" i="14" s="1"/>
  <c r="G748" i="14"/>
  <c r="H748" i="14" s="1"/>
  <c r="G747" i="14"/>
  <c r="H747" i="14" s="1"/>
  <c r="G746" i="14"/>
  <c r="H746" i="14" s="1"/>
  <c r="G745" i="14"/>
  <c r="H745" i="14" s="1"/>
  <c r="H744" i="14"/>
  <c r="G743" i="14"/>
  <c r="H743" i="14" s="1"/>
  <c r="G742" i="14"/>
  <c r="H742" i="14" s="1"/>
  <c r="G741" i="14"/>
  <c r="H741" i="14" s="1"/>
  <c r="G740" i="14"/>
  <c r="H740" i="14" s="1"/>
  <c r="G739" i="14"/>
  <c r="H739" i="14" s="1"/>
  <c r="H738" i="14"/>
  <c r="G737" i="14"/>
  <c r="H737" i="14" s="1"/>
  <c r="G736" i="14"/>
  <c r="H736" i="14" s="1"/>
  <c r="G735" i="14"/>
  <c r="H735" i="14" s="1"/>
  <c r="G734" i="14"/>
  <c r="H734" i="14" s="1"/>
  <c r="G733" i="14"/>
  <c r="H733" i="14" s="1"/>
  <c r="H732" i="14"/>
  <c r="G731" i="14"/>
  <c r="H731" i="14" s="1"/>
  <c r="G730" i="14"/>
  <c r="H730" i="14" s="1"/>
  <c r="G729" i="14"/>
  <c r="H729" i="14" s="1"/>
  <c r="G728" i="14"/>
  <c r="H728" i="14" s="1"/>
  <c r="G727" i="14"/>
  <c r="H727" i="14" s="1"/>
  <c r="H726" i="14"/>
  <c r="G725" i="14"/>
  <c r="H725" i="14" s="1"/>
  <c r="G724" i="14"/>
  <c r="H724" i="14" s="1"/>
  <c r="G723" i="14"/>
  <c r="H723" i="14" s="1"/>
  <c r="G722" i="14"/>
  <c r="H722" i="14" s="1"/>
  <c r="G721" i="14"/>
  <c r="H721" i="14" s="1"/>
  <c r="H720" i="14"/>
  <c r="H719" i="14"/>
  <c r="H718" i="14"/>
  <c r="H717" i="14"/>
  <c r="H716" i="14"/>
  <c r="H715" i="14"/>
  <c r="H714" i="14"/>
  <c r="H713" i="14"/>
  <c r="H712" i="14"/>
  <c r="H711" i="14"/>
  <c r="H710" i="14"/>
  <c r="H709" i="14"/>
  <c r="H708" i="14"/>
  <c r="H707" i="14"/>
  <c r="H706" i="14"/>
  <c r="H705" i="14"/>
  <c r="H704" i="14"/>
  <c r="H703" i="14"/>
  <c r="H702" i="14"/>
  <c r="H701" i="14"/>
  <c r="H700" i="14"/>
  <c r="H699" i="14"/>
  <c r="H698" i="14"/>
  <c r="H697" i="14"/>
  <c r="H696" i="14"/>
  <c r="H695" i="14"/>
  <c r="H694" i="14"/>
  <c r="H693" i="14"/>
  <c r="H692" i="14"/>
  <c r="H691" i="14"/>
  <c r="H690" i="14"/>
  <c r="H689" i="14"/>
  <c r="H688" i="14"/>
  <c r="G687" i="14"/>
  <c r="H687" i="14" s="1"/>
  <c r="G686" i="14"/>
  <c r="H686" i="14" s="1"/>
  <c r="G685" i="14"/>
  <c r="H685" i="14" s="1"/>
  <c r="G684" i="14"/>
  <c r="H684" i="14" s="1"/>
  <c r="G683" i="14"/>
  <c r="H683" i="14" s="1"/>
  <c r="H682" i="14"/>
  <c r="G681" i="14"/>
  <c r="H681" i="14" s="1"/>
  <c r="G680" i="14"/>
  <c r="H680" i="14" s="1"/>
  <c r="G679" i="14"/>
  <c r="H679" i="14" s="1"/>
  <c r="G678" i="14"/>
  <c r="H678" i="14" s="1"/>
  <c r="G677" i="14"/>
  <c r="H677" i="14" s="1"/>
  <c r="H676" i="14"/>
  <c r="G675" i="14"/>
  <c r="H675" i="14" s="1"/>
  <c r="G674" i="14"/>
  <c r="H674" i="14" s="1"/>
  <c r="G673" i="14"/>
  <c r="H673" i="14" s="1"/>
  <c r="G672" i="14"/>
  <c r="H672" i="14" s="1"/>
  <c r="G671" i="14"/>
  <c r="H671" i="14" s="1"/>
  <c r="H670" i="14"/>
  <c r="G669" i="14"/>
  <c r="H669" i="14" s="1"/>
  <c r="G668" i="14"/>
  <c r="H668" i="14" s="1"/>
  <c r="G667" i="14"/>
  <c r="H667" i="14" s="1"/>
  <c r="G666" i="14"/>
  <c r="H666" i="14" s="1"/>
  <c r="G665" i="14"/>
  <c r="H665" i="14" s="1"/>
  <c r="H664" i="14"/>
  <c r="G663" i="14"/>
  <c r="H663" i="14" s="1"/>
  <c r="G662" i="14"/>
  <c r="H662" i="14" s="1"/>
  <c r="G661" i="14"/>
  <c r="H661" i="14" s="1"/>
  <c r="G660" i="14"/>
  <c r="H660" i="14" s="1"/>
  <c r="G659" i="14"/>
  <c r="H659" i="14" s="1"/>
  <c r="H658" i="14"/>
  <c r="G657" i="14"/>
  <c r="H657" i="14" s="1"/>
  <c r="G656" i="14"/>
  <c r="H656" i="14" s="1"/>
  <c r="G655" i="14"/>
  <c r="H655" i="14" s="1"/>
  <c r="G654" i="14"/>
  <c r="H654" i="14" s="1"/>
  <c r="G653" i="14"/>
  <c r="H653" i="14" s="1"/>
  <c r="H652" i="14"/>
  <c r="G651" i="14"/>
  <c r="H651" i="14" s="1"/>
  <c r="G650" i="14"/>
  <c r="H650" i="14" s="1"/>
  <c r="G649" i="14"/>
  <c r="H649" i="14" s="1"/>
  <c r="G648" i="14"/>
  <c r="H648" i="14" s="1"/>
  <c r="G647" i="14"/>
  <c r="H647" i="14" s="1"/>
  <c r="H646" i="14"/>
  <c r="G645" i="14"/>
  <c r="H645" i="14" s="1"/>
  <c r="G644" i="14"/>
  <c r="H644" i="14" s="1"/>
  <c r="G643" i="14"/>
  <c r="H643" i="14" s="1"/>
  <c r="G642" i="14"/>
  <c r="H642" i="14" s="1"/>
  <c r="G641" i="14"/>
  <c r="H641" i="14" s="1"/>
  <c r="H640" i="14"/>
  <c r="G639" i="14"/>
  <c r="H639" i="14" s="1"/>
  <c r="G638" i="14"/>
  <c r="H638" i="14" s="1"/>
  <c r="G637" i="14"/>
  <c r="H637" i="14" s="1"/>
  <c r="G636" i="14"/>
  <c r="H636" i="14" s="1"/>
  <c r="G635" i="14"/>
  <c r="H635" i="14" s="1"/>
  <c r="H634" i="14"/>
  <c r="G633" i="14"/>
  <c r="H633" i="14" s="1"/>
  <c r="G632" i="14"/>
  <c r="H632" i="14" s="1"/>
  <c r="G631" i="14"/>
  <c r="H631" i="14" s="1"/>
  <c r="G630" i="14"/>
  <c r="H630" i="14" s="1"/>
  <c r="G629" i="14"/>
  <c r="H629" i="14" s="1"/>
  <c r="H628" i="14"/>
  <c r="G627" i="14"/>
  <c r="H627" i="14" s="1"/>
  <c r="G626" i="14"/>
  <c r="H626" i="14" s="1"/>
  <c r="G625" i="14"/>
  <c r="H625" i="14" s="1"/>
  <c r="G624" i="14"/>
  <c r="H624" i="14" s="1"/>
  <c r="G623" i="14"/>
  <c r="H623" i="14" s="1"/>
  <c r="H622" i="14"/>
  <c r="G621" i="14"/>
  <c r="H621" i="14" s="1"/>
  <c r="G620" i="14"/>
  <c r="H620" i="14" s="1"/>
  <c r="G619" i="14"/>
  <c r="H619" i="14" s="1"/>
  <c r="G618" i="14"/>
  <c r="H618" i="14" s="1"/>
  <c r="G617" i="14"/>
  <c r="H617" i="14" s="1"/>
  <c r="H616" i="14"/>
  <c r="G615" i="14"/>
  <c r="H615" i="14" s="1"/>
  <c r="G614" i="14"/>
  <c r="H614" i="14" s="1"/>
  <c r="G613" i="14"/>
  <c r="H613" i="14" s="1"/>
  <c r="G612" i="14"/>
  <c r="H612" i="14" s="1"/>
  <c r="G611" i="14"/>
  <c r="H611" i="14" s="1"/>
  <c r="H610" i="14"/>
  <c r="G609" i="14"/>
  <c r="H609" i="14" s="1"/>
  <c r="G608" i="14"/>
  <c r="H608" i="14" s="1"/>
  <c r="G607" i="14"/>
  <c r="H607" i="14" s="1"/>
  <c r="G606" i="14"/>
  <c r="H606" i="14" s="1"/>
  <c r="G605" i="14"/>
  <c r="H605" i="14" s="1"/>
  <c r="H604" i="14"/>
  <c r="G603" i="14"/>
  <c r="H603" i="14" s="1"/>
  <c r="G602" i="14"/>
  <c r="H602" i="14" s="1"/>
  <c r="G601" i="14"/>
  <c r="H601" i="14" s="1"/>
  <c r="G600" i="14"/>
  <c r="H600" i="14" s="1"/>
  <c r="G599" i="14"/>
  <c r="H599" i="14" s="1"/>
  <c r="H598" i="14"/>
  <c r="G597" i="14"/>
  <c r="H597" i="14" s="1"/>
  <c r="G596" i="14"/>
  <c r="H596" i="14" s="1"/>
  <c r="G595" i="14"/>
  <c r="H595" i="14" s="1"/>
  <c r="G594" i="14"/>
  <c r="H594" i="14" s="1"/>
  <c r="G593" i="14"/>
  <c r="H593" i="14" s="1"/>
  <c r="H592" i="14"/>
  <c r="H591" i="14"/>
  <c r="H590" i="14"/>
  <c r="H589" i="14"/>
  <c r="H588" i="14"/>
  <c r="H587" i="14"/>
  <c r="H586" i="14"/>
  <c r="H585" i="14"/>
  <c r="H584" i="14"/>
  <c r="H583" i="14"/>
  <c r="H582" i="14"/>
  <c r="H581" i="14"/>
  <c r="H580" i="14"/>
  <c r="H579" i="14"/>
  <c r="H578" i="14"/>
  <c r="H577" i="14"/>
  <c r="H576" i="14"/>
  <c r="G575" i="14"/>
  <c r="H575" i="14" s="1"/>
  <c r="G574" i="14"/>
  <c r="H574" i="14" s="1"/>
  <c r="G573" i="14"/>
  <c r="H573" i="14" s="1"/>
  <c r="G572" i="14"/>
  <c r="H572" i="14" s="1"/>
  <c r="G571" i="14"/>
  <c r="H571" i="14" s="1"/>
  <c r="H570" i="14"/>
  <c r="G569" i="14"/>
  <c r="H569" i="14" s="1"/>
  <c r="G568" i="14"/>
  <c r="H568" i="14" s="1"/>
  <c r="G567" i="14"/>
  <c r="H567" i="14" s="1"/>
  <c r="G566" i="14"/>
  <c r="H566" i="14" s="1"/>
  <c r="G565" i="14"/>
  <c r="H565" i="14" s="1"/>
  <c r="H564" i="14"/>
  <c r="G563" i="14"/>
  <c r="H563" i="14" s="1"/>
  <c r="G562" i="14"/>
  <c r="H562" i="14" s="1"/>
  <c r="G561" i="14"/>
  <c r="H561" i="14" s="1"/>
  <c r="G560" i="14"/>
  <c r="H560" i="14" s="1"/>
  <c r="G559" i="14"/>
  <c r="H559" i="14" s="1"/>
  <c r="H558" i="14"/>
  <c r="G557" i="14"/>
  <c r="H557" i="14" s="1"/>
  <c r="G556" i="14"/>
  <c r="H556" i="14" s="1"/>
  <c r="G555" i="14"/>
  <c r="H555" i="14" s="1"/>
  <c r="G554" i="14"/>
  <c r="H554" i="14" s="1"/>
  <c r="G553" i="14"/>
  <c r="H553" i="14" s="1"/>
  <c r="H552" i="14"/>
  <c r="G551" i="14"/>
  <c r="H551" i="14" s="1"/>
  <c r="G550" i="14"/>
  <c r="H550" i="14" s="1"/>
  <c r="G549" i="14"/>
  <c r="H549" i="14" s="1"/>
  <c r="G548" i="14"/>
  <c r="H548" i="14" s="1"/>
  <c r="G547" i="14"/>
  <c r="H547" i="14" s="1"/>
  <c r="H546" i="14"/>
  <c r="G545" i="14"/>
  <c r="H545" i="14" s="1"/>
  <c r="G544" i="14"/>
  <c r="H544" i="14" s="1"/>
  <c r="G543" i="14"/>
  <c r="H543" i="14" s="1"/>
  <c r="G542" i="14"/>
  <c r="H542" i="14" s="1"/>
  <c r="G541" i="14"/>
  <c r="H541" i="14" s="1"/>
  <c r="H540" i="14"/>
  <c r="G539" i="14"/>
  <c r="H539" i="14" s="1"/>
  <c r="G538" i="14"/>
  <c r="H538" i="14" s="1"/>
  <c r="G537" i="14"/>
  <c r="H537" i="14" s="1"/>
  <c r="G536" i="14"/>
  <c r="H536" i="14" s="1"/>
  <c r="G535" i="14"/>
  <c r="H535" i="14" s="1"/>
  <c r="H534" i="14"/>
  <c r="G533" i="14"/>
  <c r="H533" i="14" s="1"/>
  <c r="G532" i="14"/>
  <c r="H532" i="14" s="1"/>
  <c r="G531" i="14"/>
  <c r="H531" i="14" s="1"/>
  <c r="G530" i="14"/>
  <c r="H530" i="14" s="1"/>
  <c r="G529" i="14"/>
  <c r="H529" i="14" s="1"/>
  <c r="H528" i="14"/>
  <c r="G527" i="14"/>
  <c r="H527" i="14" s="1"/>
  <c r="G526" i="14"/>
  <c r="H526" i="14" s="1"/>
  <c r="G525" i="14"/>
  <c r="H525" i="14" s="1"/>
  <c r="H524" i="14"/>
  <c r="G523" i="14"/>
  <c r="H523" i="14" s="1"/>
  <c r="G522" i="14"/>
  <c r="H522" i="14" s="1"/>
  <c r="G521" i="14"/>
  <c r="H521" i="14" s="1"/>
  <c r="H520" i="14"/>
  <c r="G519" i="14"/>
  <c r="H519" i="14" s="1"/>
  <c r="G518" i="14"/>
  <c r="H518" i="14" s="1"/>
  <c r="H517" i="14"/>
  <c r="G516" i="14"/>
  <c r="H516" i="14" s="1"/>
  <c r="G515" i="14"/>
  <c r="H515" i="14" s="1"/>
  <c r="H514" i="14"/>
  <c r="G513" i="14"/>
  <c r="H513" i="14" s="1"/>
  <c r="G512" i="14"/>
  <c r="H512" i="14" s="1"/>
  <c r="H511" i="14"/>
  <c r="G510" i="14"/>
  <c r="H510" i="14" s="1"/>
  <c r="G509" i="14"/>
  <c r="H509" i="14" s="1"/>
  <c r="H508" i="14"/>
  <c r="G507" i="14"/>
  <c r="H507" i="14" s="1"/>
  <c r="G506" i="14"/>
  <c r="H506" i="14" s="1"/>
  <c r="H505" i="14"/>
  <c r="G504" i="14"/>
  <c r="H504" i="14" s="1"/>
  <c r="G503" i="14"/>
  <c r="H503" i="14" s="1"/>
  <c r="H502" i="14"/>
  <c r="G501" i="14"/>
  <c r="H501" i="14" s="1"/>
  <c r="G500" i="14"/>
  <c r="H500" i="14" s="1"/>
  <c r="H499" i="14"/>
  <c r="G498" i="14"/>
  <c r="H498" i="14" s="1"/>
  <c r="G497" i="14"/>
  <c r="H497" i="14" s="1"/>
  <c r="H496" i="14"/>
  <c r="G495" i="14"/>
  <c r="H495" i="14" s="1"/>
  <c r="G494" i="14"/>
  <c r="H494" i="14" s="1"/>
  <c r="G493" i="14"/>
  <c r="H493" i="14" s="1"/>
  <c r="G492" i="14"/>
  <c r="H492" i="14" s="1"/>
  <c r="H491" i="14"/>
  <c r="G490" i="14"/>
  <c r="H490" i="14" s="1"/>
  <c r="G489" i="14"/>
  <c r="H489" i="14" s="1"/>
  <c r="G488" i="14"/>
  <c r="H488" i="14" s="1"/>
  <c r="G487" i="14"/>
  <c r="H487" i="14" s="1"/>
  <c r="H486" i="14"/>
  <c r="G485" i="14"/>
  <c r="H485" i="14" s="1"/>
  <c r="G484" i="14"/>
  <c r="H484" i="14" s="1"/>
  <c r="G483" i="14"/>
  <c r="H483" i="14" s="1"/>
  <c r="G482" i="14"/>
  <c r="H482" i="14" s="1"/>
  <c r="H481" i="14"/>
  <c r="G480" i="14"/>
  <c r="H480" i="14" s="1"/>
  <c r="G479" i="14"/>
  <c r="H479" i="14" s="1"/>
  <c r="G478" i="14"/>
  <c r="H478" i="14" s="1"/>
  <c r="G477" i="14"/>
  <c r="H477" i="14" s="1"/>
  <c r="H476" i="14"/>
  <c r="G475" i="14"/>
  <c r="H475" i="14" s="1"/>
  <c r="H474" i="14"/>
  <c r="G473" i="14"/>
  <c r="H473" i="14" s="1"/>
  <c r="G472" i="14"/>
  <c r="H472" i="14" s="1"/>
  <c r="H471" i="14"/>
  <c r="G470" i="14"/>
  <c r="H470" i="14" s="1"/>
  <c r="G469" i="14"/>
  <c r="H469" i="14" s="1"/>
  <c r="G468" i="14"/>
  <c r="H468" i="14" s="1"/>
  <c r="G467" i="14"/>
  <c r="H467" i="14" s="1"/>
  <c r="H466" i="14"/>
  <c r="G465" i="14"/>
  <c r="H465" i="14" s="1"/>
  <c r="G464" i="14"/>
  <c r="H464" i="14" s="1"/>
  <c r="G463" i="14"/>
  <c r="H463" i="14" s="1"/>
  <c r="G462" i="14"/>
  <c r="H462" i="14" s="1"/>
  <c r="G461" i="14"/>
  <c r="H461" i="14" s="1"/>
  <c r="H460" i="14"/>
  <c r="G459" i="14"/>
  <c r="H459" i="14" s="1"/>
  <c r="G458" i="14"/>
  <c r="H458" i="14" s="1"/>
  <c r="G457" i="14"/>
  <c r="H457" i="14" s="1"/>
  <c r="G456" i="14"/>
  <c r="H456" i="14" s="1"/>
  <c r="G455" i="14"/>
  <c r="H455" i="14" s="1"/>
  <c r="H454" i="14"/>
  <c r="G453" i="14"/>
  <c r="H453" i="14" s="1"/>
  <c r="G452" i="14"/>
  <c r="H452" i="14" s="1"/>
  <c r="G451" i="14"/>
  <c r="H451" i="14" s="1"/>
  <c r="G450" i="14"/>
  <c r="H450" i="14" s="1"/>
  <c r="G449" i="14"/>
  <c r="H449" i="14" s="1"/>
  <c r="H448" i="14"/>
  <c r="G447" i="14"/>
  <c r="H447" i="14" s="1"/>
  <c r="G446" i="14"/>
  <c r="H446" i="14" s="1"/>
  <c r="G445" i="14"/>
  <c r="H445" i="14" s="1"/>
  <c r="G444" i="14"/>
  <c r="H444" i="14" s="1"/>
  <c r="G443" i="14"/>
  <c r="H443" i="14" s="1"/>
  <c r="H442" i="14"/>
  <c r="G441" i="14"/>
  <c r="H441" i="14" s="1"/>
  <c r="G440" i="14"/>
  <c r="H440" i="14" s="1"/>
  <c r="G439" i="14"/>
  <c r="H439" i="14" s="1"/>
  <c r="G438" i="14"/>
  <c r="H438" i="14" s="1"/>
  <c r="G437" i="14"/>
  <c r="H437" i="14" s="1"/>
  <c r="H436" i="14"/>
  <c r="G435" i="14"/>
  <c r="H435" i="14" s="1"/>
  <c r="G433" i="14"/>
  <c r="H433" i="14" s="1"/>
  <c r="G432" i="14"/>
  <c r="H432" i="14" s="1"/>
  <c r="G431" i="14"/>
  <c r="H431" i="14" s="1"/>
  <c r="H430" i="14"/>
  <c r="H429" i="14"/>
  <c r="H428" i="14"/>
  <c r="H427" i="14"/>
  <c r="H426" i="14"/>
  <c r="H425" i="14"/>
  <c r="H424" i="14"/>
  <c r="H423" i="14"/>
  <c r="H422" i="14"/>
  <c r="H421" i="14"/>
  <c r="H420" i="14"/>
  <c r="H419" i="14"/>
  <c r="H418" i="14"/>
  <c r="H417" i="14"/>
  <c r="H416" i="14"/>
  <c r="H415" i="14"/>
  <c r="H414" i="14"/>
  <c r="H413" i="14"/>
  <c r="H412" i="14"/>
  <c r="H411" i="14"/>
  <c r="H410" i="14"/>
  <c r="H409" i="14"/>
  <c r="H408" i="14"/>
  <c r="H407" i="14"/>
  <c r="H406" i="14"/>
  <c r="H405" i="14"/>
  <c r="H404" i="14"/>
  <c r="H403" i="14"/>
  <c r="H402" i="14"/>
  <c r="H401" i="14"/>
  <c r="H400" i="14"/>
  <c r="H399" i="14"/>
  <c r="H398" i="14"/>
  <c r="H397" i="14"/>
  <c r="H396" i="14"/>
  <c r="H395" i="14"/>
  <c r="H394" i="14"/>
  <c r="H393" i="14"/>
  <c r="H392" i="14"/>
  <c r="H391" i="14"/>
  <c r="H390" i="14"/>
  <c r="H389" i="14"/>
  <c r="H388" i="14"/>
  <c r="H387" i="14"/>
  <c r="H386" i="14"/>
  <c r="H385" i="14"/>
  <c r="H384" i="14"/>
  <c r="H383" i="14"/>
  <c r="H382" i="14"/>
  <c r="H381" i="14"/>
  <c r="H380" i="14"/>
  <c r="H379" i="14"/>
  <c r="H378" i="14"/>
  <c r="H377" i="14"/>
  <c r="H376" i="14"/>
  <c r="H375" i="14"/>
  <c r="H370" i="14"/>
  <c r="H369" i="14"/>
  <c r="H368" i="14"/>
  <c r="H367" i="14"/>
  <c r="H366" i="14"/>
  <c r="H365" i="14"/>
  <c r="H364" i="14"/>
  <c r="H363" i="14"/>
  <c r="H362" i="14"/>
  <c r="H361" i="14"/>
  <c r="H360" i="14"/>
  <c r="H359" i="14"/>
  <c r="H358" i="14"/>
  <c r="H357" i="14"/>
  <c r="G356" i="14"/>
  <c r="H356" i="14" s="1"/>
  <c r="G355" i="14"/>
  <c r="H355" i="14" s="1"/>
  <c r="H354" i="14"/>
  <c r="G353" i="14"/>
  <c r="H353" i="14" s="1"/>
  <c r="G352" i="14"/>
  <c r="H352" i="14" s="1"/>
  <c r="G351" i="14"/>
  <c r="H351" i="14" s="1"/>
  <c r="G350" i="14"/>
  <c r="H350" i="14" s="1"/>
  <c r="G349" i="14"/>
  <c r="H349" i="14" s="1"/>
  <c r="G348" i="14"/>
  <c r="H348" i="14" s="1"/>
  <c r="G347" i="14"/>
  <c r="H347" i="14" s="1"/>
  <c r="G346" i="14"/>
  <c r="H346" i="14" s="1"/>
  <c r="H345" i="14"/>
  <c r="G344" i="14"/>
  <c r="H344" i="14" s="1"/>
  <c r="G343" i="14"/>
  <c r="H343" i="14" s="1"/>
  <c r="G342" i="14"/>
  <c r="H342" i="14" s="1"/>
  <c r="G341" i="14"/>
  <c r="H341" i="14" s="1"/>
  <c r="G340" i="14"/>
  <c r="H340" i="14" s="1"/>
  <c r="G339" i="14"/>
  <c r="H339" i="14" s="1"/>
  <c r="G338" i="14"/>
  <c r="H338" i="14" s="1"/>
  <c r="G337" i="14"/>
  <c r="H337" i="14" s="1"/>
  <c r="G336" i="14"/>
  <c r="H336" i="14" s="1"/>
  <c r="H335" i="14"/>
  <c r="G334" i="14"/>
  <c r="H334" i="14" s="1"/>
  <c r="G333" i="14"/>
  <c r="H333" i="14" s="1"/>
  <c r="G332" i="14"/>
  <c r="H332" i="14" s="1"/>
  <c r="G331" i="14"/>
  <c r="H331" i="14" s="1"/>
  <c r="G330" i="14"/>
  <c r="H330" i="14" s="1"/>
  <c r="H329" i="14"/>
  <c r="G328" i="14"/>
  <c r="H328" i="14" s="1"/>
  <c r="G327" i="14"/>
  <c r="H327" i="14" s="1"/>
  <c r="G326" i="14"/>
  <c r="H326" i="14" s="1"/>
  <c r="H325" i="14"/>
  <c r="G324" i="14"/>
  <c r="H324" i="14" s="1"/>
  <c r="G323" i="14"/>
  <c r="H323" i="14" s="1"/>
  <c r="G322" i="14"/>
  <c r="H322" i="14" s="1"/>
  <c r="H321" i="14"/>
  <c r="G320" i="14"/>
  <c r="H320" i="14" s="1"/>
  <c r="G319" i="14"/>
  <c r="H319" i="14" s="1"/>
  <c r="G318" i="14"/>
  <c r="H318" i="14" s="1"/>
  <c r="H317" i="14"/>
  <c r="G316" i="14"/>
  <c r="H316" i="14" s="1"/>
  <c r="G315" i="14"/>
  <c r="H315" i="14" s="1"/>
  <c r="G314" i="14"/>
  <c r="H314" i="14" s="1"/>
  <c r="H313" i="14"/>
  <c r="G312" i="14"/>
  <c r="H312" i="14" s="1"/>
  <c r="G311" i="14"/>
  <c r="H311" i="14" s="1"/>
  <c r="H310" i="14"/>
  <c r="H309" i="14"/>
  <c r="G308" i="14"/>
  <c r="H308" i="14" s="1"/>
  <c r="G307" i="14"/>
  <c r="H307" i="14" s="1"/>
  <c r="H306" i="14"/>
  <c r="G305" i="14"/>
  <c r="H305" i="14" s="1"/>
  <c r="G304" i="14"/>
  <c r="H304" i="14" s="1"/>
  <c r="H303" i="14"/>
  <c r="G302" i="14"/>
  <c r="H302" i="14" s="1"/>
  <c r="G301" i="14"/>
  <c r="H301" i="14" s="1"/>
  <c r="H300" i="14"/>
  <c r="G299" i="14"/>
  <c r="H299" i="14" s="1"/>
  <c r="G298" i="14"/>
  <c r="H298" i="14" s="1"/>
  <c r="H297" i="14"/>
  <c r="G296" i="14"/>
  <c r="H296" i="14" s="1"/>
  <c r="G295" i="14"/>
  <c r="H295" i="14" s="1"/>
  <c r="H294" i="14"/>
  <c r="G293" i="14"/>
  <c r="H293" i="14" s="1"/>
  <c r="G292" i="14"/>
  <c r="H292" i="14" s="1"/>
  <c r="H291" i="14"/>
  <c r="G290" i="14"/>
  <c r="H290" i="14" s="1"/>
  <c r="G289" i="14"/>
  <c r="H289" i="14" s="1"/>
  <c r="H288" i="14"/>
  <c r="G287" i="14"/>
  <c r="H287" i="14" s="1"/>
  <c r="G286" i="14"/>
  <c r="H286" i="14" s="1"/>
  <c r="H285" i="14"/>
  <c r="G284" i="14"/>
  <c r="H284" i="14" s="1"/>
  <c r="G283" i="14"/>
  <c r="H283" i="14" s="1"/>
  <c r="H282" i="14"/>
  <c r="G281" i="14"/>
  <c r="H281" i="14" s="1"/>
  <c r="G280" i="14"/>
  <c r="H280" i="14" s="1"/>
  <c r="H279" i="14"/>
  <c r="G278" i="14"/>
  <c r="H278" i="14" s="1"/>
  <c r="G277" i="14"/>
  <c r="H277" i="14" s="1"/>
  <c r="H276" i="14"/>
  <c r="G275" i="14"/>
  <c r="H275" i="14" s="1"/>
  <c r="G274" i="14"/>
  <c r="H274" i="14" s="1"/>
  <c r="H273" i="14"/>
  <c r="G272" i="14"/>
  <c r="H272" i="14" s="1"/>
  <c r="G271" i="14"/>
  <c r="H271" i="14" s="1"/>
  <c r="H270" i="14"/>
  <c r="G269" i="14"/>
  <c r="H269" i="14" s="1"/>
  <c r="G268" i="14"/>
  <c r="H268" i="14" s="1"/>
  <c r="H267" i="14"/>
  <c r="G266" i="14"/>
  <c r="H266" i="14" s="1"/>
  <c r="G265" i="14"/>
  <c r="H265" i="14" s="1"/>
  <c r="H264" i="14"/>
  <c r="G263" i="14"/>
  <c r="H263" i="14" s="1"/>
  <c r="G262" i="14"/>
  <c r="H262" i="14" s="1"/>
  <c r="H261" i="14"/>
  <c r="G260" i="14"/>
  <c r="H260" i="14" s="1"/>
  <c r="G259" i="14"/>
  <c r="H259" i="14" s="1"/>
  <c r="H258" i="14"/>
  <c r="H257" i="14"/>
  <c r="G256" i="14"/>
  <c r="H256" i="14" s="1"/>
  <c r="H255" i="14"/>
  <c r="H254" i="14"/>
  <c r="H253" i="14"/>
  <c r="H252" i="14"/>
  <c r="H251" i="14"/>
  <c r="H250" i="14"/>
  <c r="H249" i="14"/>
  <c r="H248" i="14"/>
  <c r="H247" i="14"/>
  <c r="H246" i="14"/>
  <c r="H245" i="14"/>
  <c r="H244" i="14"/>
  <c r="H243" i="14"/>
  <c r="H242" i="14"/>
  <c r="H241" i="14"/>
  <c r="H240" i="14"/>
  <c r="H239" i="14"/>
  <c r="H238" i="14"/>
  <c r="H237" i="14"/>
  <c r="H236" i="14"/>
  <c r="H235" i="14"/>
  <c r="H234" i="14"/>
  <c r="H233" i="14"/>
  <c r="H232" i="14"/>
  <c r="H231" i="14"/>
  <c r="H230" i="14"/>
  <c r="G229" i="14"/>
  <c r="H229" i="14" s="1"/>
  <c r="H228" i="14"/>
  <c r="G227" i="14"/>
  <c r="H227" i="14" s="1"/>
  <c r="H226" i="14"/>
  <c r="G225" i="14"/>
  <c r="H225" i="14" s="1"/>
  <c r="G224" i="14"/>
  <c r="H224" i="14" s="1"/>
  <c r="H223" i="14"/>
  <c r="H222" i="14"/>
  <c r="H221" i="14"/>
  <c r="H220" i="14"/>
  <c r="H219" i="14"/>
  <c r="H218" i="14"/>
  <c r="H217" i="14"/>
  <c r="H216" i="14"/>
  <c r="H215" i="14"/>
  <c r="H214" i="14"/>
  <c r="H213" i="14"/>
  <c r="H212" i="14"/>
  <c r="H211" i="14"/>
  <c r="H210" i="14"/>
  <c r="H209" i="14"/>
  <c r="H208" i="14"/>
  <c r="H207" i="14"/>
  <c r="H206" i="14"/>
  <c r="H205" i="14"/>
  <c r="H204" i="14"/>
  <c r="H203" i="14"/>
  <c r="H202" i="14"/>
  <c r="H201" i="14"/>
  <c r="H200" i="14"/>
  <c r="H199" i="14"/>
  <c r="H198" i="14"/>
  <c r="H197" i="14"/>
  <c r="H196" i="14"/>
  <c r="H195" i="14"/>
  <c r="H194" i="14"/>
  <c r="H193" i="14"/>
  <c r="H192" i="14"/>
  <c r="H191" i="14"/>
  <c r="H190" i="14"/>
  <c r="H189" i="14"/>
  <c r="H188" i="14"/>
  <c r="H187" i="14"/>
  <c r="H186" i="14"/>
  <c r="H185" i="14"/>
  <c r="H184" i="14"/>
  <c r="H183" i="14"/>
  <c r="H182" i="14"/>
  <c r="H181" i="14"/>
  <c r="H180" i="14"/>
  <c r="H179" i="14"/>
  <c r="H178" i="14"/>
  <c r="H177" i="14"/>
  <c r="H176" i="14"/>
  <c r="H175" i="14"/>
  <c r="H174" i="14"/>
  <c r="H173" i="14"/>
  <c r="H172" i="14"/>
  <c r="H171" i="14"/>
  <c r="H170" i="14"/>
  <c r="H169" i="14"/>
  <c r="H168" i="14"/>
  <c r="H167" i="14"/>
  <c r="H166" i="14"/>
  <c r="H165" i="14"/>
  <c r="H164" i="14"/>
  <c r="H163" i="14"/>
  <c r="H162" i="14"/>
  <c r="H161" i="14"/>
  <c r="H160" i="14"/>
  <c r="H159" i="14"/>
  <c r="H158" i="14"/>
  <c r="H157" i="14"/>
  <c r="H156" i="14"/>
  <c r="H155" i="14"/>
  <c r="H154" i="14"/>
  <c r="H153" i="14"/>
  <c r="H152" i="14"/>
  <c r="H151" i="14"/>
  <c r="H150" i="14"/>
  <c r="H149" i="14"/>
  <c r="H148" i="14"/>
  <c r="H147" i="14"/>
  <c r="H146" i="14"/>
  <c r="H145" i="14"/>
  <c r="H144" i="14"/>
  <c r="H143" i="14"/>
  <c r="H142" i="14"/>
  <c r="H141" i="14"/>
  <c r="H140" i="14"/>
  <c r="H139" i="14"/>
  <c r="H138" i="14"/>
  <c r="H137" i="14"/>
  <c r="H136" i="14"/>
  <c r="H135" i="14"/>
  <c r="H134" i="14"/>
  <c r="H133" i="14"/>
  <c r="H132" i="14"/>
  <c r="H131" i="14"/>
  <c r="H130" i="14"/>
  <c r="H129" i="14"/>
  <c r="H128" i="14"/>
  <c r="H126" i="14"/>
  <c r="H125" i="14"/>
  <c r="H124" i="14"/>
  <c r="H123" i="14"/>
  <c r="H122" i="14"/>
  <c r="H121" i="14"/>
  <c r="H120" i="14"/>
  <c r="H119" i="14"/>
  <c r="H118" i="14"/>
  <c r="H117" i="14"/>
  <c r="H116" i="14"/>
  <c r="H115" i="14"/>
  <c r="H114" i="14"/>
  <c r="H113" i="14"/>
  <c r="H112" i="14"/>
  <c r="H111" i="14"/>
  <c r="H110" i="14"/>
  <c r="H109" i="14"/>
  <c r="H108" i="14"/>
  <c r="H107" i="14"/>
  <c r="H106" i="14"/>
  <c r="H105" i="14"/>
  <c r="H104" i="14"/>
  <c r="H103" i="14"/>
  <c r="H102" i="14"/>
  <c r="H101" i="14"/>
  <c r="H100" i="14"/>
  <c r="H99" i="14"/>
  <c r="H98" i="14"/>
  <c r="H97" i="14"/>
  <c r="H96" i="14"/>
  <c r="H95" i="14"/>
  <c r="H94" i="14"/>
  <c r="H93" i="14"/>
  <c r="H92" i="14"/>
  <c r="H91" i="14"/>
  <c r="H90" i="14"/>
  <c r="H89" i="14"/>
  <c r="H88" i="14"/>
  <c r="H87" i="14"/>
  <c r="H86" i="14"/>
  <c r="H85" i="14"/>
  <c r="H84" i="14"/>
  <c r="H83" i="14"/>
  <c r="H82" i="14"/>
  <c r="H81" i="14"/>
  <c r="H80" i="14"/>
  <c r="H79" i="14"/>
  <c r="H78" i="14"/>
  <c r="H77" i="14"/>
  <c r="H76" i="14"/>
  <c r="H75" i="14"/>
  <c r="H74" i="14"/>
  <c r="H73" i="14"/>
  <c r="H72" i="14"/>
  <c r="H71" i="14"/>
  <c r="H70" i="14"/>
  <c r="H69" i="14"/>
  <c r="H68" i="14"/>
  <c r="H67" i="14"/>
  <c r="H66" i="14"/>
  <c r="H65" i="14"/>
  <c r="H64" i="14"/>
  <c r="G63" i="14"/>
  <c r="H63" i="14" s="1"/>
  <c r="G62" i="14"/>
  <c r="H62" i="14" s="1"/>
  <c r="H61" i="14"/>
  <c r="G60" i="14"/>
  <c r="H60" i="14" s="1"/>
  <c r="G59" i="14"/>
  <c r="H59" i="14" s="1"/>
  <c r="H58" i="14"/>
  <c r="G57" i="14"/>
  <c r="H57" i="14" s="1"/>
  <c r="G56" i="14"/>
  <c r="H56" i="14" s="1"/>
  <c r="H55" i="14"/>
  <c r="H54" i="14"/>
  <c r="G52" i="14"/>
  <c r="H52" i="14" s="1"/>
  <c r="H51" i="14"/>
  <c r="G47" i="14"/>
  <c r="G49" i="14" s="1"/>
  <c r="H49" i="14" s="1"/>
  <c r="H46" i="14"/>
  <c r="H42" i="14"/>
  <c r="H41" i="14"/>
  <c r="G40" i="14"/>
  <c r="H40" i="14" s="1"/>
  <c r="G39" i="14"/>
  <c r="H39" i="14" s="1"/>
  <c r="H38" i="14"/>
  <c r="G37" i="14"/>
  <c r="H37" i="14" s="1"/>
  <c r="G36" i="14"/>
  <c r="H36" i="14" s="1"/>
  <c r="G35" i="14"/>
  <c r="H35" i="14" s="1"/>
  <c r="H34" i="14"/>
  <c r="G33" i="14"/>
  <c r="H33" i="14" s="1"/>
  <c r="G32" i="14"/>
  <c r="H32" i="14" s="1"/>
  <c r="G31" i="14"/>
  <c r="H31" i="14" s="1"/>
  <c r="H30" i="14"/>
  <c r="G29" i="14"/>
  <c r="H29" i="14" s="1"/>
  <c r="G28" i="14"/>
  <c r="H28" i="14" s="1"/>
  <c r="G27" i="14"/>
  <c r="H27" i="14" s="1"/>
  <c r="H26" i="14"/>
  <c r="G25" i="14"/>
  <c r="H25" i="14" s="1"/>
  <c r="G24" i="14"/>
  <c r="H24" i="14" s="1"/>
  <c r="G23" i="14"/>
  <c r="H23" i="14" s="1"/>
  <c r="H22" i="14"/>
  <c r="G21" i="14"/>
  <c r="H21" i="14" s="1"/>
  <c r="G20" i="14"/>
  <c r="H20" i="14" s="1"/>
  <c r="G19" i="14"/>
  <c r="H19" i="14" s="1"/>
  <c r="G18" i="14"/>
  <c r="H18" i="14" s="1"/>
  <c r="H17" i="14"/>
  <c r="G16" i="14"/>
  <c r="H16" i="14" s="1"/>
  <c r="G15" i="14"/>
  <c r="H15" i="14" s="1"/>
  <c r="H14" i="14"/>
  <c r="H13" i="14"/>
  <c r="G12" i="14"/>
  <c r="H12" i="14" s="1"/>
  <c r="G11" i="14"/>
  <c r="H11" i="14" s="1"/>
  <c r="G10" i="14"/>
  <c r="H10" i="14" s="1"/>
  <c r="G9" i="14"/>
  <c r="H9" i="14" s="1"/>
  <c r="H8" i="14"/>
  <c r="B8" i="14"/>
  <c r="G7" i="14"/>
  <c r="H7" i="14" s="1"/>
  <c r="G6" i="14"/>
  <c r="H6" i="14" s="1"/>
  <c r="G5" i="14"/>
  <c r="H5" i="14" s="1"/>
  <c r="H4" i="14"/>
  <c r="G2941" i="14" l="1"/>
  <c r="H2941" i="14" s="1"/>
  <c r="H2872" i="14"/>
  <c r="H2806" i="14"/>
  <c r="H2950" i="14"/>
  <c r="H2842" i="14"/>
  <c r="H2938" i="14"/>
  <c r="G2875" i="14"/>
  <c r="H2875" i="14" s="1"/>
  <c r="H2836" i="14"/>
  <c r="H2878" i="14"/>
  <c r="G2839" i="14"/>
  <c r="H2839" i="14" s="1"/>
  <c r="H2944" i="14"/>
  <c r="G2881" i="14"/>
  <c r="H2881" i="14" s="1"/>
  <c r="G2803" i="14"/>
  <c r="H2803" i="14" s="1"/>
  <c r="H2914" i="14"/>
  <c r="H2974" i="14"/>
  <c r="G2977" i="14"/>
  <c r="H2977" i="14" s="1"/>
  <c r="H2788" i="14"/>
  <c r="H2824" i="14"/>
  <c r="G48" i="14"/>
  <c r="H48" i="14" s="1"/>
  <c r="G50" i="14"/>
  <c r="H50" i="14" s="1"/>
  <c r="G2791" i="14"/>
  <c r="H2791" i="14" s="1"/>
  <c r="G2827" i="14"/>
  <c r="H2827" i="14" s="1"/>
  <c r="H2902" i="14"/>
  <c r="G2809" i="14"/>
  <c r="H2809" i="14" s="1"/>
  <c r="G2905" i="14"/>
  <c r="H2905" i="14" s="1"/>
  <c r="G2982" i="14"/>
  <c r="H2982" i="14" s="1"/>
  <c r="G2869" i="14"/>
  <c r="H2869" i="14" s="1"/>
  <c r="H2776" i="14"/>
  <c r="H2794" i="14"/>
  <c r="G2833" i="14"/>
  <c r="H2833" i="14" s="1"/>
  <c r="G2947" i="14"/>
  <c r="H2947" i="14" s="1"/>
  <c r="G2797" i="14"/>
  <c r="H2797" i="14" s="1"/>
  <c r="H2670" i="14"/>
  <c r="G2911" i="14"/>
  <c r="H2911" i="14" s="1"/>
  <c r="H47" i="14"/>
  <c r="H2812" i="14"/>
  <c r="H2848" i="14"/>
  <c r="H2884" i="14"/>
  <c r="H2920" i="14"/>
  <c r="H2956" i="14"/>
  <c r="H2782" i="14"/>
  <c r="H2818" i="14"/>
  <c r="G2845" i="14"/>
  <c r="H2845" i="14" s="1"/>
  <c r="H2854" i="14"/>
  <c r="H2890" i="14"/>
  <c r="G2917" i="14"/>
  <c r="H2917" i="14" s="1"/>
  <c r="H2926" i="14"/>
  <c r="G2953" i="14"/>
  <c r="H2953" i="14" s="1"/>
  <c r="H2962" i="14"/>
  <c r="G3006" i="14"/>
  <c r="H3006" i="14" s="1"/>
  <c r="G2655" i="14"/>
  <c r="H2655" i="14" s="1"/>
  <c r="G2779" i="14"/>
  <c r="H2779" i="14" s="1"/>
  <c r="G2815" i="14"/>
  <c r="H2815" i="14" s="1"/>
  <c r="G2851" i="14"/>
  <c r="H2851" i="14" s="1"/>
  <c r="H2860" i="14"/>
  <c r="G2887" i="14"/>
  <c r="H2887" i="14" s="1"/>
  <c r="H2896" i="14"/>
  <c r="G2923" i="14"/>
  <c r="H2923" i="14" s="1"/>
  <c r="H2932" i="14"/>
  <c r="G2959" i="14"/>
  <c r="H2959" i="14" s="1"/>
  <c r="H2968" i="14"/>
  <c r="G2994" i="14"/>
  <c r="H2994" i="14" s="1"/>
  <c r="G3000" i="14"/>
  <c r="H3000" i="14" s="1"/>
  <c r="H2676" i="14"/>
  <c r="G2785" i="14"/>
  <c r="H2785" i="14" s="1"/>
  <c r="G2821" i="14"/>
  <c r="H2821" i="14" s="1"/>
  <c r="H2830" i="14"/>
  <c r="G2857" i="14"/>
  <c r="H2857" i="14" s="1"/>
  <c r="H2866" i="14"/>
  <c r="G2893" i="14"/>
  <c r="H2893" i="14" s="1"/>
  <c r="G2929" i="14"/>
  <c r="H2929" i="14" s="1"/>
  <c r="G2965" i="14"/>
  <c r="H2965" i="14" s="1"/>
  <c r="H2800" i="14"/>
  <c r="G2863" i="14"/>
  <c r="H2863" i="14" s="1"/>
  <c r="G2899" i="14"/>
  <c r="H2899" i="14" s="1"/>
  <c r="H2908" i="14"/>
  <c r="G2935" i="14"/>
  <c r="H2935" i="14" s="1"/>
  <c r="G2971" i="14"/>
  <c r="H2971" i="14" s="1"/>
  <c r="B13" i="14"/>
  <c r="H43" i="14"/>
  <c r="H45" i="14"/>
  <c r="G53" i="14"/>
  <c r="H53" i="14" s="1"/>
  <c r="H44" i="14"/>
  <c r="G434" i="14"/>
  <c r="H434" i="14" s="1"/>
  <c r="G2083" i="14"/>
  <c r="H2083" i="14" s="1"/>
  <c r="H2660" i="14"/>
  <c r="H2664" i="14"/>
  <c r="G3001" i="14"/>
  <c r="H3001" i="14" s="1"/>
  <c r="G3037" i="14"/>
  <c r="H3037" i="14" s="1"/>
  <c r="H3034" i="14"/>
  <c r="G2983" i="14"/>
  <c r="H2983" i="14" s="1"/>
  <c r="G2988" i="14"/>
  <c r="H2988" i="14" s="1"/>
  <c r="G3007" i="14"/>
  <c r="H3007" i="14" s="1"/>
  <c r="G3012" i="14"/>
  <c r="H3012" i="14" s="1"/>
  <c r="G3031" i="14"/>
  <c r="H3031" i="14" s="1"/>
  <c r="H3028" i="14"/>
  <c r="G2989" i="14"/>
  <c r="H2989" i="14" s="1"/>
  <c r="G3013" i="14"/>
  <c r="H3013" i="14" s="1"/>
  <c r="G3025" i="14"/>
  <c r="H3025" i="14" s="1"/>
  <c r="H3022" i="14"/>
  <c r="G2995" i="14"/>
  <c r="H2995" i="14" s="1"/>
  <c r="G3019" i="14"/>
  <c r="H3019" i="14" s="1"/>
  <c r="H3016" i="14"/>
  <c r="G3043" i="14"/>
  <c r="H3043" i="14" s="1"/>
  <c r="H3040" i="14"/>
  <c r="G3042" i="14"/>
  <c r="H3042" i="14" s="1"/>
  <c r="B17" i="14" l="1"/>
  <c r="B22" i="14" l="1"/>
  <c r="B26" i="14" l="1"/>
  <c r="B30" i="14" s="1"/>
  <c r="B34" i="14" s="1"/>
  <c r="B38" i="14" l="1"/>
  <c r="B41" i="14" s="1"/>
  <c r="B46" i="14" l="1"/>
  <c r="B51" i="14" l="1"/>
  <c r="B54" i="14" l="1"/>
  <c r="B55" i="14" l="1"/>
  <c r="B61" i="14" s="1"/>
  <c r="B58" i="14"/>
  <c r="B64" i="14" l="1"/>
  <c r="B65" i="14" s="1"/>
  <c r="B66" i="14" s="1"/>
  <c r="B67" i="14" s="1"/>
  <c r="B68" i="14" s="1"/>
  <c r="B69" i="14" s="1"/>
  <c r="B70" i="14" s="1"/>
  <c r="B71" i="14" s="1"/>
  <c r="B72" i="14" s="1"/>
  <c r="B73" i="14" s="1"/>
  <c r="B74" i="14" s="1"/>
  <c r="B75" i="14" s="1"/>
  <c r="B76" i="14" s="1"/>
  <c r="B77" i="14" s="1"/>
  <c r="B78" i="14" s="1"/>
  <c r="B79" i="14" s="1"/>
  <c r="B80" i="14" s="1"/>
  <c r="B81" i="14" s="1"/>
  <c r="B82" i="14" s="1"/>
  <c r="B83" i="14" s="1"/>
  <c r="B84" i="14" s="1"/>
  <c r="B85" i="14" s="1"/>
  <c r="B86" i="14" s="1"/>
  <c r="B87" i="14" s="1"/>
  <c r="B88" i="14" s="1"/>
  <c r="B89" i="14" s="1"/>
  <c r="B90" i="14" s="1"/>
  <c r="B91" i="14" s="1"/>
  <c r="B92" i="14" s="1"/>
  <c r="B93" i="14" s="1"/>
  <c r="B94" i="14" s="1"/>
  <c r="B95" i="14" s="1"/>
  <c r="B96" i="14" s="1"/>
  <c r="B97" i="14" s="1"/>
  <c r="B98" i="14" s="1"/>
  <c r="B99" i="14" s="1"/>
  <c r="B100" i="14" s="1"/>
  <c r="B101" i="14" s="1"/>
  <c r="B102" i="14" s="1"/>
  <c r="B103" i="14" s="1"/>
  <c r="B104" i="14" s="1"/>
  <c r="B105" i="14" s="1"/>
  <c r="B106" i="14" s="1"/>
  <c r="B107" i="14" s="1"/>
  <c r="B108" i="14" s="1"/>
  <c r="B109" i="14" s="1"/>
  <c r="B110" i="14" s="1"/>
  <c r="B111" i="14" s="1"/>
  <c r="B112" i="14" s="1"/>
  <c r="B113" i="14" s="1"/>
  <c r="B114" i="14" s="1"/>
  <c r="B115" i="14" s="1"/>
  <c r="B116" i="14" s="1"/>
  <c r="B117" i="14" s="1"/>
  <c r="B118" i="14" s="1"/>
  <c r="B119" i="14" s="1"/>
  <c r="B120" i="14" s="1"/>
  <c r="B121" i="14" s="1"/>
  <c r="B122" i="14" s="1"/>
  <c r="B123" i="14" s="1"/>
  <c r="B124" i="14" s="1"/>
  <c r="B125" i="14" s="1"/>
  <c r="B126" i="14" s="1"/>
  <c r="B127" i="14" s="1"/>
  <c r="B128" i="14" s="1"/>
  <c r="B129" i="14" s="1"/>
  <c r="B130" i="14" s="1"/>
  <c r="B131" i="14" s="1"/>
  <c r="B132" i="14" s="1"/>
  <c r="B133" i="14" s="1"/>
  <c r="B134" i="14" s="1"/>
  <c r="B135" i="14" s="1"/>
  <c r="B136" i="14" s="1"/>
  <c r="B137" i="14" s="1"/>
  <c r="B138" i="14" s="1"/>
  <c r="B139" i="14" s="1"/>
  <c r="B140" i="14" s="1"/>
  <c r="B141" i="14" s="1"/>
  <c r="B142" i="14" s="1"/>
  <c r="B143" i="14" s="1"/>
  <c r="B144" i="14" s="1"/>
  <c r="B145" i="14" s="1"/>
  <c r="B146" i="14" s="1"/>
  <c r="B147" i="14" s="1"/>
  <c r="B148" i="14" s="1"/>
  <c r="B149" i="14" s="1"/>
  <c r="B150" i="14" s="1"/>
  <c r="B151" i="14" s="1"/>
  <c r="B152" i="14" s="1"/>
  <c r="B153" i="14" s="1"/>
  <c r="B154" i="14" s="1"/>
  <c r="B155" i="14" s="1"/>
  <c r="B156" i="14" s="1"/>
  <c r="B157" i="14" s="1"/>
  <c r="B158" i="14" s="1"/>
  <c r="B159" i="14" s="1"/>
  <c r="B160" i="14" s="1"/>
  <c r="B161" i="14" s="1"/>
  <c r="B162" i="14" s="1"/>
  <c r="B163" i="14" s="1"/>
  <c r="B164" i="14" s="1"/>
  <c r="B165" i="14" s="1"/>
  <c r="B166" i="14" s="1"/>
  <c r="B167" i="14" s="1"/>
  <c r="B168" i="14" s="1"/>
  <c r="B169" i="14" s="1"/>
  <c r="B170" i="14" s="1"/>
  <c r="B171" i="14" s="1"/>
  <c r="B172" i="14" s="1"/>
  <c r="B173" i="14" s="1"/>
  <c r="B174" i="14" s="1"/>
  <c r="B175" i="14" s="1"/>
  <c r="B176" i="14" s="1"/>
  <c r="B177" i="14" s="1"/>
  <c r="B178" i="14" s="1"/>
  <c r="B179" i="14" s="1"/>
  <c r="B180" i="14" s="1"/>
  <c r="B181" i="14" s="1"/>
  <c r="B182" i="14" s="1"/>
  <c r="B183" i="14" s="1"/>
  <c r="B184" i="14" s="1"/>
  <c r="B185" i="14" s="1"/>
  <c r="B186" i="14" s="1"/>
  <c r="B187" i="14" s="1"/>
  <c r="B188" i="14" s="1"/>
  <c r="B189" i="14" s="1"/>
  <c r="B190" i="14" s="1"/>
  <c r="B191" i="14" s="1"/>
  <c r="B192" i="14" s="1"/>
  <c r="B193" i="14" s="1"/>
  <c r="B194" i="14" s="1"/>
  <c r="B195" i="14" s="1"/>
  <c r="B196" i="14" s="1"/>
  <c r="B197" i="14" s="1"/>
  <c r="B198" i="14" s="1"/>
  <c r="B199" i="14" s="1"/>
  <c r="B200" i="14" s="1"/>
  <c r="B201" i="14" s="1"/>
  <c r="B202" i="14" s="1"/>
  <c r="B203" i="14" s="1"/>
  <c r="B204" i="14" s="1"/>
  <c r="B205" i="14" s="1"/>
  <c r="B206" i="14" s="1"/>
  <c r="B207" i="14" s="1"/>
  <c r="B208" i="14" s="1"/>
  <c r="B209" i="14" s="1"/>
  <c r="B210" i="14" s="1"/>
  <c r="B211" i="14" s="1"/>
  <c r="B212" i="14" s="1"/>
  <c r="B213" i="14" s="1"/>
  <c r="B214" i="14" s="1"/>
  <c r="B215" i="14" s="1"/>
  <c r="B216" i="14" s="1"/>
  <c r="B217" i="14" s="1"/>
  <c r="B218" i="14" s="1"/>
  <c r="B219" i="14" s="1"/>
  <c r="B220" i="14" s="1"/>
  <c r="B221" i="14" s="1"/>
  <c r="B222" i="14" s="1"/>
  <c r="B223" i="14" s="1"/>
  <c r="B226" i="14" s="1"/>
  <c r="B230" i="14" s="1"/>
  <c r="B231" i="14" s="1"/>
  <c r="B232" i="14" s="1"/>
  <c r="B233" i="14" s="1"/>
  <c r="B234" i="14" s="1"/>
  <c r="B235" i="14" s="1"/>
  <c r="B236" i="14" s="1"/>
  <c r="B237" i="14" s="1"/>
  <c r="B238" i="14" s="1"/>
  <c r="B239" i="14" s="1"/>
  <c r="B240" i="14" s="1"/>
  <c r="B241" i="14" s="1"/>
  <c r="B242" i="14" s="1"/>
  <c r="B243" i="14" s="1"/>
  <c r="B244" i="14" s="1"/>
  <c r="B245" i="14" s="1"/>
  <c r="B246" i="14" s="1"/>
  <c r="B247" i="14" s="1"/>
  <c r="B248" i="14" s="1"/>
  <c r="B249" i="14" s="1"/>
  <c r="B250" i="14" s="1"/>
  <c r="B251" i="14" s="1"/>
  <c r="B252" i="14" s="1"/>
  <c r="B253" i="14" s="1"/>
  <c r="B254" i="14" s="1"/>
  <c r="B255" i="14" s="1"/>
  <c r="B258" i="14" s="1"/>
  <c r="B261" i="14" s="1"/>
  <c r="B264" i="14" s="1"/>
  <c r="B267" i="14" s="1"/>
  <c r="B270" i="14" s="1"/>
  <c r="B273" i="14" s="1"/>
  <c r="B276" i="14" s="1"/>
  <c r="B279" i="14" s="1"/>
  <c r="B282" i="14" s="1"/>
  <c r="B285" i="14" s="1"/>
  <c r="B288" i="14" s="1"/>
  <c r="B291" i="14" s="1"/>
  <c r="B294" i="14" s="1"/>
  <c r="B297" i="14" s="1"/>
  <c r="B300" i="14" s="1"/>
  <c r="B303" i="14" s="1"/>
  <c r="B306" i="14" s="1"/>
  <c r="B309" i="14" s="1"/>
  <c r="B310" i="14" s="1"/>
  <c r="B313" i="14" s="1"/>
  <c r="B329" i="14" l="1"/>
  <c r="B321" i="14"/>
  <c r="B317" i="14"/>
  <c r="B325" i="14" s="1"/>
  <c r="B335" i="14" l="1"/>
  <c r="B345" i="14" s="1"/>
  <c r="B354" i="14" s="1"/>
  <c r="B357" i="14" s="1"/>
  <c r="B358" i="14" s="1"/>
  <c r="B359" i="14" s="1"/>
  <c r="B360" i="14" s="1"/>
  <c r="B361" i="14" s="1"/>
  <c r="B362" i="14" s="1"/>
  <c r="B363" i="14" s="1"/>
  <c r="B364" i="14" s="1"/>
  <c r="B365" i="14" s="1"/>
  <c r="B366" i="14" s="1"/>
  <c r="B367" i="14" s="1"/>
  <c r="B368" i="14" s="1"/>
  <c r="B369" i="14" s="1"/>
  <c r="B370" i="14" s="1"/>
  <c r="B371" i="14" s="1"/>
  <c r="B372" i="14" s="1"/>
  <c r="B373" i="14" s="1"/>
  <c r="B374" i="14" s="1"/>
  <c r="B375" i="14" s="1"/>
  <c r="B376" i="14" s="1"/>
  <c r="B377" i="14" s="1"/>
  <c r="B378" i="14" s="1"/>
  <c r="B379" i="14" s="1"/>
  <c r="B380" i="14" s="1"/>
  <c r="B381" i="14" s="1"/>
  <c r="B382" i="14" s="1"/>
  <c r="B383" i="14" s="1"/>
  <c r="B384" i="14" s="1"/>
  <c r="B385" i="14" s="1"/>
  <c r="B386" i="14" s="1"/>
  <c r="B387" i="14" s="1"/>
  <c r="B388" i="14" s="1"/>
  <c r="B389" i="14" s="1"/>
  <c r="B390" i="14" s="1"/>
  <c r="B391" i="14" s="1"/>
  <c r="B392" i="14" s="1"/>
  <c r="B393" i="14" s="1"/>
  <c r="B394" i="14" s="1"/>
  <c r="B395" i="14" s="1"/>
  <c r="B396" i="14" s="1"/>
  <c r="B397" i="14" s="1"/>
  <c r="B398" i="14" s="1"/>
  <c r="B399" i="14" s="1"/>
  <c r="B400" i="14" s="1"/>
  <c r="B401" i="14" s="1"/>
  <c r="B402" i="14" s="1"/>
  <c r="B403" i="14" s="1"/>
  <c r="B404" i="14" s="1"/>
  <c r="B405" i="14" s="1"/>
  <c r="B406" i="14" s="1"/>
  <c r="B407" i="14" s="1"/>
  <c r="B408" i="14" s="1"/>
  <c r="B409" i="14" s="1"/>
  <c r="B410" i="14" s="1"/>
  <c r="B411" i="14" s="1"/>
  <c r="B412" i="14" s="1"/>
  <c r="B413" i="14" s="1"/>
  <c r="B414" i="14" s="1"/>
  <c r="B415" i="14" s="1"/>
  <c r="B416" i="14" s="1"/>
  <c r="B417" i="14" s="1"/>
  <c r="B418" i="14" s="1"/>
  <c r="B419" i="14" s="1"/>
  <c r="B420" i="14" s="1"/>
  <c r="B421" i="14" s="1"/>
  <c r="B422" i="14" s="1"/>
  <c r="B423" i="14" s="1"/>
  <c r="B424" i="14" s="1"/>
  <c r="B425" i="14" s="1"/>
  <c r="B426" i="14" s="1"/>
  <c r="B427" i="14" s="1"/>
  <c r="B428" i="14" s="1"/>
  <c r="B429" i="14" s="1"/>
  <c r="B430" i="14" s="1"/>
  <c r="B436" i="14" s="1"/>
  <c r="B442" i="14" s="1"/>
  <c r="B448" i="14" s="1"/>
  <c r="B454" i="14" s="1"/>
  <c r="B460" i="14" s="1"/>
  <c r="B466" i="14" s="1"/>
  <c r="B471" i="14" s="1"/>
  <c r="B476" i="14" s="1"/>
  <c r="B481" i="14" s="1"/>
  <c r="B486" i="14" s="1"/>
  <c r="B491" i="14" s="1"/>
  <c r="B496" i="14" s="1"/>
  <c r="B499" i="14" s="1"/>
  <c r="B502" i="14" s="1"/>
  <c r="B505" i="14" s="1"/>
  <c r="B508" i="14" s="1"/>
  <c r="B511" i="14" s="1"/>
  <c r="B514" i="14" s="1"/>
  <c r="B517" i="14" s="1"/>
  <c r="B520" i="14" s="1"/>
  <c r="B524" i="14" s="1"/>
  <c r="B528" i="14" s="1"/>
  <c r="B534" i="14" s="1"/>
  <c r="B540" i="14" s="1"/>
  <c r="B546" i="14" s="1"/>
  <c r="B552" i="14" s="1"/>
  <c r="B558" i="14" s="1"/>
  <c r="B564" i="14" s="1"/>
  <c r="B570" i="14" s="1"/>
  <c r="B576" i="14" s="1"/>
  <c r="B577" i="14" s="1"/>
  <c r="B578" i="14" s="1"/>
  <c r="B579" i="14" s="1"/>
  <c r="B580" i="14" s="1"/>
  <c r="B581" i="14" s="1"/>
  <c r="B582" i="14" s="1"/>
  <c r="B583" i="14" s="1"/>
  <c r="B584" i="14" s="1"/>
  <c r="B585" i="14" s="1"/>
  <c r="B586" i="14" s="1"/>
  <c r="B587" i="14" s="1"/>
  <c r="B588" i="14" s="1"/>
  <c r="B589" i="14" s="1"/>
  <c r="B590" i="14" s="1"/>
  <c r="B591" i="14" s="1"/>
  <c r="B592" i="14" s="1"/>
  <c r="B598" i="14" s="1"/>
  <c r="B604" i="14" s="1"/>
  <c r="B610" i="14" s="1"/>
  <c r="B616" i="14" s="1"/>
  <c r="B622" i="14" s="1"/>
  <c r="B628" i="14" s="1"/>
  <c r="B634" i="14" s="1"/>
  <c r="B640" i="14" s="1"/>
  <c r="B646" i="14" s="1"/>
  <c r="B652" i="14" s="1"/>
  <c r="B658" i="14" s="1"/>
  <c r="B664" i="14" s="1"/>
  <c r="B670" i="14" s="1"/>
  <c r="B676" i="14" s="1"/>
  <c r="B682" i="14" s="1"/>
  <c r="B688" i="14" s="1"/>
  <c r="B689" i="14" s="1"/>
  <c r="B690" i="14" s="1"/>
  <c r="B691" i="14" s="1"/>
  <c r="B692" i="14" s="1"/>
  <c r="B693" i="14" s="1"/>
  <c r="B694" i="14" s="1"/>
  <c r="B695" i="14" s="1"/>
  <c r="B696" i="14" s="1"/>
  <c r="B697" i="14" s="1"/>
  <c r="B698" i="14" s="1"/>
  <c r="B699" i="14" s="1"/>
  <c r="B700" i="14" s="1"/>
  <c r="B701" i="14" s="1"/>
  <c r="B702" i="14" s="1"/>
  <c r="B703" i="14" s="1"/>
  <c r="B704" i="14" s="1"/>
  <c r="B705" i="14" s="1"/>
  <c r="B706" i="14" s="1"/>
  <c r="B707" i="14" s="1"/>
  <c r="B708" i="14" s="1"/>
  <c r="B709" i="14" s="1"/>
  <c r="B710" i="14" s="1"/>
  <c r="B711" i="14" s="1"/>
  <c r="B712" i="14" s="1"/>
  <c r="B713" i="14" s="1"/>
  <c r="B714" i="14" s="1"/>
  <c r="B715" i="14" s="1"/>
  <c r="B716" i="14" s="1"/>
  <c r="B717" i="14" s="1"/>
  <c r="B718" i="14" s="1"/>
  <c r="B719" i="14" s="1"/>
  <c r="B720" i="14" s="1"/>
  <c r="B726" i="14" s="1"/>
  <c r="B732" i="14" s="1"/>
  <c r="B738" i="14" s="1"/>
  <c r="B744" i="14" s="1"/>
  <c r="B750" i="14" s="1"/>
  <c r="B756" i="14" s="1"/>
  <c r="B762" i="14" s="1"/>
  <c r="B768" i="14" s="1"/>
  <c r="B774" i="14" s="1"/>
  <c r="B780" i="14" s="1"/>
  <c r="B786" i="14" s="1"/>
  <c r="B792" i="14" s="1"/>
  <c r="B798" i="14" s="1"/>
  <c r="B804" i="14" s="1"/>
  <c r="B810" i="14" s="1"/>
  <c r="B816" i="14" s="1"/>
  <c r="B822" i="14" s="1"/>
  <c r="B828" i="14" s="1"/>
  <c r="B834" i="14" s="1"/>
  <c r="B840" i="14" s="1"/>
  <c r="B846" i="14" s="1"/>
  <c r="B852" i="14" s="1"/>
  <c r="B858" i="14" s="1"/>
  <c r="B864" i="14" s="1"/>
  <c r="B870" i="14" s="1"/>
  <c r="B876" i="14" s="1"/>
  <c r="B882" i="14" s="1"/>
  <c r="B888" i="14" s="1"/>
  <c r="B894" i="14" s="1"/>
  <c r="B900" i="14" s="1"/>
  <c r="B906" i="14" s="1"/>
  <c r="B912" i="14" s="1"/>
  <c r="B918" i="14" s="1"/>
  <c r="B924" i="14" s="1"/>
  <c r="B930" i="14" s="1"/>
  <c r="B936" i="14" s="1"/>
  <c r="B942" i="14" s="1"/>
  <c r="B948" i="14" s="1"/>
  <c r="B954" i="14" s="1"/>
  <c r="B960" i="14" s="1"/>
  <c r="B966" i="14" s="1"/>
  <c r="B972" i="14" s="1"/>
  <c r="B978" i="14" s="1"/>
  <c r="B984" i="14" s="1"/>
  <c r="B990" i="14" s="1"/>
  <c r="B996" i="14" s="1"/>
  <c r="B1002" i="14" s="1"/>
  <c r="B1008" i="14" s="1"/>
  <c r="B1014" i="14" s="1"/>
  <c r="B1020" i="14" s="1"/>
  <c r="B1026" i="14" s="1"/>
  <c r="B1032" i="14" s="1"/>
  <c r="B1038" i="14" s="1"/>
  <c r="B1044" i="14" s="1"/>
  <c r="B1050" i="14" s="1"/>
  <c r="B1056" i="14" s="1"/>
  <c r="B1059" i="14" s="1"/>
  <c r="B1071" i="14" s="1"/>
  <c r="B1083" i="14" s="1"/>
  <c r="B1095" i="14" s="1"/>
  <c r="B1107" i="14" s="1"/>
  <c r="B1119" i="14" s="1"/>
  <c r="B1131" i="14" s="1"/>
  <c r="B1143" i="14" s="1"/>
  <c r="B1155" i="14" s="1"/>
  <c r="B1166" i="14" s="1"/>
  <c r="B1177" i="14" s="1"/>
  <c r="B1188" i="14" s="1"/>
  <c r="B1199" i="14" s="1"/>
  <c r="B1210" i="14" s="1"/>
  <c r="B1221" i="14" s="1"/>
  <c r="B1232" i="14" s="1"/>
  <c r="B1243" i="14" s="1"/>
  <c r="B1244" i="14" s="1"/>
  <c r="B1245" i="14" s="1"/>
  <c r="B1246" i="14" s="1"/>
  <c r="B1247" i="14" s="1"/>
  <c r="B1248" i="14" s="1"/>
  <c r="B1249" i="14" s="1"/>
  <c r="B1250" i="14" s="1"/>
  <c r="B1251" i="14" s="1"/>
  <c r="B1252" i="14" s="1"/>
  <c r="B1253" i="14" s="1"/>
  <c r="B1254" i="14" s="1"/>
  <c r="B1255" i="14" s="1"/>
  <c r="B1256" i="14" s="1"/>
  <c r="B1257" i="14" s="1"/>
  <c r="B1258" i="14" s="1"/>
  <c r="B1259" i="14" s="1"/>
  <c r="B1262" i="14" s="1"/>
  <c r="B1265" i="14" s="1"/>
  <c r="B1268" i="14" s="1"/>
  <c r="B1271" i="14" s="1"/>
  <c r="B1274" i="14" s="1"/>
  <c r="B1277" i="14" s="1"/>
  <c r="B1280" i="14" s="1"/>
  <c r="B1283" i="14" s="1"/>
  <c r="B1286" i="14" s="1"/>
  <c r="B1289" i="14" s="1"/>
  <c r="B1292" i="14" s="1"/>
  <c r="B1295" i="14" s="1"/>
  <c r="B1298" i="14" s="1"/>
  <c r="B1301" i="14" s="1"/>
  <c r="B1304" i="14" s="1"/>
  <c r="B1307" i="14" s="1"/>
  <c r="B1334" i="14" l="1"/>
  <c r="B1310" i="14"/>
  <c r="B1313" i="14" s="1"/>
  <c r="B1316" i="14" s="1"/>
  <c r="B1319" i="14" s="1"/>
  <c r="B1322" i="14" s="1"/>
  <c r="B1325" i="14" s="1"/>
  <c r="B1328" i="14" s="1"/>
  <c r="B1331" i="14" s="1"/>
  <c r="B1335" i="14" l="1"/>
  <c r="B1336" i="14" s="1"/>
  <c r="B1337" i="14" s="1"/>
  <c r="B1338" i="14" s="1"/>
  <c r="B1343" i="14" s="1"/>
  <c r="B1348" i="14" s="1"/>
  <c r="B1353" i="14" s="1"/>
  <c r="B1358" i="14" s="1"/>
  <c r="B1363" i="14" s="1"/>
  <c r="B1368" i="14" s="1"/>
  <c r="B1374" i="14" s="1"/>
  <c r="B1380" i="14" s="1"/>
  <c r="B1386" i="14" s="1"/>
  <c r="B1392" i="14" s="1"/>
  <c r="B1399" i="14" s="1"/>
  <c r="B1405" i="14" s="1"/>
  <c r="B1410" i="14" s="1"/>
  <c r="B1416" i="14" s="1"/>
  <c r="B1422" i="14" s="1"/>
  <c r="B1428" i="14" s="1"/>
  <c r="B1435" i="14" s="1"/>
  <c r="B1441" i="14" s="1"/>
  <c r="B1446" i="14" s="1"/>
  <c r="B1452" i="14" s="1"/>
  <c r="B1458" i="14" s="1"/>
  <c r="B1465" i="14" s="1"/>
  <c r="B1471" i="14" s="1"/>
  <c r="B1476" i="14" s="1"/>
  <c r="B1483" i="14" s="1"/>
  <c r="B1490" i="14" s="1"/>
  <c r="B1496" i="14" s="1"/>
  <c r="B1502" i="14" s="1"/>
  <c r="B1508" i="14" s="1"/>
  <c r="B1514" i="14" s="1"/>
  <c r="B1519" i="14" s="1"/>
  <c r="B1524" i="14" s="1"/>
  <c r="B1529" i="14" s="1"/>
  <c r="B1534" i="14" s="1"/>
  <c r="B1539" i="14" s="1"/>
  <c r="B1544" i="14" s="1"/>
  <c r="B1549" i="14" s="1"/>
  <c r="B1555" i="14" s="1"/>
  <c r="B1560" i="14" s="1"/>
  <c r="B1563" i="14" s="1"/>
  <c r="B1566" i="14" s="1"/>
  <c r="B1569" i="14" s="1"/>
  <c r="B1572" i="14" s="1"/>
  <c r="B1575" i="14" s="1"/>
  <c r="B1578" i="14" s="1"/>
  <c r="B1581" i="14" s="1"/>
  <c r="B1584" i="14" s="1"/>
  <c r="B1588" i="14" s="1"/>
  <c r="B1592" i="14" s="1"/>
  <c r="B1597" i="14" s="1"/>
  <c r="B1602" i="14" s="1"/>
  <c r="B1606" i="14" s="1"/>
  <c r="B1610" i="14" s="1"/>
  <c r="B1614" i="14" s="1"/>
  <c r="B1618" i="14" s="1"/>
  <c r="B1623" i="14" s="1"/>
  <c r="B1628" i="14" s="1"/>
  <c r="B1633" i="14" s="1"/>
  <c r="B1638" i="14" s="1"/>
  <c r="B1643" i="14" s="1"/>
  <c r="B1648" i="14" s="1"/>
  <c r="B1653" i="14" s="1"/>
  <c r="B1658" i="14" s="1"/>
  <c r="B1663" i="14" s="1"/>
  <c r="B1668" i="14" s="1"/>
  <c r="B1673" i="14" s="1"/>
  <c r="B1678" i="14" s="1"/>
  <c r="B1693" i="14" l="1"/>
  <c r="B1683" i="14"/>
  <c r="B1688" i="14" s="1"/>
  <c r="B1703" i="14" s="1"/>
  <c r="B1698" i="14" l="1"/>
  <c r="B1713" i="14" s="1"/>
  <c r="B1708" i="14" l="1"/>
  <c r="B1723" i="14" s="1"/>
  <c r="B1718" i="14" l="1"/>
  <c r="B1728" i="14" s="1"/>
  <c r="B1733" i="14" s="1"/>
  <c r="B1738" i="14" s="1"/>
  <c r="B1743" i="14" s="1"/>
  <c r="B1748" i="14" s="1"/>
  <c r="B1753" i="14" s="1"/>
  <c r="B1757" i="14" s="1"/>
  <c r="B1761" i="14" s="1"/>
  <c r="B1765" i="14" s="1"/>
  <c r="B1769" i="14" s="1"/>
  <c r="B1773" i="14" s="1"/>
  <c r="B1777" i="14" s="1"/>
  <c r="B1781" i="14" s="1"/>
  <c r="B1785" i="14" s="1"/>
  <c r="B1789" i="14" s="1"/>
  <c r="B1793" i="14" s="1"/>
  <c r="B1798" i="14" s="1"/>
  <c r="B1803" i="14" s="1"/>
  <c r="B1807" i="14" s="1"/>
  <c r="B1811" i="14" s="1"/>
  <c r="B1815" i="14" s="1"/>
  <c r="B1819" i="14" s="1"/>
  <c r="B1824" i="14" s="1"/>
  <c r="B1829" i="14" s="1"/>
  <c r="B1834" i="14" s="1"/>
  <c r="B1839" i="14" s="1"/>
  <c r="B1844" i="14" s="1"/>
  <c r="B1849" i="14" s="1"/>
  <c r="B1854" i="14" s="1"/>
  <c r="B1859" i="14" s="1"/>
  <c r="B1864" i="14" s="1"/>
  <c r="B1869" i="14" s="1"/>
  <c r="B1874" i="14" s="1"/>
  <c r="B1879" i="14" s="1"/>
  <c r="B1884" i="14" s="1"/>
  <c r="B1889" i="14" s="1"/>
  <c r="B1894" i="14" s="1"/>
  <c r="B1899" i="14" s="1"/>
  <c r="B1904" i="14" s="1"/>
  <c r="B1909" i="14" s="1"/>
  <c r="B1914" i="14" s="1"/>
  <c r="B1919" i="14" s="1"/>
  <c r="B1924" i="14" s="1"/>
  <c r="B1929" i="14" s="1"/>
  <c r="B1934" i="14" s="1"/>
  <c r="B1939" i="14" s="1"/>
  <c r="B1944" i="14" s="1"/>
  <c r="B1949" i="14" s="1"/>
  <c r="B1954" i="14" s="1"/>
  <c r="B1965" i="14" s="1"/>
  <c r="B1996" i="14" l="1"/>
  <c r="B1975" i="14"/>
  <c r="B1986" i="14" s="1"/>
  <c r="B2007" i="14" l="1"/>
  <c r="B2017" i="14" s="1"/>
  <c r="B2028" i="14" s="1"/>
  <c r="B2038" i="14" s="1"/>
  <c r="B2049" i="14" s="1"/>
  <c r="B2059" i="14" s="1"/>
  <c r="B2070" i="14" s="1"/>
  <c r="B2079" i="14" s="1"/>
  <c r="B2082" i="14" s="1"/>
  <c r="B2086" i="14" s="1"/>
  <c r="B2091" i="14" s="1"/>
  <c r="B2092" i="14" s="1"/>
  <c r="B2103" i="14" s="1"/>
  <c r="B2113" i="14" s="1"/>
  <c r="B2124" i="14" s="1"/>
  <c r="B2134" i="14" s="1"/>
  <c r="B2138" i="14" s="1"/>
  <c r="B2143" i="14" s="1"/>
  <c r="B2148" i="14" s="1"/>
  <c r="B2153" i="14" s="1"/>
  <c r="B2157" i="14" s="1"/>
  <c r="B2162" i="14" s="1"/>
  <c r="B2166" i="14" s="1"/>
  <c r="B2171" i="14" s="1"/>
  <c r="B2174" i="14" s="1"/>
  <c r="B2178" i="14" s="1"/>
  <c r="B2183" i="14" s="1"/>
  <c r="B2188" i="14" s="1"/>
  <c r="B2193" i="14" s="1"/>
  <c r="B2196" i="14" s="1"/>
  <c r="B2199" i="14" s="1"/>
  <c r="B2204" i="14" s="1"/>
  <c r="B2208" i="14" s="1"/>
  <c r="B2212" i="14" s="1"/>
  <c r="B2216" i="14" s="1"/>
  <c r="B2220" i="14" s="1"/>
  <c r="B2222" i="14" s="1"/>
  <c r="B2225" i="14" s="1"/>
  <c r="B2230" i="14" s="1"/>
  <c r="B2235" i="14" s="1"/>
  <c r="B2240" i="14" s="1"/>
  <c r="B2245" i="14" s="1"/>
  <c r="B2250" i="14" s="1"/>
  <c r="B2255" i="14" s="1"/>
  <c r="B2260" i="14" s="1"/>
  <c r="B2265" i="14" s="1"/>
  <c r="B2270" i="14" s="1"/>
  <c r="B2275" i="14" s="1"/>
  <c r="B2280" i="14" s="1"/>
  <c r="B2285" i="14" s="1"/>
  <c r="B2290" i="14" s="1"/>
  <c r="B2295" i="14" s="1"/>
  <c r="B2300" i="14" s="1"/>
  <c r="B2305" i="14" s="1"/>
  <c r="B2310" i="14" s="1"/>
  <c r="B2314" i="14" s="1"/>
  <c r="B2318" i="14" s="1"/>
  <c r="B2322" i="14" s="1"/>
  <c r="B2326" i="14" s="1"/>
  <c r="B2330" i="14" s="1"/>
  <c r="B2334" i="14" s="1"/>
  <c r="B2339" i="14" s="1"/>
  <c r="B2344" i="14" s="1"/>
  <c r="B2349" i="14" s="1"/>
  <c r="B2354" i="14" s="1"/>
  <c r="B2359" i="14" s="1"/>
  <c r="B2364" i="14" s="1"/>
  <c r="B2369" i="14" s="1"/>
  <c r="B2374" i="14" s="1"/>
  <c r="B2442" i="14" s="1"/>
  <c r="B2443" i="14" s="1"/>
  <c r="B2511" i="14" s="1"/>
  <c r="B2512" i="14" s="1"/>
  <c r="B2580" i="14" s="1"/>
  <c r="B2581" i="14" s="1"/>
  <c r="B2649" i="14" s="1"/>
  <c r="B2650" i="14" s="1"/>
  <c r="B2653" i="14" s="1"/>
  <c r="B2658" i="14" s="1"/>
  <c r="B2663" i="14" s="1"/>
  <c r="B2669" i="14" s="1"/>
  <c r="B2675" i="14" s="1"/>
  <c r="B2681" i="14" s="1"/>
  <c r="B2684" i="14" s="1"/>
  <c r="B2685" i="14" s="1"/>
  <c r="B2686" i="14" s="1"/>
  <c r="B2687" i="14" s="1"/>
  <c r="B2688" i="14" s="1"/>
  <c r="B2689" i="14" s="1"/>
  <c r="B2690" i="14" s="1"/>
  <c r="B2691" i="14" s="1"/>
  <c r="B2692" i="14" s="1"/>
  <c r="B2693" i="14" s="1"/>
  <c r="B2694" i="14" s="1"/>
  <c r="B2695" i="14" s="1"/>
  <c r="B2696" i="14" s="1"/>
  <c r="B2697" i="14" s="1"/>
  <c r="B2698" i="14" s="1"/>
  <c r="B2699" i="14" s="1"/>
  <c r="B2700" i="14" s="1"/>
  <c r="B2701" i="14" s="1"/>
  <c r="B2702" i="14" s="1"/>
  <c r="B2703" i="14" s="1"/>
  <c r="B2704" i="14" s="1"/>
  <c r="B2705" i="14" s="1"/>
  <c r="B2706" i="14" s="1"/>
  <c r="B2707" i="14" s="1"/>
  <c r="B2708" i="14" s="1"/>
  <c r="B2709" i="14" s="1"/>
  <c r="B2710" i="14" s="1"/>
  <c r="B2711" i="14" s="1"/>
  <c r="B2712" i="14" s="1"/>
  <c r="B2713" i="14" s="1"/>
  <c r="B2714" i="14" s="1"/>
  <c r="B2715" i="14" s="1"/>
  <c r="B2716" i="14" s="1"/>
  <c r="B2717" i="14" s="1"/>
  <c r="B2718" i="14" s="1"/>
  <c r="B2719" i="14" s="1"/>
  <c r="B2720" i="14" s="1"/>
  <c r="B2721" i="14" s="1"/>
  <c r="B2722" i="14" s="1"/>
  <c r="B2723" i="14" s="1"/>
  <c r="B2724" i="14" s="1"/>
  <c r="B2725" i="14" s="1"/>
  <c r="B2726" i="14" s="1"/>
  <c r="B2727" i="14" s="1"/>
  <c r="B2728" i="14" s="1"/>
  <c r="B2729" i="14" s="1"/>
  <c r="B2730" i="14" s="1"/>
  <c r="B2731" i="14" s="1"/>
  <c r="B2732" i="14" s="1"/>
  <c r="B2733" i="14" s="1"/>
  <c r="B2734" i="14" s="1"/>
  <c r="B2735" i="14" s="1"/>
  <c r="B2736" i="14" s="1"/>
  <c r="B2737" i="14" s="1"/>
  <c r="B2738" i="14" s="1"/>
  <c r="B2739" i="14" s="1"/>
  <c r="B2740" i="14" s="1"/>
  <c r="B2741" i="14" s="1"/>
  <c r="B2742" i="14" s="1"/>
  <c r="B2743" i="14" s="1"/>
  <c r="B2744" i="14" s="1"/>
  <c r="B2745" i="14" s="1"/>
  <c r="B2746" i="14" s="1"/>
  <c r="B2747" i="14" s="1"/>
  <c r="B2748" i="14" s="1"/>
  <c r="B2749" i="14" s="1"/>
  <c r="B2750" i="14" s="1"/>
  <c r="B2751" i="14" s="1"/>
  <c r="B2752" i="14" s="1"/>
  <c r="B2753" i="14" s="1"/>
  <c r="B2754" i="14" s="1"/>
  <c r="B2755" i="14" s="1"/>
  <c r="B2756" i="14" s="1"/>
  <c r="B2757" i="14" s="1"/>
  <c r="B2758" i="14" s="1"/>
  <c r="B2759" i="14" s="1"/>
  <c r="B2760" i="14" s="1"/>
  <c r="B2761" i="14" s="1"/>
  <c r="B2762" i="14" s="1"/>
  <c r="B2763" i="14" s="1"/>
  <c r="B2764" i="14" s="1"/>
  <c r="B2765" i="14" s="1"/>
  <c r="B2766" i="14" s="1"/>
  <c r="B2767" i="14" s="1"/>
  <c r="B2768" i="14" s="1"/>
  <c r="B2769" i="14" s="1"/>
  <c r="B2770" i="14" s="1"/>
  <c r="B2771" i="14" s="1"/>
  <c r="B2772" i="14" s="1"/>
  <c r="B2773" i="14" s="1"/>
  <c r="B2774" i="14" s="1"/>
  <c r="B2775" i="14" s="1"/>
  <c r="B2781" i="14" s="1"/>
  <c r="B2787" i="14" s="1"/>
  <c r="B2793" i="14" s="1"/>
  <c r="B2799" i="14" s="1"/>
  <c r="B2805" i="14" s="1"/>
  <c r="B2811" i="14" s="1"/>
  <c r="B2817" i="14" s="1"/>
  <c r="B2823" i="14" s="1"/>
  <c r="B2829" i="14" s="1"/>
  <c r="B2835" i="14" s="1"/>
  <c r="B2841" i="14" s="1"/>
  <c r="B2847" i="14" s="1"/>
  <c r="B2853" i="14" s="1"/>
  <c r="B2859" i="14" s="1"/>
  <c r="B2865" i="14" s="1"/>
  <c r="B2871" i="14" s="1"/>
  <c r="B2877" i="14" s="1"/>
  <c r="B2883" i="14" s="1"/>
  <c r="B2889" i="14" s="1"/>
  <c r="B2895" i="14" s="1"/>
  <c r="B2901" i="14" s="1"/>
  <c r="B2907" i="14" s="1"/>
  <c r="B2913" i="14" s="1"/>
  <c r="B2919" i="14" s="1"/>
  <c r="B2925" i="14" s="1"/>
  <c r="B2931" i="14" s="1"/>
  <c r="B2937" i="14" s="1"/>
  <c r="B2943" i="14" s="1"/>
  <c r="B2949" i="14" s="1"/>
  <c r="B2955" i="14" s="1"/>
  <c r="B2961" i="14" s="1"/>
  <c r="B2967" i="14" s="1"/>
  <c r="B2973" i="14" s="1"/>
  <c r="B2979" i="14" s="1"/>
  <c r="B2985" i="14" s="1"/>
  <c r="B2991" i="14" s="1"/>
  <c r="B2997" i="14" s="1"/>
  <c r="B3003" i="14" s="1"/>
  <c r="B3009" i="14" s="1"/>
  <c r="B3015" i="14" s="1"/>
  <c r="B3021" i="14" s="1"/>
  <c r="B3027" i="14" s="1"/>
  <c r="B3033" i="14" s="1"/>
  <c r="B3039" i="14" s="1"/>
  <c r="B3045" i="14" l="1"/>
  <c r="B3050" i="14" s="1"/>
  <c r="B3055" i="14" s="1"/>
  <c r="B3060" i="14" s="1"/>
  <c r="B3065" i="14" s="1"/>
  <c r="B3070" i="14" s="1"/>
  <c r="B3075" i="14" s="1"/>
  <c r="B3080" i="14" s="1"/>
  <c r="B3085" i="14" s="1"/>
  <c r="B3090" i="14" s="1"/>
  <c r="B3095" i="14" s="1"/>
  <c r="B3101" i="14" s="1"/>
  <c r="B3107" i="14"/>
  <c r="B3112" i="14" l="1"/>
  <c r="B3115" i="14" s="1"/>
  <c r="B3118" i="14" s="1"/>
  <c r="B3119" i="14" s="1"/>
  <c r="B3120" i="14" s="1"/>
  <c r="B3124" i="14" s="1"/>
  <c r="B3128" i="14" s="1"/>
  <c r="B3132" i="14" s="1"/>
  <c r="B3136" i="14" s="1"/>
  <c r="B3140" i="14" s="1"/>
  <c r="B3145" i="14" s="1"/>
  <c r="B3148" i="14" s="1"/>
  <c r="B3153" i="14" s="1"/>
  <c r="B3158" i="14" s="1"/>
  <c r="B3163" i="14" s="1"/>
  <c r="B3168" i="14" s="1"/>
  <c r="B3173" i="14" s="1"/>
  <c r="B3176" i="14" s="1"/>
  <c r="B3181" i="14" s="1"/>
  <c r="B3186" i="14" s="1"/>
  <c r="B3191" i="14" s="1"/>
  <c r="B3196" i="14" s="1"/>
  <c r="B3201" i="14" s="1"/>
  <c r="B3206" i="14" s="1"/>
  <c r="B3209" i="14" s="1"/>
  <c r="B3214" i="14" s="1"/>
  <c r="B3219" i="14" s="1"/>
  <c r="B3225" i="14" s="1"/>
  <c r="B3231" i="14" s="1"/>
  <c r="B3236" i="14" s="1"/>
  <c r="B3241" i="14" s="1"/>
  <c r="B3247" i="14" s="1"/>
  <c r="B3253" i="14" s="1"/>
  <c r="B3259" i="14" s="1"/>
  <c r="B3265" i="14" s="1"/>
  <c r="B3271" i="14" s="1"/>
  <c r="B3277" i="14" s="1"/>
  <c r="B3283" i="14" s="1"/>
  <c r="B3289" i="14" s="1"/>
  <c r="B3295" i="14" s="1"/>
  <c r="B3301" i="14" s="1"/>
  <c r="B3307" i="14" s="1"/>
  <c r="B3313" i="14" s="1"/>
  <c r="B3319" i="14" s="1"/>
  <c r="B3325" i="14" s="1"/>
  <c r="B3331" i="14" s="1"/>
  <c r="B3337" i="14" s="1"/>
  <c r="B3343" i="14" s="1"/>
  <c r="B3349" i="14" s="1"/>
  <c r="B3355" i="14" s="1"/>
  <c r="B3361" i="14" s="1"/>
  <c r="B3367" i="14" s="1"/>
  <c r="B3373" i="14" s="1"/>
  <c r="B3379" i="14" s="1"/>
  <c r="B3385" i="14" s="1"/>
  <c r="B3391" i="14" s="1"/>
  <c r="B3397" i="14" s="1"/>
  <c r="B3403" i="14" s="1"/>
  <c r="B3409" i="14" s="1"/>
  <c r="B3415" i="14" s="1"/>
  <c r="B3421" i="14" s="1"/>
  <c r="B3427" i="14" s="1"/>
</calcChain>
</file>

<file path=xl/sharedStrings.xml><?xml version="1.0" encoding="utf-8"?>
<sst xmlns="http://schemas.openxmlformats.org/spreadsheetml/2006/main" count="12974" uniqueCount="1693">
  <si>
    <t>Acessórios</t>
  </si>
  <si>
    <t>Diversos</t>
  </si>
  <si>
    <t>Fios e Cabos</t>
  </si>
  <si>
    <t>Pontos de Utilização</t>
  </si>
  <si>
    <t>Sistema de Comunicações</t>
  </si>
  <si>
    <t>Sistema de Incêndio</t>
  </si>
  <si>
    <t>SPDA/Aterramento</t>
  </si>
  <si>
    <t>Painéis e Quadros</t>
  </si>
  <si>
    <t>Iluminação</t>
  </si>
  <si>
    <t>Infraestrutura</t>
  </si>
  <si>
    <t>Ponto para microfone no piso</t>
  </si>
  <si>
    <t>Entrada de Energia</t>
  </si>
  <si>
    <t>Equipamentos</t>
  </si>
  <si>
    <t>Folha:</t>
  </si>
  <si>
    <t>Referência</t>
  </si>
  <si>
    <t>Total</t>
  </si>
  <si>
    <t>Item</t>
  </si>
  <si>
    <t>Descrição</t>
  </si>
  <si>
    <t>Fabricante</t>
  </si>
  <si>
    <t>Categoria</t>
  </si>
  <si>
    <t>Unidade</t>
  </si>
  <si>
    <t>Quantidade</t>
  </si>
  <si>
    <t>Arandela de parede de sobrepor 127V</t>
  </si>
  <si>
    <t>pç</t>
  </si>
  <si>
    <t>Caixa de passagem de PVC de embutir 4x2"</t>
  </si>
  <si>
    <t>Tigre, Amanco</t>
  </si>
  <si>
    <t>Lâmpada fluorescente compacta integrada, soquete E27, 25W - 127V</t>
  </si>
  <si>
    <t>Philips, Osram</t>
  </si>
  <si>
    <t>Luminária tipo arandela de parede de sobrepor</t>
  </si>
  <si>
    <t>Itaim</t>
  </si>
  <si>
    <t>Arandela de parede de sobrepor 127V com sensor de presença</t>
  </si>
  <si>
    <t>Sensor de presença com fotocélula bivolt</t>
  </si>
  <si>
    <t>A. Santos</t>
  </si>
  <si>
    <t>Arandela de parede de sobrepor 220V</t>
  </si>
  <si>
    <t>Lâmpada fluorescente compacta integrada, soquete E27, 25W - 220V</t>
  </si>
  <si>
    <t>Arandela de parede de sobrepor 220V com sensor de presença</t>
  </si>
  <si>
    <t>Arandela de parede de sobrepor 127V blindada à prova do tempo</t>
  </si>
  <si>
    <t>Gevigama</t>
  </si>
  <si>
    <t>Luminária tipo arandela de parede de sobrepor blindada à prova do tempo</t>
  </si>
  <si>
    <t>Arandela de parede de sobrepor 220V blindada à prova do tempo</t>
  </si>
  <si>
    <t>Arandela de parede de sobrepor fechada para subestação, 127V</t>
  </si>
  <si>
    <t>Condulete 4x2" em aço galvanizado sem rosca Ø 3/4" tipo "X"</t>
  </si>
  <si>
    <t>Daisa</t>
  </si>
  <si>
    <t>Lâmpada fluorescente compacta integrada, soquete E27, 30W - 127V</t>
  </si>
  <si>
    <t>Luminária tipo arandela de parede de sobrepor, 45°, fechada, com grade e globo de vidro de proteção</t>
  </si>
  <si>
    <t>Arandela de parede de sobrepor fechada para subestação, 220V</t>
  </si>
  <si>
    <t>Lâmpada fluorescente compacta integrada, soquete E27, 30W - 220V</t>
  </si>
  <si>
    <t>Aterrinsert</t>
  </si>
  <si>
    <t>Conector Aterrinsert com disco de latão, rosca fêmea M12 e distância do condutor regulável de 25mm a 40mm - TEL 656</t>
  </si>
  <si>
    <t>Termotécnica</t>
  </si>
  <si>
    <t>Conector estanhado para Aterrinsert com pino M12 para cabos de 16 a 70mm² - TEL 630</t>
  </si>
  <si>
    <t>m</t>
  </si>
  <si>
    <t>Parafuso cabeça chata em inox fenda simples - Ø 1/4"x3/4"</t>
  </si>
  <si>
    <t>Porca sextavada em inox - Ø 1/4"</t>
  </si>
  <si>
    <t>Parafuso autotarrachante em aço inox - Ø 4,2x32mm</t>
  </si>
  <si>
    <t>Fixador Adericone de 45mm de diâmero, com parafuso de inox 1/4" e porca - TEL 755</t>
  </si>
  <si>
    <t>Barra redonda de aço galvanizado - Re-bar</t>
  </si>
  <si>
    <t>Barra redonda de aço galvanizado - Re-bar - Ø 3/8" x 3,4m (70mm²) - TEL-760</t>
  </si>
  <si>
    <t>Clips para emenda de Re-bar  Ø 8 - 10mm - TEL 5238</t>
  </si>
  <si>
    <t>Bloco autonômo para iluminação de emergência com 30 LEDs bivolt</t>
  </si>
  <si>
    <t>Utilux</t>
  </si>
  <si>
    <t>Botão de comando para áudio</t>
  </si>
  <si>
    <t>Conjunto de botão de comando de áudio tipo dimmer, incluindo suporte e Espelho de interruptor 4x2"</t>
  </si>
  <si>
    <t>Botoeira para acionamento manual do sistema de detecção e alarme de incêndio</t>
  </si>
  <si>
    <t>Botoeira para acionamento manual do sistema de de detecção e alarme de incêndio</t>
  </si>
  <si>
    <t>Condulete 4x2" em aço galvanizado sem rosca Ø 1" tipo "X" na cor vermelha para sistema de incêndio</t>
  </si>
  <si>
    <t>Botoeira para comando da bomba de incêndio</t>
  </si>
  <si>
    <t>Cabo telefônico para instalações internas CCI de até 6 pares - 1 par</t>
  </si>
  <si>
    <t>Coopersalto</t>
  </si>
  <si>
    <t>Cabo telefônico para instalações internas CCI de até 6 pares - 2 pares</t>
  </si>
  <si>
    <t>Cabo telefônico para instalações internas CCI de até 6 pares - 3 pares</t>
  </si>
  <si>
    <t>Cabo telefônico para instalações internas CCI de até 6 pares - 4 pares</t>
  </si>
  <si>
    <t>Cabo telefônico para instalações internas CCI de até 6 pares - 5 pares</t>
  </si>
  <si>
    <t>Cabo telefônico para instalações internas CCI de até 6 pares - 6 pares</t>
  </si>
  <si>
    <t>Cabo telefônico para instalações externas CTP APL G até 400 pares - 32 pares</t>
  </si>
  <si>
    <t>Cabo telefônico para instalações externas CTP APL G até 400 pares - 60 pares</t>
  </si>
  <si>
    <t>Cabo telefônico para instalações externas CTP APL G até 400 pares - 64 pares</t>
  </si>
  <si>
    <t>Cabo telefônico para instalações externas CTP APL G até 400 pares - 96 pares</t>
  </si>
  <si>
    <t>Cabo telefônico para instalações externas CTP APL G até 400 pares - 100 pares</t>
  </si>
  <si>
    <t>Cabo telefônico para instalações externas CTP APL G até 400 pares - 120 pares</t>
  </si>
  <si>
    <t>Cabo telefônico para instalações externas CTP APL G até 400 pares - 128 pares</t>
  </si>
  <si>
    <t>Cabo telefônico para instalações externas CTP APL G até 400 pares - 160 pares</t>
  </si>
  <si>
    <t>Cabo telefônico para instalações externas CTP APL G até 400 pares - 180 pares</t>
  </si>
  <si>
    <t>Cabo telefônico para instalações externas CTP APL G até 400 pares - 192 pares</t>
  </si>
  <si>
    <t>Cabo telefônico para instalações externas CTP APL G até 400 pares - 200 pares</t>
  </si>
  <si>
    <t>Cabo telefônico para instalações externas CTP APL G até 400 pares - 240 pares</t>
  </si>
  <si>
    <t>Cabo telefônico para instalações externas CTP APL G até 400 pares - 300 pares</t>
  </si>
  <si>
    <t>Cabo telefônico para instalações externas CTP APL G até 400 pares - 360 pares</t>
  </si>
  <si>
    <t>Cabo telefônico para instalações externas CTP APL G até 400 pares - 400 pares</t>
  </si>
  <si>
    <r>
      <t xml:space="preserve">Cabo de cobre nu 35mm² - 7 fios x </t>
    </r>
    <r>
      <rPr>
        <b/>
        <sz val="10"/>
        <rFont val="Calibri"/>
        <family val="2"/>
      </rPr>
      <t>Ø 2,50mm (NBR 6524)</t>
    </r>
  </si>
  <si>
    <r>
      <t xml:space="preserve">Cabo de cobre nu 50mm² - 7 fios x </t>
    </r>
    <r>
      <rPr>
        <b/>
        <sz val="10"/>
        <rFont val="Calibri"/>
        <family val="2"/>
      </rPr>
      <t>Ø 3,00mm (NBR 6524)</t>
    </r>
  </si>
  <si>
    <r>
      <t xml:space="preserve">Cabo de cobre nu 95mm² - 7 fios x </t>
    </r>
    <r>
      <rPr>
        <b/>
        <sz val="10"/>
        <rFont val="Calibri"/>
        <family val="2"/>
      </rPr>
      <t>Ø 4,12mm (NBR 6524)</t>
    </r>
  </si>
  <si>
    <t>Cabo multipolar flexível, blindagem tipo shield, isolação PVC 1kV, 2x2,5mm²</t>
  </si>
  <si>
    <t>Prysmian</t>
  </si>
  <si>
    <t>Cabo multipolar flexível, blindagem tipo shield, isolação PVC 1kV, 3x2,5mm²</t>
  </si>
  <si>
    <t>Cabo multipolar flexível, isolação PVC 1kV, 3x2,5mm²</t>
  </si>
  <si>
    <t>Cabo unipolar flexível, isolação PVC 70° 0,6/1kV, seção 1,5mm² - fase - cor vermelho, preto ou branco</t>
  </si>
  <si>
    <t>Cabo unipolar flexível, isolação PVC 70° 0,6/1kV, seção 1,5mm² - neutro - cor azul claro</t>
  </si>
  <si>
    <t>Cabo unipolar flexível, isolação PVC 70° 0,6/1kV, seção 1,5mm² - proteção (PE) - cor verde</t>
  </si>
  <si>
    <t>Cabo unipolar flexível, isolação PVC 70° 0,6/1kV, seção 1,5mm² - retorno - cor cinza ou amarelo</t>
  </si>
  <si>
    <t>Cabo unipolar flexível, isolação PVC 70° 0,6/1kV, seção 2,5mm² - fase - cor vermelho, preto ou branco</t>
  </si>
  <si>
    <t>Cabo unipolar flexível, isolação PVC 70° 0,6/1kV, seção 2,5mm² - neutro - cor azul claro</t>
  </si>
  <si>
    <t>Cabo unipolar flexível, isolação PVC 70° 0,6/1kV, seção 2,5mm² - proteção (PE) - cor verde</t>
  </si>
  <si>
    <t>Cabo unipolar flexível, isolação PVC 70° 0,6/1kV, seção 2,5mm² - retorno - cor cinza ou amarelo</t>
  </si>
  <si>
    <t>Cabo unipolar flexível, isolação PVC 70° 0,6/1kV, seção 4mm² - fase - cor vermelho, preto ou branco</t>
  </si>
  <si>
    <t>Cabo unipolar flexível, isolação PVC 70° 0,6/1kV, seção 4mm² - neutro - cor azul claro</t>
  </si>
  <si>
    <t>Cabo unipolar flexível, isolação PVC 70° 0,6/1kV, seção 4mm² - proteção (PE) - cor verde</t>
  </si>
  <si>
    <t>Cabo unipolar flexível, isolação PVC 70° 0,6/1kV, seção 4mm² - retorno - cor cinza ou amarelo</t>
  </si>
  <si>
    <t>Cabo unipolar flexível, isolação PVC 70° 0,6/1kV, seção 6mm² - fase - cor vermelho, preto ou branco</t>
  </si>
  <si>
    <t>Cabo unipolar flexível, isolação PVC 70° 0,6/1kV, seção 6mm² - neutro - cor azul claro</t>
  </si>
  <si>
    <t>Cabo unipolar flexível, isolação PVC 70° 0,6/1kV, seção 6mm² - proteção (PE) - cor verde</t>
  </si>
  <si>
    <t>Cabo unipolar flexível, isolação PVC 70° 0,6/1kV, seção 6mm² - retorno - cor cinza ou amarelo</t>
  </si>
  <si>
    <t>Cabo unipolar flexível, isolação PVC 70° 0,6/1kV, seção 10mm² - fase - cor vermelho, preto ou branco</t>
  </si>
  <si>
    <t>Cabo unipolar flexível, isolação PVC 70° 0,6/1kV, seção 10mm² - neutro - cor azul claro</t>
  </si>
  <si>
    <t>Cabo unipolar flexível, isolação PVC 70° 0,6/1kV, seção 10mm² - proteção (PE) - cor verde</t>
  </si>
  <si>
    <t>Cabo unipolar flexível, isolação PVC 70° 0,6/1kV, seção 10mm² - retorno - cor cinza ou amarelo</t>
  </si>
  <si>
    <t>Cabo unipolar flexível, isolação PVC 70° 0,6/1kV, seção 16mm² - fase - cor vermelho, preto ou branco</t>
  </si>
  <si>
    <t>Cabo unipolar flexível, isolação PVC 70° 0,6/1kV, seção 16mm² - neutro - cor azul claro</t>
  </si>
  <si>
    <t>Cabo unipolar flexível, isolação PVC 70° 0,6/1kV, seção 16mm² - proteção (PE) - cor verde</t>
  </si>
  <si>
    <t>Cabo unipolar flexível, isolação PVC 70° 0,6/1kV, seção 16mm² - retorno - cor cinza ou amarelo</t>
  </si>
  <si>
    <t>Cabo unipolar flexível, isolação PVC 70° 0,6/1kV, seção 25mm² - fase - cor vermelho, preto ou branco</t>
  </si>
  <si>
    <t>Cabo unipolar flexível, isolação PVC 70° 0,6/1kV, seção 25mm² - neutro - cor azul claro</t>
  </si>
  <si>
    <t>Cabo unipolar flexível, isolação PVC 70° 0,6/1kV, seção 25mm² - proteção (PE) - cor verde</t>
  </si>
  <si>
    <t>Cabo unipolar flexível, isolação PVC 70° 0,6/1kV, seção 25mm² - retorno - cor cinza ou amarelo</t>
  </si>
  <si>
    <t>Cabo unipolar flexível, isolação PVC 70° 0,6/1kV, seção 35mm² - fase - cor vermelho, preto ou branco</t>
  </si>
  <si>
    <t>Cabo unipolar flexível, isolação PVC 70° 0,6/1kV, seção 35mm² - neutro - cor azul claro</t>
  </si>
  <si>
    <t>Cabo unipolar flexível, isolação PVC 70° 0,6/1kV, seção 35mm² - proteção (PE) - cor verde</t>
  </si>
  <si>
    <t>Cabo unipolar flexível, isolação PVC 70° 0,6/1kV, seção 35mm² - retorno - cor cinza ou amarelo</t>
  </si>
  <si>
    <t>Cabo unipolar flexível, isolação PVC 70° 0,6/1kV, seção 50mm² - fase - cor vermelho, preto ou branco</t>
  </si>
  <si>
    <t>Cabo unipolar flexível, isolação PVC 70° 0,6/1kV, seção 50mm² - neutro - cor azul claro</t>
  </si>
  <si>
    <t>Cabo unipolar flexível, isolação PVC 70° 0,6/1kV, seção 50mm² - proteção (PE) - cor verde</t>
  </si>
  <si>
    <t>Cabo unipolar flexível, isolação PVC 70° 0,6/1kV, seção 50mm² - retorno - cor cinza ou amarelo</t>
  </si>
  <si>
    <t>Cabo unipolar flexível, isolação PVC 70° 0,6/1kV, seção 70mm² - fase - cor vermelho, preto ou branco</t>
  </si>
  <si>
    <t>Cabo unipolar flexível, isolação PVC 70° 0,6/1kV, seção 70mm² - neutro - cor azul claro</t>
  </si>
  <si>
    <t>Cabo unipolar flexível, isolação PVC 70° 0,6/1kV, seção 70mm² - proteção (PE) - cor verde</t>
  </si>
  <si>
    <t>Cabo unipolar flexível, isolação PVC 70° 0,6/1kV, seção 70mm² - retorno - cor cinza ou amarelo</t>
  </si>
  <si>
    <t>Cabo unipolar flexível, isolação PVC 70° 0,6/1kV, seção 95mm² - fase - cor vermelho, preto ou branco</t>
  </si>
  <si>
    <t>Cabo unipolar flexível, isolação PVC 70° 0,6/1kV, seção 95mm² - neutro - cor azul claro</t>
  </si>
  <si>
    <t>Cabo unipolar flexível, isolação PVC 70° 0,6/1kV, seção 95mm² - proteção (PE) - cor verde</t>
  </si>
  <si>
    <t>Cabo unipolar flexível, isolação PVC 70° 0,6/1kV, seção 95mm² - retorno - cor cinza ou amarelo</t>
  </si>
  <si>
    <t>Cabo unipolar flexível, isolação PVC 70° 0,6/1kV, seção 120mm² - fase - cor vermelho, preto ou branco</t>
  </si>
  <si>
    <t>Cabo unipolar flexível, isolação PVC 70° 0,6/1kV, seção 120mm² - neutro - cor azul claro</t>
  </si>
  <si>
    <t>Cabo unipolar flexível, isolação PVC 70° 0,6/1kV, seção 120mm² - proteção (PE) - cor verde</t>
  </si>
  <si>
    <t>Cabo unipolar flexível, isolação PVC 70° 0,6/1kV, seção 120mm² - retorno - cor cinza ou amarelo</t>
  </si>
  <si>
    <t>Cabo unipolar flexível, isolação PVC 70° 0,6/1kV, seção 150mm² - fase - cor vermelho, preto ou branco</t>
  </si>
  <si>
    <t>Cabo unipolar flexível, isolação PVC 70° 0,6/1kV, seção 150mm² - neutro - cor azul claro</t>
  </si>
  <si>
    <t>Cabo unipolar flexível, isolação PVC 70° 0,6/1kV, seção 150mm² - proteção (PE) - cor verde</t>
  </si>
  <si>
    <t>Cabo unipolar flexível, isolação PVC 70° 0,6/1kV, seção 150mm² - retorno - cor cinza ou amarelo</t>
  </si>
  <si>
    <t>Cabo unipolar flexível, isolação PVC 70° 0,6/1kV, seção 185mm² - fase - cor vermelho, preto ou branco</t>
  </si>
  <si>
    <t>Cabo unipolar flexível, isolação PVC 70° 0,6/1kV, seção 185mm² - neutro - cor azul claro</t>
  </si>
  <si>
    <t>Cabo unipolar flexível, isolação PVC 70° 0,6/1kV, seção 185mm² - proteção (PE) - cor verde</t>
  </si>
  <si>
    <t>Cabo unipolar flexível, isolação PVC 70° 0,6/1kV, seção 185mm² - retorno - cor cinza ou amarelo</t>
  </si>
  <si>
    <t>Cabo unipolar flexível, isolação PVC 70° 0,6/1kV, seção 240mm² - fase - cor vermelho, preto ou branco</t>
  </si>
  <si>
    <t>Cabo unipolar flexível, isolação PVC 70° 0,6/1kV, seção 240mm² - neutro - cor azul claro</t>
  </si>
  <si>
    <t>Cabo unipolar flexível, isolação PVC 70° 0,6/1kV, seção 240mm² - proteção (PE) - cor verde</t>
  </si>
  <si>
    <t>Cabo unipolar flexível, isolação PVC 70° 0,6/1kV, seção 240mm² - retorno - cor cinza ou amarelo</t>
  </si>
  <si>
    <t>Cabo unipolar flexível, isolação EPR 90° 0,6/1kV, seção 1,5mm² - fase - cor vermelho, preto ou branco</t>
  </si>
  <si>
    <t>Cabo unipolar flexível, isolação EPR 90° 0,6/1kV, seção 1,5mm² - neutro - cor azul claro</t>
  </si>
  <si>
    <t>Cabo unipolar flexível, isolação EPR 90° 0,6/1kV, seção 1,5mm² - proteção (PE) - cor verde</t>
  </si>
  <si>
    <t>Cabo unipolar flexível, isolação EPR 90° 0,6/1kV, seção 1,5mm² - retorno - cor cinza ou amarelo</t>
  </si>
  <si>
    <t>Cabo unipolar flexível, isolação EPR 90° 0,6/1kV, seção 2,5mm² - fase - cor vermelho, preto ou branco</t>
  </si>
  <si>
    <t>Cabo unipolar flexível, isolação EPR 90° 0,6/1kV, seção 2,5mm² - neutro - cor azul claro</t>
  </si>
  <si>
    <t>Cabo unipolar flexível, isolação EPR 90° 0,6/1kV, seção 2,5mm² - proteção (PE) - cor verde</t>
  </si>
  <si>
    <t>Cabo unipolar flexível, isolação EPR 90° 0,6/1kV, seção 2,5mm² - retorno - cor cinza ou amarelo</t>
  </si>
  <si>
    <t>Cabo unipolar flexível, isolação EPR 90° 0,6/1kV, seção 4mm² - fase - cor vermelho, preto ou branco</t>
  </si>
  <si>
    <t>Cabo unipolar flexível, isolação EPR 90° 0,6/1kV, seção 4mm² - neutro - cor azul claro</t>
  </si>
  <si>
    <t>Cabo unipolar flexível, isolação EPR 90° 0,6/1kV, seção 4mm² - proteção (PE) - cor verde</t>
  </si>
  <si>
    <t>Cabo unipolar flexível, isolação EPR 90° 0,6/1kV, seção 4mm² - retorno - cor cinza ou amarelo</t>
  </si>
  <si>
    <t>Cabo unipolar flexível, isolação EPR 90° 0,6/1kV, seção 6mm² - fase - cor vermelho, preto ou branco</t>
  </si>
  <si>
    <t>Cabo unipolar flexível, isolação EPR 90° 0,6/1kV, seção 6mm² - neutro - cor azul claro</t>
  </si>
  <si>
    <t>Cabo unipolar flexível, isolação EPR 90° 0,6/1kV, seção 6mm² - proteção (PE) - cor verde</t>
  </si>
  <si>
    <t>Cabo unipolar flexível, isolação EPR 90° 0,6/1kV, seção 6mm² - retorno - cor cinza ou amarelo</t>
  </si>
  <si>
    <t>Cabo unipolar flexível, isolação EPR 90° 0,6/1kV, seção 10mm² - fase - cor vermelho, preto ou branco</t>
  </si>
  <si>
    <t>Cabo unipolar flexível, isolação EPR 90° 0,6/1kV, seção 10mm² - neutro - cor azul claro</t>
  </si>
  <si>
    <t>Cabo unipolar flexível, isolação EPR 90° 0,6/1kV, seção 10mm² - proteção (PE) - cor verde</t>
  </si>
  <si>
    <t>Cabo unipolar flexível, isolação EPR 90° 0,6/1kV, seção 10mm² - retorno - cor cinza ou amarelo</t>
  </si>
  <si>
    <t>Cabo unipolar flexível, isolação EPR 90° 0,6/1kV, seção 16mm² - fase - cor vermelho, preto ou branco</t>
  </si>
  <si>
    <t>Cabo unipolar flexível, isolação EPR 90° 0,6/1kV, seção 16mm² - neutro - cor azul claro</t>
  </si>
  <si>
    <t>Cabo unipolar flexível, isolação EPR 90° 0,6/1kV, seção 16mm² - proteção (PE) - cor verde</t>
  </si>
  <si>
    <t>Cabo unipolar flexível, isolação EPR 90° 0,6/1kV, seção 16mm² - retorno - cor cinza ou amarelo</t>
  </si>
  <si>
    <t>Cabo unipolar flexível, isolação EPR 90° 0,6/1kV, seção 25mm² - fase - cor vermelho, preto ou branco</t>
  </si>
  <si>
    <t>Cabo unipolar flexível, isolação EPR 90° 0,6/1kV, seção 25mm² - neutro - cor azul claro</t>
  </si>
  <si>
    <t>Cabo unipolar flexível, isolação EPR 90° 0,6/1kV, seção 25mm² - proteção (PE) - cor verde</t>
  </si>
  <si>
    <t>Cabo unipolar flexível, isolação EPR 90° 0,6/1kV, seção 25mm² - retorno - cor cinza ou amarelo</t>
  </si>
  <si>
    <t>Cabo unipolar flexível, isolação EPR 90° 0,6/1kV, seção 35mm² - fase - cor vermelho, preto ou branco</t>
  </si>
  <si>
    <t>Cabo unipolar flexível, isolação EPR 90° 0,6/1kV, seção 35mm² - neutro - cor azul claro</t>
  </si>
  <si>
    <t>Cabo unipolar flexível, isolação EPR 90° 0,6/1kV, seção 35mm² - proteção (PE) - cor verde</t>
  </si>
  <si>
    <t>Cabo unipolar flexível, isolação EPR 90° 0,6/1kV, seção 35mm² - retorno - cor cinza ou amarelo</t>
  </si>
  <si>
    <t>Cabo unipolar flexível, isolação EPR 90° 0,6/1kV, seção 50mm² - fase - cor vermelho, preto ou branco</t>
  </si>
  <si>
    <t>Cabo unipolar flexível, isolação EPR 90° 0,6/1kV, seção 50mm² - neutro - cor azul claro</t>
  </si>
  <si>
    <t>Cabo unipolar flexível, isolação EPR 90° 0,6/1kV, seção 50mm² - proteção (PE) - cor verde</t>
  </si>
  <si>
    <t>Cabo unipolar flexível, isolação EPR 90° 0,6/1kV, seção 50mm² - retorno - cor cinza ou amarelo</t>
  </si>
  <si>
    <t>Cabo unipolar flexível, isolação EPR 90° 0,6/1kV, seção 70mm² - fase - cor vermelho, preto ou branco</t>
  </si>
  <si>
    <t>Cabo unipolar flexível, isolação EPR 90° 0,6/1kV, seção 70mm² - neutro - cor azul claro</t>
  </si>
  <si>
    <t>Cabo unipolar flexível, isolação EPR 90° 0,6/1kV, seção 70mm² - proteção (PE) - cor verde</t>
  </si>
  <si>
    <t>Cabo unipolar flexível, isolação EPR 90° 0,6/1kV, seção 70mm² - retorno - cor cinza ou amarelo</t>
  </si>
  <si>
    <t>Cabo unipolar flexível, isolação EPR 90° 0,6/1kV, seção 95mm² - fase - cor vermelho, preto ou branco</t>
  </si>
  <si>
    <t>Cabo unipolar flexível, isolação EPR 90° 0,6/1kV, seção 95mm² - neutro - cor azul claro</t>
  </si>
  <si>
    <t>Cabo unipolar flexível, isolação EPR 90° 0,6/1kV, seção 95mm² - proteção (PE) - cor verde</t>
  </si>
  <si>
    <t>Cabo unipolar flexível, isolação EPR 90° 0,6/1kV, seção 95mm² - retorno - cor cinza ou amarelo</t>
  </si>
  <si>
    <t>Cabo unipolar flexível, isolação EPR 90° 0,6/1kV, seção 120mm² - fase - cor vermelho, preto ou branco</t>
  </si>
  <si>
    <t>Cabo unipolar flexível, isolação EPR 90° 0,6/1kV, seção 120mm² - neutro - cor azul claro</t>
  </si>
  <si>
    <t>Cabo unipolar flexível, isolação EPR 90° 0,6/1kV, seção 120mm² - proteção (PE) - cor verde</t>
  </si>
  <si>
    <t>Cabo unipolar flexível, isolação EPR 90° 0,6/1kV, seção 120mm² - retorno - cor cinza ou amarelo</t>
  </si>
  <si>
    <t>Cabo unipolar flexível, isolação EPR 90° 0,6/1kV, seção 150mm² - fase - cor vermelho, preto ou branco</t>
  </si>
  <si>
    <t>Cabo unipolar flexível, isolação EPR 90° 0,6/1kV, seção 150mm² - neutro - cor azul claro</t>
  </si>
  <si>
    <t>Cabo unipolar flexível, isolação EPR 90° 0,6/1kV, seção 150mm² - proteção (PE) - cor verde</t>
  </si>
  <si>
    <t>Cabo unipolar flexível, isolação EPR 90° 0,6/1kV, seção 150mm² - retorno - cor cinza ou amarelo</t>
  </si>
  <si>
    <t>Cabo unipolar flexível, isolação EPR 90° 0,6/1kV, seção 185mm² - fase - cor vermelho, preto ou branco</t>
  </si>
  <si>
    <t>Cabo unipolar flexível, isolação EPR 90° 0,6/1kV, seção 185mm² - neutro - cor azul claro</t>
  </si>
  <si>
    <t>Cabo unipolar flexível, isolação EPR 90° 0,6/1kV, seção 185mm² - proteção (PE) - cor verde</t>
  </si>
  <si>
    <t>Cabo unipolar flexível, isolação EPR 90° 0,6/1kV, seção 185mm² - retorno - cor cinza ou amarelo</t>
  </si>
  <si>
    <t>Cabo unipolar flexível, isolação EPR 90° 0,6/1kV, seção 240mm² - fase - cor vermelho, preto ou branco</t>
  </si>
  <si>
    <t>Cabo unipolar flexível, isolação EPR 90° 0,6/1kV, seção 240mm² - neutro - cor azul claro</t>
  </si>
  <si>
    <t>Cabo unipolar flexível, isolação EPR 90° 0,6/1kV, seção 240mm² - proteção (PE) - cor verde</t>
  </si>
  <si>
    <t>Cabo unipolar flexível, isolação EPR 90° 0,6/1kV, seção 240mm² - retorno - cor cinza ou amarelo</t>
  </si>
  <si>
    <t>Caixa de distribuição geral metálica para telefone de embutir, padrão telefônica - 120x120x12cm - DG-TEL</t>
  </si>
  <si>
    <t>Montador de painéis</t>
  </si>
  <si>
    <t>Caixa de distribuição geral metálica para telefone de embutir, padrão telefônica - 150x150x15cm - DG-TEL</t>
  </si>
  <si>
    <t>Caixa de distribuição geral metálica para telefone de embutir, padrão telefônica - 200x200x20cm - DG-TEL</t>
  </si>
  <si>
    <t>Caixa de distribuição geral metálica para telefone de embutir, padrão telefônica - 80x80x12cm - DG-TEL</t>
  </si>
  <si>
    <t>Caixa de distribuição geral metálica para telefone de sobrepor, padrão telefônica - 120x120x12cm - DG-TEL</t>
  </si>
  <si>
    <t>Caixa de distribuição geral metálica para telefone de sobrepor, padrão telefônica - 150x150x15cm - DG-TEL</t>
  </si>
  <si>
    <t>Caixa de distribuição geral metálica para telefone de sobrepor, padrão telefônica - 200x200x20cm - DG-TEL</t>
  </si>
  <si>
    <t>Caixa de distribuição geral metálica para telefone de sobrepor, padrão telefônica - 80x80x12cm - DG-TEL</t>
  </si>
  <si>
    <t>Caixa de distribuição geral metálica para interfone/TV de embutir, padrão telefônica - 60x60x12cm</t>
  </si>
  <si>
    <t>Caixa de distribuição geral metálica para interfone/TV de embutir, padrão telefônica - 80x80x12cm</t>
  </si>
  <si>
    <t>Caixa de distribuição geral metálica para interfone/TV de sobrepor, padrão telefônica - 60x60x12cm</t>
  </si>
  <si>
    <t>Caixa de distribuição geral metálica para interfone/TV de sobrepor, padrão telefônica - 80x80x12cm</t>
  </si>
  <si>
    <t>Caixa de inspeção para aterramento em PVC</t>
  </si>
  <si>
    <r>
      <t xml:space="preserve">Caixa de inspeção para aterramento em PVC </t>
    </r>
    <r>
      <rPr>
        <sz val="10"/>
        <rFont val="Calibri"/>
        <family val="2"/>
      </rPr>
      <t>Ø 30x30cm - TEL 552</t>
    </r>
  </si>
  <si>
    <r>
      <t xml:space="preserve">Tampa reforçada em ferro fundido com escotilha </t>
    </r>
    <r>
      <rPr>
        <sz val="10"/>
        <rFont val="Calibri"/>
        <family val="2"/>
      </rPr>
      <t>Ø 30cm - TEL 536</t>
    </r>
  </si>
  <si>
    <t>Caixa de inspeção para aterramento em PVC com haste de aterramento</t>
  </si>
  <si>
    <r>
      <t xml:space="preserve">Haste de aterramento cobreada, alta camada, </t>
    </r>
    <r>
      <rPr>
        <sz val="10"/>
        <rFont val="Calibri"/>
        <family val="2"/>
      </rPr>
      <t>Ø 5/8" x 2,40m - TEL 5814</t>
    </r>
  </si>
  <si>
    <t>Caixa de passagem de PVC de embutir 4x4"</t>
  </si>
  <si>
    <t>Caixa de passagem de PVC octagonal de embutir no teto tipo FM2 4"</t>
  </si>
  <si>
    <t>Caixa de passagem termoplástica de embutir na parede de 20x20x12cm</t>
  </si>
  <si>
    <t>Cemar</t>
  </si>
  <si>
    <t>Caixa de passagem termoplástica de embutir na parede de 40x40x12cm</t>
  </si>
  <si>
    <t>Caixa de passagem termoplástica de embutir na parede de 60x60x12cm</t>
  </si>
  <si>
    <t>Caixa de passagem termoplástica de embutir na parede de 80x80x12cm</t>
  </si>
  <si>
    <t>Caixa de passagem termoplástica de sobrepor na parede de 20x20x12cm</t>
  </si>
  <si>
    <t>Caixa de passagem termoplástica de sobrepor na parede de 40x40x12cm</t>
  </si>
  <si>
    <t>Caixa de passagem termoplástica de sobrepor na parede de 60x60x12cm</t>
  </si>
  <si>
    <t>Caixa de passagem termoplástica de sobrepor na parede de 80x80x12cm</t>
  </si>
  <si>
    <t>Caixa de passagem metálica de embutir na parede de 20x20x12cm</t>
  </si>
  <si>
    <t>Caixa de passagem metálica de embutir na parede de 40x40x12cm</t>
  </si>
  <si>
    <t>Caixa de passagem metálica de embutir na parede de 60x60x12cm</t>
  </si>
  <si>
    <t>Caixa de passagem metálica de embutir na parede de 80x80x12cm</t>
  </si>
  <si>
    <t>Caixa de passagem metálica de sobrepor na parede de 20x20x12cm</t>
  </si>
  <si>
    <t>Caixa de passagem metálica de sobrepor na parede de 40x40x12cm</t>
  </si>
  <si>
    <t>Caixa de passagem metálica de sobrepor na parede de 60x60x12cm</t>
  </si>
  <si>
    <t>Caixa de passagem metálica de sobrepor na parede de 80x80x12cm</t>
  </si>
  <si>
    <t>Caixa de passagem metálica de sobrepor no teto tipo "T" de 60x90x15cm com dispositivo para lacre</t>
  </si>
  <si>
    <t>Caixa de passagem no piso em alvenaria tipo CP1 - 40x40x60cm (medidas internas), com tampa de concreto para energia elétrica</t>
  </si>
  <si>
    <t>Caixa de passagem no piso em alvenaria tipo CP2 - 50x50x100cm (medidas internas), com tampa de concreto para energia elétrica</t>
  </si>
  <si>
    <t>Caixa de passagem no piso em alvenaria tipo CP4 - 80x80x100cm (medidas internas), com tampa de concreto para energia elétrica</t>
  </si>
  <si>
    <t>Caixa de passagem no piso em alvenaria tipo CP5 - 100x100x100cm (medidas internas), com tampa de concreto para energia elétrica</t>
  </si>
  <si>
    <t>Caixa de passagem no piso aterrada em alvenaria tipo CP6 - 40x40x60cm</t>
  </si>
  <si>
    <t>Caixa de passagem no piso aterrada em alvenaria tipo CP6 - 40x40x60cm (medidas internas), com tampa de concreto para energia elétrica</t>
  </si>
  <si>
    <t>Caixa de passagem no piso aterrada em alvenaria tipo CP7 - 60x60x100cm</t>
  </si>
  <si>
    <t>Caixa de passagem no piso aterrada em alvenaria tipo CP7 - 60x60x100cm (medidas internas), com tampa de concreto para energia elétrica</t>
  </si>
  <si>
    <t>Caixa de passagem no piso aterrada em alvenaria tipo CP8 - 80x80x100cm</t>
  </si>
  <si>
    <t>Caixa de passagem no piso aterrada em alvenaria tipo CP8 - 80x80x100cm (medidas internas), com tampa de concreto para energia elétrica</t>
  </si>
  <si>
    <t>Caixa de passagem em alvenaria com chassis para telefone tipo R1 - 60x35x80cm</t>
  </si>
  <si>
    <t>Caixa de passagem em alvenaria com chassis para telefone tipo R1 - 60x35x80cm (medidas internas) - padrão telefônica</t>
  </si>
  <si>
    <t>Tampa de ferro com a inscrição "TELEFONE" para caixa de passagem de piso de 60x35x80cm (medidas internas)</t>
  </si>
  <si>
    <t>Caixa de passagem em alvenaria com chassis para telefone tipo R2 - 107x52x80cm</t>
  </si>
  <si>
    <t>Caixa de passagem em alvenaria com chassis para telefone tipo R2 - 107x52x80cm (medidas internas) - padrão telefônica</t>
  </si>
  <si>
    <t>Tampa de ferro com a inscrição "TELEFONE" para caixa de passagem de piso de 107x52x80cm (medidas internas)</t>
  </si>
  <si>
    <t>Caixa de passagem em alvenaria com chassis para interfone/TV tipo R1 - 60x35x80cm</t>
  </si>
  <si>
    <t>Caixa de passagem em alvenaria com chassis para interfone/TV tipo R1 - 60x35x80cm (medidas internas) - padrão telefônica</t>
  </si>
  <si>
    <t>Tampa de ferro com a inscrição "INTERFONE/TV" para caixa de passagem de piso de 60x35x80cm (medidas internas)</t>
  </si>
  <si>
    <t>Caixa de passagem em alvenaria com chassis para interfone/TV tipo R2 - 107x52x80cm</t>
  </si>
  <si>
    <t>Caixa de passagem em alvenaria com chassis para interfone/TV tipo R2 - 107x52x80cm (medidas internas) - padrão telefônica</t>
  </si>
  <si>
    <t>Tampa de ferro com a inscrição "INTERFONE/TV" para caixa de passagem de piso de 107x52x80cm (medidas internas)</t>
  </si>
  <si>
    <t>Caixa de passagem 2x70mm para canaleta de piso</t>
  </si>
  <si>
    <t>Caixa de passagem 2x70mm, h=76mm para canaleta de piso</t>
  </si>
  <si>
    <t>Mopa</t>
  </si>
  <si>
    <t>Tampa para caixa de passagem 2x70mm, h=76mm para canaleta de piso</t>
  </si>
  <si>
    <t>Caixa de passagem 3x70mm para canaleta de piso</t>
  </si>
  <si>
    <t>Caixa de passagem 3x70mm, h=76mm para canaleta de piso</t>
  </si>
  <si>
    <t>Tampa para caixa de passagem 3x70mm, h=76mm para canaleta de piso</t>
  </si>
  <si>
    <t>Caixa de passagem 4x70mm para canaleta de piso</t>
  </si>
  <si>
    <t>Caixa de passagem 4x70mm, h=76mm para canaleta de piso</t>
  </si>
  <si>
    <t>Tampa para caixa de passagem 4x70mm, h=76mm para canaleta de piso</t>
  </si>
  <si>
    <t>Caixa de passagem 6x70mm para canaleta de piso</t>
  </si>
  <si>
    <t>Caixa de passagem 6x70mm, h=76mm para canaleta de piso</t>
  </si>
  <si>
    <t>Tampa para caixa de passagem 6x70mm, h=76mm para canaleta de piso</t>
  </si>
  <si>
    <t>Caixa de tomadas 2x70mm para canaleta de piso</t>
  </si>
  <si>
    <t>Caixa de tomadas 2x70mm, h=76mm para canaleta de piso com 2 tomadas de energia e 1 tomada de rede</t>
  </si>
  <si>
    <t>Tampa para caixa de tomadas 2x70mm, h=76mm para canaleta de piso</t>
  </si>
  <si>
    <t>Caixa de tomadas 2x70mm, h=76mm para canaleta de piso com 2 tomadas de energia e 2 tomadas de rede</t>
  </si>
  <si>
    <t>Caixa de tomadas 2x70mm, h=76mm para canaleta de piso com 4 tomadas de energia e 4 tomadas de rede</t>
  </si>
  <si>
    <t>Caixa de tomadas 2x70mm, h=76mm para canaleta de piso com 8 tomadas de energia e 8 tomadas de rede</t>
  </si>
  <si>
    <t>Caixa de tomadas 3x70mm para canaleta de piso</t>
  </si>
  <si>
    <t>Caixa de tomadas 3x70mm, h=76mm para canaleta de piso com 2 tomadas de energia e 2 tomadas de rede</t>
  </si>
  <si>
    <t>Tampa para caixa de tomadas 3x70mm, h=76mm para canaleta de piso</t>
  </si>
  <si>
    <t>Caixa de tomadas 3x70mm, h=76mm para canaleta de piso com 4 tomadas de energia e 4 tomadas de rede</t>
  </si>
  <si>
    <t>Caixa de tomadas 3x70mm, h=76mm para canaleta de piso com 8 tomadas de energia e 8 tomadas de rede</t>
  </si>
  <si>
    <t>Caixa de tomadas conforme detalhe em projeto</t>
  </si>
  <si>
    <t>Campainha de embutir bivolt tipo cigarra</t>
  </si>
  <si>
    <t>Pial Legrand</t>
  </si>
  <si>
    <t>Canaleta de piso 25x70mm</t>
  </si>
  <si>
    <t>Junção para canaleta de piso 25x70mm</t>
  </si>
  <si>
    <t>Suporte de fixação para canaleta de piso 25x70mm</t>
  </si>
  <si>
    <t>Canaleta de piso 25x140mm</t>
  </si>
  <si>
    <t>Junção para canaleta de piso 25x140mm</t>
  </si>
  <si>
    <t>Suporte de fixação para canaleta de piso 25x140mm</t>
  </si>
  <si>
    <t>Canaleta de piso 2x25x70mm</t>
  </si>
  <si>
    <t>Canaleta de piso 2x25x140mm</t>
  </si>
  <si>
    <t>Suporte de fixação para canaleta de piso 25x280mm</t>
  </si>
  <si>
    <t>Canaleta DLP evolutiva 150x50</t>
  </si>
  <si>
    <t>Canaleta DLP evolutiva de parede em PVC 150x50mm</t>
  </si>
  <si>
    <t>Grampo de sustentação para canaleta DLP evolutiva 150x50mm</t>
  </si>
  <si>
    <t>Luva de canaleta DLP evolutiva 150x50mm</t>
  </si>
  <si>
    <t>Luva de tampa para canaleta DLP evolutiva 150x50mm</t>
  </si>
  <si>
    <t>Separador para canaleta DLP evolutiva 150x50mm</t>
  </si>
  <si>
    <t>Captor Franklin - fixação sobre base</t>
  </si>
  <si>
    <r>
      <t xml:space="preserve">Abraçadeira para aterramento de mastro para duas descidas e mastro de </t>
    </r>
    <r>
      <rPr>
        <sz val="10"/>
        <rFont val="Calibri"/>
        <family val="2"/>
      </rPr>
      <t>Ø 2" - para cabos de 35-70mm² - TEL 806</t>
    </r>
  </si>
  <si>
    <r>
      <t xml:space="preserve">Base para mastro de </t>
    </r>
    <r>
      <rPr>
        <sz val="10"/>
        <rFont val="Calibri"/>
        <family val="2"/>
      </rPr>
      <t>Ø 2" em alumínio fundido - TEL 075</t>
    </r>
  </si>
  <si>
    <t>Captor tipo Franklin de uma descida em latão cromado, rosca 3/4" x 250mm - TEL 010</t>
  </si>
  <si>
    <r>
      <t xml:space="preserve">Conjunto de estais com cordoalhas e esticadores, 2 metros cada estais x </t>
    </r>
    <r>
      <rPr>
        <sz val="10"/>
        <rFont val="Calibri"/>
        <family val="2"/>
      </rPr>
      <t>Ø 2" - TEL 410</t>
    </r>
  </si>
  <si>
    <r>
      <t xml:space="preserve">Mastro telescópico com redução para 3/4", </t>
    </r>
    <r>
      <rPr>
        <sz val="10"/>
        <rFont val="Calibri"/>
        <family val="2"/>
      </rPr>
      <t>Ø 2" x 4m - TEL 472</t>
    </r>
  </si>
  <si>
    <r>
      <t xml:space="preserve">Parafuso sextavado rosca soberpa em inox </t>
    </r>
    <r>
      <rPr>
        <sz val="10"/>
        <rFont val="Calibri"/>
        <family val="2"/>
      </rPr>
      <t>Ø M6 x 60mm com bucha de nylon Ø 6mm</t>
    </r>
  </si>
  <si>
    <r>
      <t xml:space="preserve">Suporte para sinalizador em mastro de </t>
    </r>
    <r>
      <rPr>
        <sz val="10"/>
        <rFont val="Calibri"/>
        <family val="2"/>
      </rPr>
      <t>Ø 2" - TEL 611</t>
    </r>
  </si>
  <si>
    <t>Sinalizador noturno duplo para duas lâmpadas de 60W com relé fotoelétrico 127V - TEL 600</t>
  </si>
  <si>
    <t>Captor Franklin - fixação lateral</t>
  </si>
  <si>
    <t>Abraçadeira tipo porta-bandeira reforçada Ø 2" - TEL 090</t>
  </si>
  <si>
    <r>
      <t xml:space="preserve">Apoio inferior com fixação lateral para abraçadeira tipo porta-bandeira </t>
    </r>
    <r>
      <rPr>
        <sz val="10"/>
        <rFont val="Calibri"/>
        <family val="2"/>
      </rPr>
      <t>Ø 2" - TEL 091</t>
    </r>
  </si>
  <si>
    <t>Central de interfone</t>
  </si>
  <si>
    <t>Intelbras</t>
  </si>
  <si>
    <t>Central do sistema de detecção e alarme de incêndio com bateria integrada</t>
  </si>
  <si>
    <t>Condulete 4x2" em aço galvanizado sem rosca Ø 1" tipo "X"</t>
  </si>
  <si>
    <t>Condulete 4x2" em aço galvanizado sem rosca Ø 1.1/4" tipo "X"</t>
  </si>
  <si>
    <t>Condulete 4x2" em aço galvanizado sem rosca Ø 1.1/2" tipo "X"</t>
  </si>
  <si>
    <t>Condulete 4x2" em aço galvanizado sem rosca Ø 2" tipo "X"</t>
  </si>
  <si>
    <t>Condulete 4x2" em aço galvanizado sem rosca Ø 2.1/2" tipo "X"</t>
  </si>
  <si>
    <t>Condulete 4x2" em aço galvanizado sem rosca Ø 3" tipo "X"</t>
  </si>
  <si>
    <t>Condulete 4x2" em aço galvanizado sem rosca Ø 4" tipo "X"</t>
  </si>
  <si>
    <t>Condutor isolado flexível, isolação PVC 70° 450/750V, seção 1,5mm² - fase - cor vermelho, preto ou branco</t>
  </si>
  <si>
    <t>Condutor isolado flexível, isolação PVC 70° 450/750V, seção 1,5mm² - neutro - cor azul claro</t>
  </si>
  <si>
    <t>Condutor isolado flexível, isolação PVC 70° 450/750V, seção 1,5mm² - proteção (PE) - cor verde</t>
  </si>
  <si>
    <t>Condutor isolado flexível, isolação PVC 70° 450/750V, seção 1,5mm² - retorno - cor cinza ou amarelo</t>
  </si>
  <si>
    <t>Condutor isolado flexível, isolação PVC 70° 450/750V, seção 2,5mm² - fase - cor vermelho, preto ou branco</t>
  </si>
  <si>
    <t>Condutor isolado flexível, isolação PVC 70° 450/750V, seção 2,5mm² - neutro - cor azul claro</t>
  </si>
  <si>
    <t>Condutor isolado flexível, isolação PVC 70° 450/750V, seção 2,5mm² - proteção (PE) - cor verde</t>
  </si>
  <si>
    <t>Condutor isolado flexível, isolação PVC 70° 450/750V, seção 2,5mm² - retorno - cor cinza ou amarelo</t>
  </si>
  <si>
    <t>Condutor isolado flexível, isolação PVC 70° 450/750V, seção 4mm² - fase - cor vermelho, preto ou branco</t>
  </si>
  <si>
    <t>Condutor isolado flexível, isolação PVC 70° 450/750V, seção 4mm² - neutro - cor azul claro</t>
  </si>
  <si>
    <t>Condutor isolado flexível, isolação PVC 70° 450/750V, seção 4mm² - proteção (PE) - cor verde</t>
  </si>
  <si>
    <t>Condutor isolado flexível, isolação PVC 70° 450/750V, seção 6mm² - fase - cor vermelho, preto ou branco</t>
  </si>
  <si>
    <t>Condutor isolado flexível, isolação PVC 70° 450/750V, seção 6mm² - neutro - cor azul claro</t>
  </si>
  <si>
    <t>Condutor isolado flexível, isolação PVC 70° 450/750V, seção 6mm² - proteção (PE) - cor verde</t>
  </si>
  <si>
    <t>Condutor isolado flexível, isolação PVC 70° 450/750V, seção 6mm² - retorno - cor cinza ou amarelo</t>
  </si>
  <si>
    <t>Condutor isolado flexível, isolação PVC 70° 450/750V, seção 10mm² - fase - cor vermelho, preto ou branco</t>
  </si>
  <si>
    <t>Condutor isolado flexível, isolação PVC 70° 450/750V, seção 10mm² - neutro - cor azul claro</t>
  </si>
  <si>
    <t>Condutor isolado flexível, isolação PVC 70° 450/750V, seção 10mm² - proteção (PE) - cor verde</t>
  </si>
  <si>
    <t>Condutor isolado flexível, isolação PVC 70° 450/750V, seção 10mm² - retorno - cor cinza ou amarelo</t>
  </si>
  <si>
    <t>Condutor isolado flexível, isolação PVC 70° 450/750V, seção 16mm² - fase - cor vermelho, preto ou branco</t>
  </si>
  <si>
    <t>Condutor isolado flexível, isolação PVC 70° 450/750V, seção 16mm² - neutro - cor azul claro</t>
  </si>
  <si>
    <t>Condutor isolado flexível, isolação PVC 70° 450/750V, seção 16mm² - proteção (PE) - cor verde</t>
  </si>
  <si>
    <t>Condutor isolado flexível, isolação PVC 70° 450/750V, seção 16mm² - retorno - cor cinza ou amarelo</t>
  </si>
  <si>
    <t>Condutor isolado flexível, isolação PVC 70° 450/750V, seção 25mm² - fase - cor vermelho, preto ou branco</t>
  </si>
  <si>
    <t>Condutor isolado flexível, isolação PVC 70° 450/750V, seção 25mm² - neutro - cor azul claro</t>
  </si>
  <si>
    <t>Condutor isolado flexível, isolação PVC 70° 450/750V, seção 25mm² - proteção (PE) - cor verde</t>
  </si>
  <si>
    <t>Condutor isolado flexível, isolação PVC 70° 450/750V, seção 25mm² - retorno - cor cinza ou amarelo</t>
  </si>
  <si>
    <t>Condutor isolado flexível, isolação PVC 70° 450/750V, seção 35mm² - fase - cor vermelho, preto ou branco</t>
  </si>
  <si>
    <t>Condutor isolado flexível, isolação PVC 70° 450/750V, seção 35mm² - neutro - cor azul claro</t>
  </si>
  <si>
    <t>Condutor isolado flexível, isolação PVC 70° 450/750V, seção 35mm² - proteção (PE) - cor verde</t>
  </si>
  <si>
    <t>Condutor isolado flexível, isolação PVC 70° 450/750V, seção 35mm² - retorno - cor cinza ou amarelo</t>
  </si>
  <si>
    <t>Condutor isolado flexível, isolação PVC 70° 450/750V, seção 50mm² - fase - cor vermelho, preto ou branco</t>
  </si>
  <si>
    <t>Condutor isolado flexível, isolação PVC 70° 450/750V, seção 50mm² - neutro - cor azul claro</t>
  </si>
  <si>
    <t>Condutor isolado flexível, isolação PVC 70° 450/750V, seção 50mm² - proteção (PE) - cor verde</t>
  </si>
  <si>
    <t>Condutor isolado flexível, isolação PVC 70° 450/750V, seção 50mm² - retorno - cor cinza ou amarelo</t>
  </si>
  <si>
    <t>Condutor isolado flexível, isolação PVC 70° 450/750V, seção 70mm² - fase - cor vermelho, preto ou branco</t>
  </si>
  <si>
    <t>Condutor isolado flexível, isolação PVC 70° 450/750V, seção 70mm² - neutro - cor azul claro</t>
  </si>
  <si>
    <t>Condutor isolado flexível, isolação PVC 70° 450/750V, seção 70mm² - proteção (PE) - cor verde</t>
  </si>
  <si>
    <t>Condutor isolado flexível, isolação PVC 70° 450/750V, seção 70mm² - retorno - cor cinza ou amarelo</t>
  </si>
  <si>
    <t>Condutor isolado flexível, isolação PVC 70° 450/750V, seção 95mm² - fase - cor vermelho, preto ou branco</t>
  </si>
  <si>
    <t>Condutor isolado flexível, isolação PVC 70° 450/750V, seção 95mm² - neutro - cor azul claro</t>
  </si>
  <si>
    <t>Condutor isolado flexível, isolação PVC 70° 450/750V, seção 95mm² - proteção (PE) - cor verde</t>
  </si>
  <si>
    <t>Condutor isolado flexível, isolação PVC 70° 450/750V, seção 95mm² - retorno - cor cinza ou amarelo</t>
  </si>
  <si>
    <t>Condutor isolado flexível, isolação PVC 70° 450/750V, seção 120mm² - fase - cor vermelho, preto ou branco</t>
  </si>
  <si>
    <t>Condutor isolado flexível, isolação PVC 70° 450/750V, seção 120mm² - neutro - cor azul claro</t>
  </si>
  <si>
    <t>Condutor isolado flexível, isolação PVC 70° 450/750V, seção 120mm² - proteção (PE) - cor verde</t>
  </si>
  <si>
    <t>Condutor isolado flexível, isolação PVC 70° 450/750V, seção 120mm² - retorno - cor cinza ou amarelo</t>
  </si>
  <si>
    <t>Condutor isolado flexível, isolação PVC 70° 450/750V, seção 150mm² - fase - cor vermelho, preto ou branco</t>
  </si>
  <si>
    <t>Condutor isolado flexível, isolação PVC 70° 450/750V, seção 150mm² - neutro - cor azul claro</t>
  </si>
  <si>
    <t>Condutor isolado flexível, isolação PVC 70° 450/750V, seção 150mm² - proteção (PE) - cor verde</t>
  </si>
  <si>
    <t>Condutor isolado flexível, isolação PVC 70° 450/750V, seção 150mm² - retorno - cor cinza ou amarelo</t>
  </si>
  <si>
    <t>Condutor isolado flexível, isolação PVC 70° 450/750V, seção 185mm² - fase - cor vermelho, preto ou branco</t>
  </si>
  <si>
    <t>Condutor isolado flexível, isolação PVC 70° 450/750V, seção 185mm² - neutro - cor azul claro</t>
  </si>
  <si>
    <t>Condutor isolado flexível, isolação PVC 70° 450/750V, seção 185mm² - proteção (PE) - cor verde</t>
  </si>
  <si>
    <t>Condutor isolado flexível, isolação PVC 70° 450/750V, seção 185mm² - retorno - cor cinza ou amarelo</t>
  </si>
  <si>
    <t>Condutor isolado flexível, isolação PVC 70° 450/750V, seção 240mm² - fase - cor vermelho, preto ou branco</t>
  </si>
  <si>
    <t>Condutor isolado flexível, isolação PVC 70° 450/750V, seção 240mm² - neutro - cor azul claro</t>
  </si>
  <si>
    <t>Condutor isolado flexível, isolação PVC 70° 450/750V, seção 240mm² - proteção (PE) - cor verde</t>
  </si>
  <si>
    <t>Condutor isolado flexível, isolação PVC 70° 450/750V, seção 240mm² - retorno - cor cinza ou amarelo</t>
  </si>
  <si>
    <t>Conector de medição em latão com 4 parafusos - para cabos de cobre 16-50mm² - TEL 562</t>
  </si>
  <si>
    <t>Conector minigar em latão estanhado para vergalhão de até Ø 10mm e cabos de até 50mm² - TEL 583</t>
  </si>
  <si>
    <t>Conector tipo "U" de latão estanhado - TEL 581</t>
  </si>
  <si>
    <t>Conjunto de 1 interruptor de simples e 1 tomada monofásica</t>
  </si>
  <si>
    <t>Espelho de interruptor 4x2" para 2 módulos</t>
  </si>
  <si>
    <t>Módulo de interruptor simples</t>
  </si>
  <si>
    <t>Módulo de tomada universal branca de 3 pinos 2P+T, 16A, 250V</t>
  </si>
  <si>
    <t>Suporte 4x2" para 3 módulos</t>
  </si>
  <si>
    <t>Conjunto de 1 tomada de telefone e 1 ponto de TV</t>
  </si>
  <si>
    <t>Módulo de tomada para telefone RJ11</t>
  </si>
  <si>
    <t>Módulo de ponto de TV</t>
  </si>
  <si>
    <t>Conjunto de 1 tomada de telefone 1 tomada de interfone</t>
  </si>
  <si>
    <t>Módulo de tomada para interfone</t>
  </si>
  <si>
    <t>Conjunto de 1 tomada monofásica e 1 tomada bifásica</t>
  </si>
  <si>
    <t>Módulo de tomada universal vermelha de 3 pinos 2P+T, 20A, 250V</t>
  </si>
  <si>
    <t>Conjunto de 1 tomada monofásica e 1 tomada bifásica em condulete</t>
  </si>
  <si>
    <t>Espelho de interruptor 4x2" para 2 módulos para condulete</t>
  </si>
  <si>
    <t>Módulo de tomada universal branca de 3 pinos 2P+T, 16A, 250V para condulete</t>
  </si>
  <si>
    <t>Módulo de tomada universal vermelha de 3 pinos 2P+T, 20A, 250V para condulete</t>
  </si>
  <si>
    <t>Suporte 4x2" para 3 módulos para condulete</t>
  </si>
  <si>
    <t>Conjunto de 2 interruptores simples e 1 tomada monofásica</t>
  </si>
  <si>
    <t>Espelho de interruptor 4x2" para 3 módulos</t>
  </si>
  <si>
    <t>Conjunto de 2 pontos de TV</t>
  </si>
  <si>
    <t>Conjunto de 2 tomadas de rede</t>
  </si>
  <si>
    <t>Módulo de tomada de rede RJ45</t>
  </si>
  <si>
    <t>Conjunto de 2 tomadas de telefone</t>
  </si>
  <si>
    <t>Módulo de tomada de telefone RJ11</t>
  </si>
  <si>
    <t>Conjunto de 2 tomadas monofásicas</t>
  </si>
  <si>
    <t>Conjunto de 2 tomadas monofásicas em condulete</t>
  </si>
  <si>
    <t>Conjunto de 2 tomadas monofásicas no piso</t>
  </si>
  <si>
    <t>Espelho de interruptor 4x4" em alumínio para piso com tampa tipo unha dupla</t>
  </si>
  <si>
    <t>Tramontina</t>
  </si>
  <si>
    <t>Suporte 4x4" para piso</t>
  </si>
  <si>
    <t>Conjunto de 2 tomadas monofásicas em canaleta DLP</t>
  </si>
  <si>
    <t>Placa para mecanismo Pial Plus 2 postos para canaleta DLP Evolutiva</t>
  </si>
  <si>
    <t>Conjunto de 2 tomadas de rede em canaleta DLP</t>
  </si>
  <si>
    <t>Controle de parede para 1 ventilador</t>
  </si>
  <si>
    <t>Techna</t>
  </si>
  <si>
    <t>Controle de parede para 2 ventiladores</t>
  </si>
  <si>
    <t>Controle de parede para 3 ventiladores</t>
  </si>
  <si>
    <t>Controle de parede para 4 ventiladores</t>
  </si>
  <si>
    <t>Controle de parede para 5 ventiladores</t>
  </si>
  <si>
    <t>Cotovelo 90° para canaleta DLP evolutiva 150x50</t>
  </si>
  <si>
    <t>Cotovelo externo 90° para canaleta DLP evolutiva 150x50</t>
  </si>
  <si>
    <t>Cotovelo externo para canaleta DLP evolutiva 150x50</t>
  </si>
  <si>
    <t>Separador para cotovelo externo de canaleta DLP evolutiva 150x50mm</t>
  </si>
  <si>
    <t>Cotovelo interno 90° para canaleta DLP evolutiva 150x50</t>
  </si>
  <si>
    <t>Cotovelo interno para canaleta DLP evolutiva 150x50</t>
  </si>
  <si>
    <t>Separador para cotovelo interno de canaleta DLP evolutiva 150x50mm</t>
  </si>
  <si>
    <t>Curva de inversão para eletrocalha 100x50mm</t>
  </si>
  <si>
    <t>Arruela lisa 1/4"</t>
  </si>
  <si>
    <t>Curva de inversão tipo "U" para eletrocalha 100x50mm em aço pré zincado à fogo chapa #16</t>
  </si>
  <si>
    <t>Parafuso cabeça de lentilha auto travante 1/4" x  1/2"</t>
  </si>
  <si>
    <t>Porca sextavada Ø 1/4"</t>
  </si>
  <si>
    <t>Tampa lisa de encaixe para curva de inversão tipo "U" para eletrocalha 100x50mm</t>
  </si>
  <si>
    <t>Curva de inversão para eletrocalha 100x100mm</t>
  </si>
  <si>
    <t>Curva de inversão tipo "U" para eletrocalha 100x100mm em aço pré zincado à fogo chapa #16</t>
  </si>
  <si>
    <t>Tampa lisa de encaixe para curva de inversão tipo "U" para eletrocalha 100x100mm</t>
  </si>
  <si>
    <t>Curva de inversão para eletrocalha 150x100mm</t>
  </si>
  <si>
    <t>Curva de inversão tipo "U" para eletrocalha 150x100mm em aço pré zincado à fogo chapa #16</t>
  </si>
  <si>
    <t>Tampa lisa de encaixe para curva de inversão tipo "U" para eletrocalha 150x100mm</t>
  </si>
  <si>
    <t>Curva de inversão para eletrocalha 200x100mm</t>
  </si>
  <si>
    <t>Curva de inversão tipo "U" para eletrocalha 200x100mm em aço pré zincado à fogo chapa #16</t>
  </si>
  <si>
    <t>Tampa lisa de encaixe para curva de inversão tipo "U" para eletrocalha 200x100mm</t>
  </si>
  <si>
    <t>Curva de inversão para eletrocalha 300x100mm</t>
  </si>
  <si>
    <t>Curva de inversão tipo "U" para eletrocalha 300x100mm em aço pré zincado à fogo chapa #16</t>
  </si>
  <si>
    <t>Tampa lisa de encaixe para curva de inversão tipo "U" para eletrocalha 300x100mm</t>
  </si>
  <si>
    <t>Curva de inversão para eletrocalha 400x100mm</t>
  </si>
  <si>
    <t>Curva de inversão tipo "U" para eletrocalha 400x100mm em aço pré zincado à fogo chapa #16</t>
  </si>
  <si>
    <t>Tampa lisa de encaixe para curva de inversão tipo "U" para eletrocalha 400x100mm</t>
  </si>
  <si>
    <t>Curva de inversão para eletrocalha 500x100mm</t>
  </si>
  <si>
    <t>Curva de inversão tipo "U" para eletrocalha 500x100mm em aço pré zincado à fogo chapa #16</t>
  </si>
  <si>
    <t>Tampa lisa de encaixe para curva de inversão tipo "U" para eletrocalha 500x100mm</t>
  </si>
  <si>
    <t>Curva de inversão para eletrocalha 600x100mm</t>
  </si>
  <si>
    <t>Curva de inversão tipo "U" para eletrocalha 600x100mm em aço pré zincado à fogo chapa #16</t>
  </si>
  <si>
    <t>Tampa lisa de encaixe para curva de inversão tipo "U" para eletrocalha 600x100mm</t>
  </si>
  <si>
    <t>Curva 45° de PVC rígido de Ø 1"</t>
  </si>
  <si>
    <t>Curva 45° de PVC rígido de Ø 1.1/2"</t>
  </si>
  <si>
    <t>Curva 45° de PVC rígido de Ø 1.1/4"</t>
  </si>
  <si>
    <t>Curva 45° de PVC rígido de Ø 2"</t>
  </si>
  <si>
    <t>Curva 45° de PVC rígido de Ø 2.1/2"</t>
  </si>
  <si>
    <t>Curva 45° de PVC rígido de Ø 3"</t>
  </si>
  <si>
    <t>Curva 45° de PVC rígido de Ø 3/4"</t>
  </si>
  <si>
    <t>Curva 45° de PVC rígido de Ø 4"</t>
  </si>
  <si>
    <t>Curva 90° de PVC rígido de Ø 1"</t>
  </si>
  <si>
    <t>Curva 90° de PVC rígido de Ø 1.1/2"</t>
  </si>
  <si>
    <t>Curva 90° de PVC rígido de Ø 1.1/4"</t>
  </si>
  <si>
    <t>Curva 90° de PVC rígido de Ø 2"</t>
  </si>
  <si>
    <t>Curva 90° de PVC rígido de Ø 2.1/2"</t>
  </si>
  <si>
    <t>Curva 90° de PVC rígido de Ø 3"</t>
  </si>
  <si>
    <t>Curva 90° de PVC rígido de Ø 3/4"</t>
  </si>
  <si>
    <t>Curva 90° de PVC rígido de Ø 4"</t>
  </si>
  <si>
    <t>Curva horizontal 45° para eletrocalha 100x50mm</t>
  </si>
  <si>
    <t>Curva horizontal 45° tipo "U" para eletrocalha 100x50mm em aço pré zincado à fogo chapa #16</t>
  </si>
  <si>
    <t>Tampa lisa de encaixe para curva horizontal 45° tipo "U" para eletrocalha 100x50mm</t>
  </si>
  <si>
    <t>Curva horizontal 45° para eletrocalha 100x100mm</t>
  </si>
  <si>
    <t>Curva horizontal 45° tipo "U" para eletrocalha 100x100mm em aço pré zincado à fogo chapa #16</t>
  </si>
  <si>
    <t>Tampa lisa de encaixe para curva horizontal 45° tipo "U" para eletrocalha 100x100mm</t>
  </si>
  <si>
    <t>Curva horizontal 45° para eletrocalha 150x100mm</t>
  </si>
  <si>
    <t>Curva horizontal 45° tipo "U" para eletrocalha 150x100mm em aço pré zincado à fogo chapa #16</t>
  </si>
  <si>
    <t>Tampa lisa de encaixe para curva horizontal 45° tipo "U" para eletrocalha 150x100mm</t>
  </si>
  <si>
    <t>Curva horizontal 45° para eletrocalha 200x100mm</t>
  </si>
  <si>
    <t>Curva horizontal 45° tipo "U" para eletrocalha 200x100mm em aço pré zincado à fogo chapa #16</t>
  </si>
  <si>
    <t>Tampa lisa de encaixe para curva horizontal 45° tipo "U" para eletrocalha 200x100mm</t>
  </si>
  <si>
    <t>Curva horizontal 45° para eletrocalha 300x100mm</t>
  </si>
  <si>
    <t>Curva horizontal 45° tipo "U" para eletrocalha 300x100mm em aço pré zincado à fogo chapa #16</t>
  </si>
  <si>
    <t>Tampa lisa de encaixe para curva horizontal 45° tipo "U" para eletrocalha 300x100mm</t>
  </si>
  <si>
    <t>Curva horizontal 45° para eletrocalha 400x100mm</t>
  </si>
  <si>
    <t>Curva horizontal 45° tipo "U" para eletrocalha 400x100mm em aço pré zincado à fogo chapa #16</t>
  </si>
  <si>
    <t>Tampa lisa de encaixe para curva horizontal 45° tipo "U" para eletrocalha 400x100mm</t>
  </si>
  <si>
    <t>Curva horizontal 45° para eletrocalha 500x100mm</t>
  </si>
  <si>
    <t>Curva horizontal 45° tipo "U" para eletrocalha 500x100mm em aço pré zincado à fogo chapa #16</t>
  </si>
  <si>
    <t>Tampa lisa de encaixe para curva horizontal 45° tipo "U" para eletrocalha 500x100mm</t>
  </si>
  <si>
    <t>Curva horizontal 45° para eletrocalha 600x100mm</t>
  </si>
  <si>
    <t>Curva horizontal 45° tipo "U" para eletrocalha 600x100mm em aço pré zincado à fogo chapa #16</t>
  </si>
  <si>
    <t>Tampa lisa de encaixe para curva horizontal 45° tipo "U" para eletrocalha 600x100mm</t>
  </si>
  <si>
    <t>Curva horizontal 90° para eletrocalha 100x50mm</t>
  </si>
  <si>
    <t>Curva horizontal 90° tipo "U" para eletrocalha 100x50mm em aço pré zincado à fogo chapa #16</t>
  </si>
  <si>
    <t>Tampa lisa de encaixe para curva horizontal 90° tipo "U" para eletrocalha 100x50mm</t>
  </si>
  <si>
    <t>Curva horizontal 90° para eletrocalha 100x100mm</t>
  </si>
  <si>
    <t>Curva horizontal 90° tipo "U" para eletrocalha 100x100mm em aço pré zincado à fogo chapa #16</t>
  </si>
  <si>
    <t>Tampa lisa de encaixe para curva horizontal 90° tipo "U" para eletrocalha 100x100mm</t>
  </si>
  <si>
    <t>Curva horizontal 90° para eletrocalha 150x100mm</t>
  </si>
  <si>
    <t>Curva horizontal 90° tipo "U" para eletrocalha 150x100mm em aço pré zincado à fogo chapa #16</t>
  </si>
  <si>
    <t>Tampa lisa de encaixe para curva horizontal 90° tipo "U" para eletrocalha 150x100mm</t>
  </si>
  <si>
    <t>Curva horizontal 90° para eletrocalha 200x100mm</t>
  </si>
  <si>
    <t>Curva horizontal 90° tipo "U" para eletrocalha 200x100mm em aço pré zincado à fogo chapa #16</t>
  </si>
  <si>
    <t>Tampa lisa de encaixe para curva horizontal 90° tipo "U" para eletrocalha 200x100mm</t>
  </si>
  <si>
    <t>Curva horizontal 90° para eletrocalha 300x100mm</t>
  </si>
  <si>
    <t>Curva horizontal 90° tipo "U" para eletrocalha 300x100mm em aço pré zincado à fogo chapa #16</t>
  </si>
  <si>
    <t>Tampa lisa de encaixe para curva horizontal 90° tipo "U" para eletrocalha 300x100mm</t>
  </si>
  <si>
    <t>Curva horizontal 90° para eletrocalha 400x100mm</t>
  </si>
  <si>
    <t>Curva horizontal 90° tipo "U" para eletrocalha 400x100mm em aço pré zincado à fogo chapa #16</t>
  </si>
  <si>
    <t>Tampa lisa de encaixe para curva horizontal 90° tipo "U" para eletrocalha 400x100mm</t>
  </si>
  <si>
    <t>Curva horizontal 90° para eletrocalha 500x100mm</t>
  </si>
  <si>
    <t>Curva horizontal 90° tipo "U" para eletrocalha 500x100mm em aço pré zincado à fogo chapa #16</t>
  </si>
  <si>
    <t>Tampa lisa de encaixe para curva horizontal 90° tipo "U" para eletrocalha 500x100mm</t>
  </si>
  <si>
    <t>Curva horizontal 90° para eletrocalha 600x100mm</t>
  </si>
  <si>
    <t>Curva horizontal 90° tipo "U" para eletrocalha 600x100mm em aço pré zincado à fogo chapa #16</t>
  </si>
  <si>
    <t>Tampa lisa de encaixe para curva horizontal 90° tipo "U" para eletrocalha 600x100mm</t>
  </si>
  <si>
    <r>
      <t xml:space="preserve">Curva média 45° em aço galvanizado </t>
    </r>
    <r>
      <rPr>
        <b/>
        <sz val="10"/>
        <rFont val="Calibri"/>
        <family val="2"/>
      </rPr>
      <t>Ø 3/4"</t>
    </r>
  </si>
  <si>
    <t>Elecon</t>
  </si>
  <si>
    <r>
      <t xml:space="preserve">Curva média 45° em aço galvanizado </t>
    </r>
    <r>
      <rPr>
        <b/>
        <sz val="10"/>
        <rFont val="Calibri"/>
        <family val="2"/>
      </rPr>
      <t>Ø 1"</t>
    </r>
  </si>
  <si>
    <r>
      <t xml:space="preserve">Curva média 45° em aço galvanizado </t>
    </r>
    <r>
      <rPr>
        <b/>
        <sz val="10"/>
        <rFont val="Calibri"/>
        <family val="2"/>
      </rPr>
      <t>Ø 1.1/4"</t>
    </r>
  </si>
  <si>
    <r>
      <t xml:space="preserve">Curva média 45° em aço galvanizado </t>
    </r>
    <r>
      <rPr>
        <b/>
        <sz val="10"/>
        <rFont val="Calibri"/>
        <family val="2"/>
      </rPr>
      <t>Ø 1.1/2"</t>
    </r>
  </si>
  <si>
    <r>
      <t xml:space="preserve">Curva média 45° em aço galvanizado </t>
    </r>
    <r>
      <rPr>
        <b/>
        <sz val="10"/>
        <rFont val="Calibri"/>
        <family val="2"/>
      </rPr>
      <t>Ø 2"</t>
    </r>
  </si>
  <si>
    <r>
      <t xml:space="preserve">Curva média 45° em aço galvanizado </t>
    </r>
    <r>
      <rPr>
        <b/>
        <sz val="10"/>
        <rFont val="Calibri"/>
        <family val="2"/>
      </rPr>
      <t>Ø 2.1/2"</t>
    </r>
  </si>
  <si>
    <r>
      <t xml:space="preserve">Curva média 45° em aço galvanizado </t>
    </r>
    <r>
      <rPr>
        <b/>
        <sz val="10"/>
        <rFont val="Calibri"/>
        <family val="2"/>
      </rPr>
      <t>Ø 3"</t>
    </r>
  </si>
  <si>
    <r>
      <t xml:space="preserve">Curva média 45° em aço galvanizado </t>
    </r>
    <r>
      <rPr>
        <b/>
        <sz val="10"/>
        <rFont val="Calibri"/>
        <family val="2"/>
      </rPr>
      <t>Ø 4"</t>
    </r>
  </si>
  <si>
    <t>Curva média 90° em aço galvanizado Ø 3/4"</t>
  </si>
  <si>
    <t>Curva média 90° em aço galvanizado Ø 1"</t>
  </si>
  <si>
    <t>Curva média 90° em aço galvanizado Ø 1.1/4"</t>
  </si>
  <si>
    <t>Curva média 90° em aço galvanizado Ø 1.1/2"</t>
  </si>
  <si>
    <t>Curva média 90° em aço galvanizado Ø 2"</t>
  </si>
  <si>
    <t>Curva média 90° em aço galvanizado Ø 2.1/2"</t>
  </si>
  <si>
    <t>Curva média 90° em aço galvanizado Ø 3"</t>
  </si>
  <si>
    <t>Curva média 90° em aço galvanizado Ø 4"</t>
  </si>
  <si>
    <t>Curva média 45° em aço zincado à fogo Ø 3/4"</t>
  </si>
  <si>
    <t>Curva média 45° em aço zincado à fogo Ø 1"</t>
  </si>
  <si>
    <t>Curva média 45° em aço zincado à fogo Ø 1.1/4"</t>
  </si>
  <si>
    <t>Curva média 45° em aço zincado à fogo Ø 1.1/2"</t>
  </si>
  <si>
    <t>Curva média 45° em aço zincado à fogo Ø 2"</t>
  </si>
  <si>
    <t>Curva média 45° em aço zincado à fogo Ø 2.1/2"</t>
  </si>
  <si>
    <t>Curva média 45° em aço zincado à fogo Ø 3"</t>
  </si>
  <si>
    <t>Curva média 45° em aço zincado à fogo Ø 4"</t>
  </si>
  <si>
    <t>Curva média 90° em aço zincado à fogo Ø 3/4"</t>
  </si>
  <si>
    <t>Curva média 90° em aço zincado à fogo Ø 1"</t>
  </si>
  <si>
    <t>Curva média 90° em aço zincado à fogo Ø 1.1/4"</t>
  </si>
  <si>
    <t>Curva média 90° em aço zincado à fogo Ø 1.1/2"</t>
  </si>
  <si>
    <t>Curva média 90° em aço zincado à fogo Ø 2"</t>
  </si>
  <si>
    <t>Curva média 90° em aço zincado à fogo Ø 2.1/2"</t>
  </si>
  <si>
    <t>Curva média 90° em aço zincado à fogo Ø 3"</t>
  </si>
  <si>
    <t>Curva média 90° em aço zincado à fogo Ø 4"</t>
  </si>
  <si>
    <t>Curva vertical externa 45° para eletrocalha 100x50mm</t>
  </si>
  <si>
    <t>Curva vertical externa 45° tipo "U" para eletrocalha 100x50mm em aço pré zincado à fogo chapa #16</t>
  </si>
  <si>
    <t>Tampa lisa de encaixe para curva vertical externa 45° tipo "U" para eletrocalha 100x50mm</t>
  </si>
  <si>
    <t>Curva vertical externa 45° para eletrocalha 100x100mm</t>
  </si>
  <si>
    <t>Curva vertical externa 45° tipo "U" para eletrocalha 100x100mm em aço pré zincado à fogo chapa #16</t>
  </si>
  <si>
    <t>Tampa lisa de encaixe para curva vertical externa 45° tipo "U" para eletrocalha 100x100mm</t>
  </si>
  <si>
    <t>Curva vertical externa 45° para eletrocalha 150x100mm</t>
  </si>
  <si>
    <t>Curva vertical externa 45° tipo "U" para eletrocalha 150x100mm em aço pré zincado à fogo chapa #16</t>
  </si>
  <si>
    <t>Tampa lisa de encaixe para curva vertical externa 45° tipo "U" para eletrocalha 150x100mm</t>
  </si>
  <si>
    <t>Curva vertical externa 45° para eletrocalha 200x100mm</t>
  </si>
  <si>
    <t>Curva vertical externa 45° tipo "U" para eletrocalha 200x100mm em aço pré zincado à fogo chapa #16</t>
  </si>
  <si>
    <t>Tampa lisa de encaixe para curva vertical externa 45° tipo "U" para eletrocalha 200x100mm</t>
  </si>
  <si>
    <t>Curva vertical externa 45° para eletrocalha 300x100mm</t>
  </si>
  <si>
    <t>Curva vertical externa 45° tipo "U" para eletrocalha 300x100mm em aço pré zincado à fogo chapa #16</t>
  </si>
  <si>
    <t>Tampa lisa de encaixe para curva vertical externa 45° tipo "U" para eletrocalha 300x100mm</t>
  </si>
  <si>
    <t>Curva vertical externa 45° para eletrocalha 400x100mm</t>
  </si>
  <si>
    <t>Curva vertical externa 45° tipo "U" para eletrocalha 400x100mm em aço pré zincado à fogo chapa #16</t>
  </si>
  <si>
    <t>Tampa lisa de encaixe para curva vertical externa 45° tipo "U" para eletrocalha 400x100mm</t>
  </si>
  <si>
    <t>Curva vertical externa 45° para eletrocalha 500x100mm</t>
  </si>
  <si>
    <t>Curva vertical externa 45° tipo "U" para eletrocalha 500x100mm em aço pré zincado à fogo chapa #16</t>
  </si>
  <si>
    <t>Tampa lisa de encaixe para curva vertical externa 45° tipo "U" para eletrocalha 500x100mm</t>
  </si>
  <si>
    <t>Curva vertical externa 45° para eletrocalha 600x100mm</t>
  </si>
  <si>
    <t>Curva vertical externa 45° tipo "U" para eletrocalha 600x100mm em aço pré zincado à fogo chapa #16</t>
  </si>
  <si>
    <t>Tampa lisa de encaixe para curva vertical externa 45° tipo "U" para eletrocalha 600x100mm</t>
  </si>
  <si>
    <t>Curva vertical externa 90° para eletrocalha 100x50mm</t>
  </si>
  <si>
    <t>Curva vertical externa 90° tipo "U" para eletrocalha 100x50mm em aço pré zincado à fogo chapa #16</t>
  </si>
  <si>
    <t>Tampa lisa de encaixe para curva vertical externa 90° tipo "U" para eletrocalha 100x50mm</t>
  </si>
  <si>
    <t>Curva vertical externa 90° para eletrocalha 100x100mm</t>
  </si>
  <si>
    <t>Curva vertical externa 90° tipo "U" para eletrocalha 100x100mm em aço pré zincado à fogo chapa #16</t>
  </si>
  <si>
    <t>Tampa lisa de encaixe para curva vertical externa 90° tipo "U" para eletrocalha 100x100mm</t>
  </si>
  <si>
    <t>Curva vertical externa 90° para eletrocalha 150x100mm</t>
  </si>
  <si>
    <t>Curva vertical externa 90° tipo "U" para eletrocalha 150x100mm em aço pré zincado à fogo chapa #16</t>
  </si>
  <si>
    <t>Tampa lisa de encaixe para curva vertical externa 90° tipo "U" para eletrocalha 150x100mm</t>
  </si>
  <si>
    <t>Curva vertical externa 90° para eletrocalha 200x100mm</t>
  </si>
  <si>
    <t>Curva vertical externa 90° tipo "U" para eletrocalha 200x100mm em aço pré zincado à fogo chapa #16</t>
  </si>
  <si>
    <t>Tampa lisa de encaixe para curva vertical externa 90° tipo "U" para eletrocalha 200x100mm</t>
  </si>
  <si>
    <t>Curva vertical externa 90° para eletrocalha 300x100mm</t>
  </si>
  <si>
    <t>Curva vertical externa 90° tipo "U" para eletrocalha 300x100mm em aço pré zincado à fogo chapa #16</t>
  </si>
  <si>
    <t>Tampa lisa de encaixe para curva vertical externa 90° tipo "U" para eletrocalha 300x100mm</t>
  </si>
  <si>
    <t>Curva vertical externa 90° para eletrocalha 400x100mm</t>
  </si>
  <si>
    <t>Curva vertical externa 90° tipo "U" para eletrocalha 400x100mm em aço pré zincado à fogo chapa #16</t>
  </si>
  <si>
    <t>Tampa lisa de encaixe para curva vertical externa 90° tipo "U" para eletrocalha 400x100mm</t>
  </si>
  <si>
    <t>Curva vertical externa 90° para eletrocalha 500x100mm</t>
  </si>
  <si>
    <t>Curva vertical externa 90° tipo "U" para eletrocalha 500x100mm em aço pré zincado à fogo chapa #16</t>
  </si>
  <si>
    <t>Tampa lisa de encaixe para curva vertical externa 90° tipo "U" para eletrocalha 500x100mm</t>
  </si>
  <si>
    <t>Curva vertical externa 90° para eletrocalha 600x100mm</t>
  </si>
  <si>
    <t>Curva vertical externa 90° tipo "U" para eletrocalha 600x100mm em aço pré zincado à fogo chapa #16</t>
  </si>
  <si>
    <t>Tampa lisa de encaixe para curva vertical externa 90° tipo "U" para eletrocalha 600x100mm</t>
  </si>
  <si>
    <t>Curva vertical interna 45° para eletrocalha 100x50mm</t>
  </si>
  <si>
    <t>Curva vertical interna 45° tipo "U" para eletrocalha 100x50mm em aço pré zincado à fogo chapa #16</t>
  </si>
  <si>
    <t>Tampa lisa de encaixe para curva vertical interna 45° tipo "U" para eletrocalha 100x50mm</t>
  </si>
  <si>
    <t>Curva vertical interna 45° para eletrocalha 100x100mm</t>
  </si>
  <si>
    <t>Curva vertical interna 45° tipo "U" para eletrocalha 100x100mm em aço pré zincado à fogo chapa #16</t>
  </si>
  <si>
    <t>Tampa lisa de encaixe para curva vertical interna 45° tipo "U" para eletrocalha 100x100mm</t>
  </si>
  <si>
    <t>Curva vertical interna 45° para eletrocalha 150x100mm</t>
  </si>
  <si>
    <t>Curva vertical interna 45° tipo "U" para eletrocalha 150x100mm em aço pré zincado à fogo chapa #16</t>
  </si>
  <si>
    <t>Tampa lisa de encaixe para curva vertical interna 45° tipo "U" para eletrocalha 150x100mm</t>
  </si>
  <si>
    <t>Curva vertical interna 45° para eletrocalha 200x100mm</t>
  </si>
  <si>
    <t>Curva vertical interna 45° tipo "U" para eletrocalha 200x100mm em aço pré zincado à fogo chapa #16</t>
  </si>
  <si>
    <t>Tampa lisa de encaixe para curva vertical interna 45° tipo "U" para eletrocalha 200x100mm</t>
  </si>
  <si>
    <t>Curva vertical interna 45° para eletrocalha 300x100mm</t>
  </si>
  <si>
    <t>Curva vertical interna 45° tipo "U" para eletrocalha 300x100mm em aço pré zincado à fogo chapa #16</t>
  </si>
  <si>
    <t>Tampa lisa de encaixe para curva vertical interna 45° tipo "U" para eletrocalha 300x100mm</t>
  </si>
  <si>
    <t>Curva vertical interna 45° para eletrocalha 400x100mm</t>
  </si>
  <si>
    <t>Curva vertical interna 45° tipo "U" para eletrocalha 400x100mm em aço pré zincado à fogo chapa #16</t>
  </si>
  <si>
    <t>Tampa lisa de encaixe para curva vertical interna 45° tipo "U" para eletrocalha 400x100mm</t>
  </si>
  <si>
    <t>Curva vertical interna 45° para eletrocalha 500x100mm</t>
  </si>
  <si>
    <t>Curva vertical interna 45° tipo "U" para eletrocalha 500x100mm em aço pré zincado à fogo chapa #16</t>
  </si>
  <si>
    <t>Tampa lisa de encaixe para curva vertical interna 45° tipo "U" para eletrocalha 500x100mm</t>
  </si>
  <si>
    <t>Curva vertical interna 45° para eletrocalha 600x100mm</t>
  </si>
  <si>
    <t>Curva vertical interna 45° tipo "U" para eletrocalha 600x100mm em aço pré zincado à fogo chapa #16</t>
  </si>
  <si>
    <t>Tampa lisa de encaixe para curva vertical interna 45° tipo "U" para eletrocalha 600x100mm</t>
  </si>
  <si>
    <t>Curva vertical interna 90° para eletrocalha 100x50mm</t>
  </si>
  <si>
    <t>Curva vertical interna 90° tipo "U" para eletrocalha 100x50mm em aço pré zincado à fogo chapa #16</t>
  </si>
  <si>
    <t>Tampa lisa de encaixe para curva vertical interna 90° tipo "U" para eletrocalha 100x50mm</t>
  </si>
  <si>
    <t>Curva vertical interna 90° para eletrocalha 100x100mm</t>
  </si>
  <si>
    <t>Curva vertical interna 90° tipo "U" para eletrocalha 100x100mm em aço pré zincado à fogo chapa #16</t>
  </si>
  <si>
    <t>Tampa lisa de encaixe para curva vertical interna 90° tipo "U" para eletrocalha 100x100mm</t>
  </si>
  <si>
    <t>Curva vertical interna 90° para eletrocalha 150x100mm</t>
  </si>
  <si>
    <t>Curva vertical interna 90° tipo "U" para eletrocalha 150x100mm em aço pré zincado à fogo chapa #16</t>
  </si>
  <si>
    <t>Tampa lisa de encaixe para curva vertical interna 90° tipo "U" para eletrocalha 150x100mm</t>
  </si>
  <si>
    <t>Curva vertical interna 90° para eletrocalha 200x100mm</t>
  </si>
  <si>
    <t>Curva vertical interna 90° tipo "U" para eletrocalha 200x100mm em aço pré zincado à fogo chapa #16</t>
  </si>
  <si>
    <t>Tampa lisa de encaixe para curva vertical interna 90° tipo "U" para eletrocalha 200x100mm</t>
  </si>
  <si>
    <t>Curva vertical interna 90° para eletrocalha 300x100mm</t>
  </si>
  <si>
    <t>Curva vertical interna 90° tipo "U" para eletrocalha 300x100mm em aço pré zincado à fogo chapa #16</t>
  </si>
  <si>
    <t>Tampa lisa de encaixe para curva vertical interna 90° tipo "U" para eletrocalha 300x100mm</t>
  </si>
  <si>
    <t>Curva vertical interna 90° para eletrocalha 400x100mm</t>
  </si>
  <si>
    <t>Curva vertical interna 90° tipo "U" para eletrocalha 400x100mm em aço pré zincado à fogo chapa #16</t>
  </si>
  <si>
    <t>Tampa lisa de encaixe para curva vertical interna 90° tipo "U" para eletrocalha 400x100mm</t>
  </si>
  <si>
    <t>Curva vertical interna 90° para eletrocalha 500x100mm</t>
  </si>
  <si>
    <t>Curva vertical interna 90° tipo "U" para eletrocalha 500x100mm em aço pré zincado à fogo chapa #16</t>
  </si>
  <si>
    <t>Tampa lisa de encaixe para curva vertical interna 90° tipo "U" para eletrocalha 500x100mm</t>
  </si>
  <si>
    <t>Curva vertical interna 90° para eletrocalha 600x100mm</t>
  </si>
  <si>
    <t>Curva vertical interna 90° tipo "U" para eletrocalha 600x100mm em aço pré zincado à fogo chapa #16</t>
  </si>
  <si>
    <t>Tampa lisa de encaixe para curva vertical interna 90° tipo "U" para eletrocalha 600x100mm</t>
  </si>
  <si>
    <t>Cruzeta horizontal 90° para eletrocalha 100x50mm</t>
  </si>
  <si>
    <t>Cruzeta horizontal 90° tipo "U" para eletrocalha 100x50mm em aço pré zincado à fogo chapa #16</t>
  </si>
  <si>
    <t>Tampa lisa de encaixe para cruzeta horizontal 90° tipo "U" para eletrocalha 100x50mm</t>
  </si>
  <si>
    <t>Cruzeta horizontal 90° para eletrocalha 100x100mm</t>
  </si>
  <si>
    <t>Cruzeta horizontal 90° tipo "U" para eletrocalha 100x100mm em aço pré zincado à fogo chapa #16</t>
  </si>
  <si>
    <t>Tampa lisa de encaixe para cruzeta horizontal 90° tipo "U" para eletrocalha 100x100mm</t>
  </si>
  <si>
    <t>Cruzeta horizontal 90° para eletrocalha 150x100mm</t>
  </si>
  <si>
    <t>Cruzeta horizontal 90° tipo "U" para eletrocalha 150x100mm em aço pré zincado à fogo chapa #16</t>
  </si>
  <si>
    <t>Tampa lisa de encaixe para cruzeta horizontal 90° tipo "U" para eletrocalha 150x100mm</t>
  </si>
  <si>
    <t>Cruzeta horizontal 90° para eletrocalha 200x100mm</t>
  </si>
  <si>
    <t>Cruzeta horizontal 90° tipo "U" para eletrocalha 200x100mm em aço pré zincado à fogo chapa #16</t>
  </si>
  <si>
    <t>Tampa lisa de encaixe para cruzeta horizontal 90° tipo "U" para eletrocalha 200x100mm</t>
  </si>
  <si>
    <t>Cruzeta horizontal 90° para eletrocalha 300x100mm</t>
  </si>
  <si>
    <t>Cruzeta horizontal 90° tipo "U" para eletrocalha 300x100mm em aço pré zincado à fogo chapa #16</t>
  </si>
  <si>
    <t>Tampa lisa de encaixe para cruzeta horizontal 90° tipo "U" para eletrocalha 300x100mm</t>
  </si>
  <si>
    <t>Cruzeta horizontal 90° para eletrocalha 400x100mm</t>
  </si>
  <si>
    <t>Cruzeta horizontal 90° tipo "U" para eletrocalha 400x100mm em aço pré zincado à fogo chapa #16</t>
  </si>
  <si>
    <t>Tampa lisa de encaixe para cruzeta horizontal 90° tipo "U" para eletrocalha 400x100mm</t>
  </si>
  <si>
    <t>Cruzeta horizontal 90° para eletrocalha 500x100mm</t>
  </si>
  <si>
    <t>Cruzeta horizontal 90° tipo "U" para eletrocalha 500x100mm em aço pré zincado à fogo chapa #16</t>
  </si>
  <si>
    <t>Tampa lisa de encaixe para cruzeta horizontal 90° tipo "U" para eletrocalha 500x100mm</t>
  </si>
  <si>
    <t>Cruzeta horizontal 90° para eletrocalha 600x100mm</t>
  </si>
  <si>
    <t>Cruzeta horizontal 90° tipo "U" para eletrocalha 600x100mm em aço pré zincado à fogo chapa #16</t>
  </si>
  <si>
    <t>Tampa lisa de encaixe para cruzeta horizontal 90° tipo "U" para eletrocalha 600x100mm</t>
  </si>
  <si>
    <t>Desvio à direita para eletrocalha 100x50mm</t>
  </si>
  <si>
    <t>Desvio à direita tipo "U" para eletrocalha 100x50mm em aço pré zincado à fogo chapa #16</t>
  </si>
  <si>
    <t>Tampa lisa de encaixe para desvio à direita tipo "U" para eletrocalha 100x50mm</t>
  </si>
  <si>
    <t>Desvio à direita para eletrocalha 100x100mm</t>
  </si>
  <si>
    <t>Desvio à direita tipo "U" para eletrocalha 100x100mm em aço pré zincado à fogo chapa #16</t>
  </si>
  <si>
    <t>Tampa lisa de encaixe para desvio à direita tipo "U" para eletrocalha 100x100mm</t>
  </si>
  <si>
    <t>Desvio à direita para eletrocalha 150x100mm</t>
  </si>
  <si>
    <t>Desvio à direita tipo "U" para eletrocalha 150x100mm em aço pré zincado à fogo chapa #16</t>
  </si>
  <si>
    <t>Tampa lisa de encaixe para desvio à direita tipo "U" para eletrocalha 150x100mm</t>
  </si>
  <si>
    <t>Desvio à direita para eletrocalha 200x100mm</t>
  </si>
  <si>
    <t>Desvio à direita tipo "U" para eletrocalha 200x100mm em aço pré zincado à fogo chapa #16</t>
  </si>
  <si>
    <t>Tampa lisa de encaixe para desvio à direita tipo "U" para eletrocalha 200x100mm</t>
  </si>
  <si>
    <t>Desvio à direita para eletrocalha 300x100mm</t>
  </si>
  <si>
    <t>Desvio à direita tipo "U" para eletrocalha 300x100mm em aço pré zincado à fogo chapa #16</t>
  </si>
  <si>
    <t>Tampa lisa de encaixe para desvio à direita tipo "U" para eletrocalha 300x100mm</t>
  </si>
  <si>
    <t>Desvio à direita para eletrocalha 400x100mm</t>
  </si>
  <si>
    <t>Desvio à direita tipo "U" para eletrocalha 400x100mm em aço pré zincado à fogo chapa #16</t>
  </si>
  <si>
    <t>Tampa lisa de encaixe para desvio à direita tipo "U" para eletrocalha 400x100mm</t>
  </si>
  <si>
    <t>Desvio à direita para eletrocalha 500x100mm</t>
  </si>
  <si>
    <t>Desvio à direita tipo "U" para eletrocalha 500x100mm em aço pré zincado à fogo chapa #16</t>
  </si>
  <si>
    <t>Tampa lisa de encaixe para desvio à direita tipo "U" para eletrocalha 500x100mm</t>
  </si>
  <si>
    <t>Desvio à direita para eletrocalha 600x100mm</t>
  </si>
  <si>
    <t>Desvio à direita tipo "U" para eletrocalha 600x100mm em aço pré zincado à fogo chapa #16</t>
  </si>
  <si>
    <t>Tampa lisa de encaixe para desvio à direita tipo "U" para eletrocalha 600x100mm</t>
  </si>
  <si>
    <t>Desvio à esquerda para eletrocalha 100x50mm</t>
  </si>
  <si>
    <t>Desvio à esquerda tipo "U" para eletrocalha 100x50mm em aço pré zincado à fogo chapa #16</t>
  </si>
  <si>
    <t>Tampa lisa de encaixe para desvio à esquerda tipo "U" para eletrocalha 100x50mm</t>
  </si>
  <si>
    <t>Desvio à esquerda para eletrocalha 100x100mm</t>
  </si>
  <si>
    <t>Desvio à esquerda tipo "U" para eletrocalha 100x100mm em aço pré zincado à fogo chapa #16</t>
  </si>
  <si>
    <t>Tampa lisa de encaixe para desvio à esquerda tipo "U" para eletrocalha 100x100mm</t>
  </si>
  <si>
    <t>Desvio à esquerda para eletrocalha 150x100mm</t>
  </si>
  <si>
    <t>Desvio à esquerda tipo "U" para eletrocalha 150x100mm em aço pré zincado à fogo chapa #16</t>
  </si>
  <si>
    <t>Tampa lisa de encaixe para desvio à esquerda tipo "U" para eletrocalha 150x100mm</t>
  </si>
  <si>
    <t>Desvio à esquerda para eletrocalha 200x100mm</t>
  </si>
  <si>
    <t>Desvio à esquerda tipo "U" para eletrocalha 200x100mm em aço pré zincado à fogo chapa #16</t>
  </si>
  <si>
    <t>Tampa lisa de encaixe para desvio à esquerda tipo "U" para eletrocalha 200x100mm</t>
  </si>
  <si>
    <t>Desvio à esquerda para eletrocalha 300x100mm</t>
  </si>
  <si>
    <t>Desvio à esquerda tipo "U" para eletrocalha 300x100mm em aço pré zincado à fogo chapa #16</t>
  </si>
  <si>
    <t>Tampa lisa de encaixe para desvio à esquerda tipo "U" para eletrocalha 300x100mm</t>
  </si>
  <si>
    <t>Desvio à esquerda para eletrocalha 400x100mm</t>
  </si>
  <si>
    <t>Desvio à esquerda tipo "U" para eletrocalha 400x100mm em aço pré zincado à fogo chapa #16</t>
  </si>
  <si>
    <t>Tampa lisa de encaixe para desvio à esquerda tipo "U" para eletrocalha 400x100mm</t>
  </si>
  <si>
    <t>Desvio à esquerda para eletrocalha 500x100mm</t>
  </si>
  <si>
    <t>Desvio à esquerda tipo "U" para eletrocalha 500x100mm em aço pré zincado à fogo chapa #16</t>
  </si>
  <si>
    <t>Tampa lisa de encaixe para desvio à esquerda tipo "U" para eletrocalha 500x100mm</t>
  </si>
  <si>
    <t>Desvio à esquerda para eletrocalha 600x100mm</t>
  </si>
  <si>
    <t>Desvio à esquerda tipo "U" para eletrocalha 600x100mm em aço pré zincado à fogo chapa #16</t>
  </si>
  <si>
    <t>Tampa lisa de encaixe para desvio à esquerda tipo "U" para eletrocalha 600x100mm</t>
  </si>
  <si>
    <t>Detector de fumaça</t>
  </si>
  <si>
    <t>Eletrocalha 100x50 - fixada em laje</t>
  </si>
  <si>
    <t>Cantoneira "ZZ" alta 38x38mm</t>
  </si>
  <si>
    <r>
      <t xml:space="preserve">Chumbador </t>
    </r>
    <r>
      <rPr>
        <sz val="10"/>
        <rFont val="Calibri"/>
        <family val="2"/>
      </rPr>
      <t>Ø 1/4" UR</t>
    </r>
  </si>
  <si>
    <t>Eletrocalha perfurada 100x50x3000mm em aço pré zincado chapa #16, peça de 3m</t>
  </si>
  <si>
    <t>Junção simples para eletrocalha de 100x50mm em aço pré zincado chapa #16</t>
  </si>
  <si>
    <r>
      <t xml:space="preserve">Parafuso sextavado </t>
    </r>
    <r>
      <rPr>
        <sz val="10"/>
        <rFont val="Calibri"/>
        <family val="2"/>
      </rPr>
      <t>Ø 1/4" x 5/8"</t>
    </r>
  </si>
  <si>
    <t>Suporte vertical para eletrocalha de 100x50mm em aço pré zincado à fogo chapa #16</t>
  </si>
  <si>
    <t>Tampa lisa de encaixe para eletrocalha 100x50x3000mm</t>
  </si>
  <si>
    <r>
      <t xml:space="preserve">Vergalhão rosca total </t>
    </r>
    <r>
      <rPr>
        <sz val="10"/>
        <rFont val="Calibri"/>
        <family val="2"/>
      </rPr>
      <t>Ø 1/4" x 3m</t>
    </r>
  </si>
  <si>
    <t>Eletrocalha 100x100 - fixada em laje</t>
  </si>
  <si>
    <t>Eletrocalha perfurada 100x100x3000mm em aço pré zincado chapa #16, peça de 3m</t>
  </si>
  <si>
    <t>Junção simples para eletrocalha de 100x100mm em aço pré zincado chapa #16</t>
  </si>
  <si>
    <t>Suporte vertical para eletrocalha de 100x100mm em aço pré zincado à fogo chapa #16</t>
  </si>
  <si>
    <t>Tampa lisa de encaixe para eletrocalha 100x100x3000mm</t>
  </si>
  <si>
    <t>Eletrocalha 150x100 - fixada em laje</t>
  </si>
  <si>
    <t>Eletrocalha perfurada 150x100x3000mm em aço pré zincado chapa #16, peça de 3m</t>
  </si>
  <si>
    <t>Junção simples para eletrocalha de 150x100mm em aço pré zincado chapa #16</t>
  </si>
  <si>
    <t>Suporte vertical para eletrocalha de 150x100mm em aço pré zincado à fogo chapa #16</t>
  </si>
  <si>
    <t>Tampa lisa de encaixe para eletrocalha 150x100x3000mm</t>
  </si>
  <si>
    <t>Eletrocalha 200x100 - fixada em laje</t>
  </si>
  <si>
    <t>Eletrocalha perfurada 200x100x3000mm em aço pré zincado chapa #16, peça de 3m</t>
  </si>
  <si>
    <t>Junção simples para eletrocalha de 200x100mm em aço pré zincado chapa #16</t>
  </si>
  <si>
    <t>Suporte vertical para eletrocalha de 200x100mm em aço pré zincado à fogo chapa #16</t>
  </si>
  <si>
    <t>Tampa lisa de encaixe para eletrocalha 200x100x3000mm</t>
  </si>
  <si>
    <t>Eletrocalha 300x100 - fixada em laje</t>
  </si>
  <si>
    <t>Eletrocalha perfurada 300x100x3000mm em aço pré zincado chapa #16, peça de 3m</t>
  </si>
  <si>
    <t>Junção simples para eletrocalha de 300x100mm em aço pré zincado chapa #16</t>
  </si>
  <si>
    <t>Suporte vertical para eletrocalha de 300x100mm em aço pré zincado à fogo chapa #16</t>
  </si>
  <si>
    <t>Tampa lisa de encaixe para eletrocalha 300x100x3000mm</t>
  </si>
  <si>
    <t>Eletrocalha 400x100 - fixada em laje</t>
  </si>
  <si>
    <t>Eletrocalha perfurada 400x100x3000mm em aço pré zincado chapa #16, peça de 3m</t>
  </si>
  <si>
    <t>Junção simples para eletrocalha de 400x100mm em aço pré zincado chapa #16</t>
  </si>
  <si>
    <t>Suporte para eletrocalha tipo perfilado em aço pré zincado à fogo chapa #16, peça de 3m</t>
  </si>
  <si>
    <t>Tampa lisa de encaixe para eletrocalha 400x100x3000mm</t>
  </si>
  <si>
    <t>Eletrocalha 500x100 - fixada em laje</t>
  </si>
  <si>
    <t>Eletrocalha perfurada 500x100x3000mm em aço pré zincado chapa #16, peça de 3m</t>
  </si>
  <si>
    <t>Junção simples para eletrocalha de 500x100mm em aço pré zincado chapa #16</t>
  </si>
  <si>
    <t>Tampa lisa de encaixe para eletrocalha 500x100x3000mm</t>
  </si>
  <si>
    <t>Eletrocalha 600x100 - fixada em laje</t>
  </si>
  <si>
    <t>Eletrocalha perfurada 600x100x3000mm em aço pré zincado chapa #16, peça de 3m</t>
  </si>
  <si>
    <t>Junção simples para eletrocalha de 600x100mm em aço pré zincado chapa #16</t>
  </si>
  <si>
    <t>Tampa lisa de encaixe para eletrocalha 600x100x3000mm</t>
  </si>
  <si>
    <t>Eletrocalha 100x50 - fixada em estrutura metálica</t>
  </si>
  <si>
    <t>Balancim para grampo "C"</t>
  </si>
  <si>
    <r>
      <t xml:space="preserve">Grampo "C" </t>
    </r>
    <r>
      <rPr>
        <sz val="10"/>
        <rFont val="Calibri"/>
        <family val="2"/>
      </rPr>
      <t>Ø 3/8"</t>
    </r>
  </si>
  <si>
    <t>Eletrocalha 100x100 - fixada em estrutura metálica</t>
  </si>
  <si>
    <t>Eletrocalha 150x100 - fixada em estrutura metálica</t>
  </si>
  <si>
    <t>Eletrocalha 200x100 - fixada em estrutura metálica</t>
  </si>
  <si>
    <t>Eletrocalha 300x100 - fixada em estrutura metálica</t>
  </si>
  <si>
    <t>Eletrocalha 400x100 - fixada em estrutura metálica</t>
  </si>
  <si>
    <t>Eletrocalha 500x100 - fixada em estrutura metálica</t>
  </si>
  <si>
    <t>Eletrocalha 600x100 - fixada em estrutura metálica</t>
  </si>
  <si>
    <t>Eletroduto flexível corrugado de alta densidade tipo PEAD de Ø 1"</t>
  </si>
  <si>
    <t>TechDuto, Tuboline</t>
  </si>
  <si>
    <t>Eletroduto flexível corrugado de alta densidade tipo PEAD de Ø 1.1/2"</t>
  </si>
  <si>
    <t>Eletroduto flexível corrugado de alta densidade tipo PEAD de Ø 1.1/4"</t>
  </si>
  <si>
    <t>Eletroduto flexível corrugado de alta densidade tipo PEAD de Ø 2"</t>
  </si>
  <si>
    <t>Eletroduto flexível corrugado de alta densidade tipo PEAD de Ø 2.1/2"</t>
  </si>
  <si>
    <t>Eletroduto flexível corrugado de alta densidade tipo PEAD de Ø 3"</t>
  </si>
  <si>
    <t>Eletroduto flexível corrugado de alta densidade tipo PEAD de Ø 3/4"</t>
  </si>
  <si>
    <t>Eletroduto flexível corrugado de alta densidade tipo PEAD de Ø 4"</t>
  </si>
  <si>
    <t>Eletroduto flexível corrugado de PVC de Ø 1"</t>
  </si>
  <si>
    <t>Eletroduto flexível corrugado de PVC de Ø 1.1/2"</t>
  </si>
  <si>
    <t>Eletroduto flexível corrugado de PVC de Ø 1.1/4"</t>
  </si>
  <si>
    <t>Eletroduto flexível corrugado de PVC de Ø 2"</t>
  </si>
  <si>
    <t>Eletroduto flexível corrugado de PVC de Ø 2.1/2"</t>
  </si>
  <si>
    <t>Eletroduto flexível corrugado de PVC de Ø 3"</t>
  </si>
  <si>
    <t>Eletroduto flexível corrugado de PVC de Ø 3/4"</t>
  </si>
  <si>
    <t>Eletroduto flexível corrugado de PVC de Ø 4"</t>
  </si>
  <si>
    <t>Eletroduto galvanizado de Ø 1"</t>
  </si>
  <si>
    <t>Luva média em aço galvanizado para eletroduto de Ø 1"</t>
  </si>
  <si>
    <t>Eletroduto galvanizado de Ø 1.1/2"</t>
  </si>
  <si>
    <t>Eletroduto rígido em aço galvanizado tipo médio de Ø 1.1/2", barra de 3m</t>
  </si>
  <si>
    <t>Luva média em aço galvanizado para eletroduto de Ø 1.1/2"</t>
  </si>
  <si>
    <t>Eletroduto galvanizado de Ø 1.1/4"</t>
  </si>
  <si>
    <t>Eletroduto rígido em aço galvanizado tipo médio de Ø 1.1/4", barra de 3m</t>
  </si>
  <si>
    <t>Luva média em aço galvanizado para eletroduto de Ø 1.1/4"</t>
  </si>
  <si>
    <t>Eletroduto galvanizado de Ø 2"</t>
  </si>
  <si>
    <t>Eletroduto rígido em aço galvanizado tipo médio de Ø 2", barra de 3m</t>
  </si>
  <si>
    <t>Luva média em aço galvanizado para eletroduto de Ø 2"</t>
  </si>
  <si>
    <t>Eletroduto galvanizado de Ø 2.1/2"</t>
  </si>
  <si>
    <t>Eletroduto rígido em aço galvanizado tipo médio de Ø 2.1/2", barra de 3m</t>
  </si>
  <si>
    <t>Luva média em aço galvanizado para eletroduto de Ø 2.1/2""</t>
  </si>
  <si>
    <t>Eletroduto galvanizado de Ø 3"</t>
  </si>
  <si>
    <t>Eletroduto rígido em aço galvanizado tipo médio de Ø 3", barra de 3m</t>
  </si>
  <si>
    <t>Luva média em aço galvanizado para eletroduto de Ø 3"</t>
  </si>
  <si>
    <t>Eletroduto galvanizado de Ø 3/4"</t>
  </si>
  <si>
    <t>Luva média em aço galvanizado para eletroduto de Ø 3/4"</t>
  </si>
  <si>
    <t>Eletroduto galvanizado de Ø 4"</t>
  </si>
  <si>
    <t>Eletroduto rígido em aço galvanizado tipo médio de Ø 4", barra de 3m</t>
  </si>
  <si>
    <t>Luva média em aço galvanizado para eletroduto de Ø 4"</t>
  </si>
  <si>
    <t>Eletroduto galvanizado vermelho para sistema de incêndio de Ø 1"</t>
  </si>
  <si>
    <t>Eletroduto rígido em aço galvanizado tipo médio de Ø 1" na cor vermelha</t>
  </si>
  <si>
    <t>Luva média em aço galvanizado para eletroduto de Ø 1" na cor vermelha</t>
  </si>
  <si>
    <t>Eletroduto PVC rígido de Ø 1"</t>
  </si>
  <si>
    <t>Eletroduto PVC rígido de Ø 1", barra de 3m</t>
  </si>
  <si>
    <t>Luva de PVC rígido para eletroduto de Ø 1"</t>
  </si>
  <si>
    <t>Eletroduto PVC rígido de Ø 1.1/2"</t>
  </si>
  <si>
    <t>Eletroduto PVC rígido de Ø 1.1/2", barra de 3m</t>
  </si>
  <si>
    <t>Luva de PVC rígido para eletroduto de Ø 1.1/2"</t>
  </si>
  <si>
    <t>Eletroduto PVC rígido de Ø 1.1/4"</t>
  </si>
  <si>
    <t>Eletroduto PVC rígido de Ø 1.1/4", barra de 3m</t>
  </si>
  <si>
    <t>Luva de PVC rígido para eletroduto de Ø 1.1/4"</t>
  </si>
  <si>
    <t>Eletroduto PVC rígido de Ø 2"</t>
  </si>
  <si>
    <t>Eletroduto PVC rígido de Ø 2", barra de 3m</t>
  </si>
  <si>
    <t>Luva de PVC rígido para eletroduto de Ø 2"</t>
  </si>
  <si>
    <t>Eletroduto PVC rígido de Ø 2.1/2"</t>
  </si>
  <si>
    <t>Eletroduto PVC rígido de Ø 2.1/2", barra de 3m</t>
  </si>
  <si>
    <t>Luva de PVC rígido para eletroduto de Ø 2.1/2""</t>
  </si>
  <si>
    <t>Eletroduto PVC rígido de Ø 3"</t>
  </si>
  <si>
    <t>Eletroduto PVC rígido de Ø 3", barra de 3m</t>
  </si>
  <si>
    <t>Luva de PVC rígido para eletroduto de Ø 3"</t>
  </si>
  <si>
    <t>Eletroduto PVC rígido de Ø 3/4"</t>
  </si>
  <si>
    <t>Eletroduto PVC rígido de Ø 3/4", barra de 3m</t>
  </si>
  <si>
    <t>Luva de PVC rígido para eletroduto de Ø 3/4"</t>
  </si>
  <si>
    <t>Eletroduto PVC rígido de Ø 4"</t>
  </si>
  <si>
    <t>Eletroduto PVC rígido de Ø 4", barra de 3m</t>
  </si>
  <si>
    <t>Luva de PVC rígido para eletroduto de Ø 4"</t>
  </si>
  <si>
    <t>Eletroduto zincado à fogo de Ø 1"</t>
  </si>
  <si>
    <t>Eletroduto rígido em aço zincado à fogo tipo médio de Ø 1"</t>
  </si>
  <si>
    <t>Luva média em aço zincado à fogo para eletroduto de Ø 1"</t>
  </si>
  <si>
    <t>Eletroduto zincado à fogo de Ø 1.1/2"</t>
  </si>
  <si>
    <t>Eletroduto rígido em aço zincado à fogo tipo médio de Ø 1.1/2", barra de 3m</t>
  </si>
  <si>
    <t>Luva média em aço zincado à fogo para eletroduto de Ø 1.1/2"</t>
  </si>
  <si>
    <t>Eletroduto zincado à fogo de Ø 1.1/4"</t>
  </si>
  <si>
    <t>Eletroduto rígido em aço zincado à fogo tipo médio de Ø 1.1/4", barra de 3m</t>
  </si>
  <si>
    <t>Luva média em aço zincado à fogo para eletroduto de Ø 1.1/4"</t>
  </si>
  <si>
    <t>Eletroduto zincado à fogo de Ø 2"</t>
  </si>
  <si>
    <t>Eletroduto rígido em aço zincado à fogo tipo médio de Ø 2", barra de 3m</t>
  </si>
  <si>
    <t>Luva média em aço zincado à fogo para eletroduto de Ø 2"</t>
  </si>
  <si>
    <t>Eletroduto zincado à fogo de Ø 2.1/2"</t>
  </si>
  <si>
    <t>Eletroduto rígido em aço zincado à fogo tipo médio de Ø 2.1/2", barra de 3m</t>
  </si>
  <si>
    <t>Luva média em aço zincado à fogo para eletroduto de Ø 2.1/2""</t>
  </si>
  <si>
    <t>Eletroduto zincado à fogo de Ø 3"</t>
  </si>
  <si>
    <t>Eletroduto rígido em aço zincado à fogo tipo médio de Ø 3", barra de 3m</t>
  </si>
  <si>
    <t>Luva média em aço zincado à fogo para eletroduto de Ø 3"</t>
  </si>
  <si>
    <t>Eletroduto zincado à fogo de Ø 3/4"</t>
  </si>
  <si>
    <t>Eletroduto rígido em aço zincado à fogo tipo médio de Ø 3/4", barra de 3m</t>
  </si>
  <si>
    <t>Luva média em aço zincado à fogo para eletroduto de Ø 3/4"</t>
  </si>
  <si>
    <t>Eletroduto zincado à fogo de Ø 4"</t>
  </si>
  <si>
    <t>Eletroduto rígido em aço zincado à fogo tipo médio de Ø 4", barra de 3m</t>
  </si>
  <si>
    <t>Luva média em aço zincado à fogo para eletroduto de Ø 4"</t>
  </si>
  <si>
    <t>Entrada de energia conforme o projeto</t>
  </si>
  <si>
    <t>R$</t>
  </si>
  <si>
    <t>Fio telefônico para instalações internas FI - 2 condutores</t>
  </si>
  <si>
    <t>Fita subterrânea para de sinalização de rede elétrica</t>
  </si>
  <si>
    <t>Haste de aterramento cobreada, alta camada, Ø 5/8" x 2,40m - TEL 5814</t>
  </si>
  <si>
    <t>Interruptor bipolar de 1 tecla simples</t>
  </si>
  <si>
    <t>Espelho de interruptor 4x2" para 1 módulo</t>
  </si>
  <si>
    <t>Módulo de interruptor bipolar simples</t>
  </si>
  <si>
    <t>Interruptor bipolar de 2 teclas simples</t>
  </si>
  <si>
    <t>Interruptor bipolar de 5 teclas simples</t>
  </si>
  <si>
    <t>Espelho de interruptor 4x4" para 4 módulos</t>
  </si>
  <si>
    <t>Suporte 4x4" para 6 módulos</t>
  </si>
  <si>
    <t>Interruptor de 1 tecla simples</t>
  </si>
  <si>
    <t>Interruptor de 1 tecla simples em condulete</t>
  </si>
  <si>
    <t>Espelho de interruptor 4x2" para 1 módulo para condulete</t>
  </si>
  <si>
    <t>Módulo de interruptor simples para condulete</t>
  </si>
  <si>
    <t>Interruptor de 1 tecla simples à prova de calor e umidade</t>
  </si>
  <si>
    <t>Espelho de interruptor 4x2" para 1 módulo à prova de calor e umidade</t>
  </si>
  <si>
    <t>Módulo de interruptor simples à prova de calor e umidade</t>
  </si>
  <si>
    <t>Interruptor de 1 tecla simples e 1 tecla intermediário</t>
  </si>
  <si>
    <t>Módulo de interruptor intermediário</t>
  </si>
  <si>
    <t>Interruptor de 1 tecla simples e 1 tecla paralelo</t>
  </si>
  <si>
    <t>Módulo de interruptor paralelo</t>
  </si>
  <si>
    <t>Interruptor de 1 tecla simples e 2 teclas paralelo</t>
  </si>
  <si>
    <t>Interruptor de 1 tecla simples e 3 teclas paralelo</t>
  </si>
  <si>
    <t>Interruptor de 1 tecla simples e 4 teclas paralelo</t>
  </si>
  <si>
    <t>Espelho de interruptor 4x4" para 6 módulos</t>
  </si>
  <si>
    <t>Módulo de tampa cega</t>
  </si>
  <si>
    <t>Interruptor de 1 tecla simples e 5 teclas paralelo</t>
  </si>
  <si>
    <t>Interruptor de 2 teclas simples</t>
  </si>
  <si>
    <t>Interruptor de 2 teclas simples e 1 tecla intermediário</t>
  </si>
  <si>
    <t>Interruptor de 2 teclas simples e 1 tecla paralelo</t>
  </si>
  <si>
    <t>Interruptor de 2 teclas simples e 2 teclas paralelo</t>
  </si>
  <si>
    <t>Interruptor de 2 teclas simples e 3 teclas paralelo</t>
  </si>
  <si>
    <t>Interruptor de 2 teclas simples e 4 teclas paralelo</t>
  </si>
  <si>
    <t>Interruptor de 3 teclas simples</t>
  </si>
  <si>
    <t>Interruptor de 3 teclas simples e 1 tecla intermediário</t>
  </si>
  <si>
    <t>Interruptor de 3 teclas simples e 1 tecla paralelo</t>
  </si>
  <si>
    <t>Interruptor de 3 teclas simples e 2 teclas paralelo</t>
  </si>
  <si>
    <t>Interruptor de 3 teclas simples e 3 teclas paralelo</t>
  </si>
  <si>
    <t>Interruptor de 4 teclas simples</t>
  </si>
  <si>
    <t>Interruptor de 4 teclas simples e 1 tecla intermediário</t>
  </si>
  <si>
    <t>Interruptor de 4 teclas simples e 1 tecla paralelo</t>
  </si>
  <si>
    <t>Interruptor de 4 teclas simples e 2 teclas paralelo</t>
  </si>
  <si>
    <t>Interruptor de 5 teclas simples</t>
  </si>
  <si>
    <t>Interruptor de 5 teclas simples e 1 tecla intermediário</t>
  </si>
  <si>
    <t>Interruptor de 5 teclas simples e 1 tecla paralelo</t>
  </si>
  <si>
    <t>Interruptor de 6 teclas simples</t>
  </si>
  <si>
    <t>Interruptor intermediário</t>
  </si>
  <si>
    <t>Interruptor paralelo</t>
  </si>
  <si>
    <t>Interruptor paralelo em condulete</t>
  </si>
  <si>
    <t>Módulo de interruptor paralelo para condulete</t>
  </si>
  <si>
    <t>Interruptor de 2 teclas paralelo</t>
  </si>
  <si>
    <t>Interruptor de 3 teclas paralelo</t>
  </si>
  <si>
    <t>Interruptor de 4 teclas paralelo</t>
  </si>
  <si>
    <t>Interruptor de 5 teclas paralelo</t>
  </si>
  <si>
    <t>Interruptor de 6 teclas paralelo</t>
  </si>
  <si>
    <t>Junção interna "L" para perfilado 19x19</t>
  </si>
  <si>
    <t>Junção interna "T" para perfilado 19x19</t>
  </si>
  <si>
    <t>Junção interna "X" para perfilado 19x19</t>
  </si>
  <si>
    <t>Junção interna "L" para perfilado 38x38</t>
  </si>
  <si>
    <t>Junção interna "T" para perfilado 38x38</t>
  </si>
  <si>
    <t>Junção interna "X" para perfilado 38x38</t>
  </si>
  <si>
    <t>Luminária de balizamento no piso para lâmpada fluorescente compacta 1x30W - 127V</t>
  </si>
  <si>
    <t>Luminária de balizamento de piso, à prova do tempo, com 1 soquete E27</t>
  </si>
  <si>
    <t>Luminária de balizamento no piso para lâmpada fluorescente compacta 1x30W - 220V</t>
  </si>
  <si>
    <t>Luminária de embutir em forro para lâmpada fluorescente compacta 1x25W - 127V</t>
  </si>
  <si>
    <t>Luminária de embutir em forro com 1 soquete E27</t>
  </si>
  <si>
    <t>Luminária de embutir em forro para lâmpada fluorescente compacta 1x25W - 127V com sensor de presença</t>
  </si>
  <si>
    <t>Luminária de embutir em forro para lâmpada fluorescente compacta 1x25W - 220V com sensor de presença</t>
  </si>
  <si>
    <t>Luminária de embutir em forro para lâmpada fluorescente compacta 2x25W - 127V</t>
  </si>
  <si>
    <t>Luminária de embutir em forro com 2 soquetes E27</t>
  </si>
  <si>
    <t>Luminária de embutir em forro para lâmpada fluorescente compacta 2x25W - 220V</t>
  </si>
  <si>
    <t>Luminária de embutir para lâmpada fluorescente compacta 1x25W - 127V à prova de calor e umidade</t>
  </si>
  <si>
    <t>Luminária de sobrepor com 1 soquete E27</t>
  </si>
  <si>
    <t>Luminária de embutir para lâmpada fluorescente compacta 1x25W - 220V à prova de calor e umidade</t>
  </si>
  <si>
    <t>Luminária de embutir em forro para lâmpada fluorescente compacta 2x25W - 127V com sensor de presença</t>
  </si>
  <si>
    <t>Luminária de embutir em forro para lâmpada fluorescente compacta 2x25W - 220V com sensor de presença</t>
  </si>
  <si>
    <t>Luminária de embutir em forro tipo spot para lâmpada de LED de 10W - 127V</t>
  </si>
  <si>
    <t>Lâmpada de LED tipo dicróica, soquete GU5.3, 10W - 127V</t>
  </si>
  <si>
    <t>Soquete GU5.3</t>
  </si>
  <si>
    <t>Spot de embutir em forro</t>
  </si>
  <si>
    <t>Luminária de embutir em forro para lâmpada fluorescente tubular 2x16W - 127V</t>
  </si>
  <si>
    <t>Lâmpada fluorescente tubular T8, soquete G13, 16W - 127V</t>
  </si>
  <si>
    <t>Luminária de embutir em forro com 4 soquetes G13</t>
  </si>
  <si>
    <t>Reator eletrônico bivolt para 2 lâmpadas tubulares de 16W</t>
  </si>
  <si>
    <t>Luminária de embutir em forro para lâmpada fluorescente tubular 2x16W - 220V</t>
  </si>
  <si>
    <t>Lâmpada fluorescente tubular T8, soquete G13, 16W - 220V</t>
  </si>
  <si>
    <t>Luminária de embutir em forro para lâmpada fluorescente tubular 2x16W - 127V para iluminação de emergência</t>
  </si>
  <si>
    <t>Luminária de embutir em forro com 4 soquetes G13 e inversor tipo gasparzinho com baterias para iluminação de emergência</t>
  </si>
  <si>
    <t>Luminária de embutir em forro para lâmpada fluorescente tubular 2x16W - 220V para iluminação de emergência</t>
  </si>
  <si>
    <t>Luminária de embutir em forro para lâmpada fluorescente tubular 2x32W - 127V</t>
  </si>
  <si>
    <t>Lâmpada fluorescente tubular T8, soquete G13, 32W - 127V</t>
  </si>
  <si>
    <t>Reator eletrônico bivolt para 2 lâmpadas tubulares de 32W</t>
  </si>
  <si>
    <t>Luminária de embutir em forro para lâmpada fluorescente tubular 2x32W - 220V</t>
  </si>
  <si>
    <t>Lâmpada fluorescente tubular T8, soquete G13, 32W - 220V</t>
  </si>
  <si>
    <t>Luminária de embutir em forro para lâmpada fluorescente tubular 2x32W - 127V para iluminação de emergência</t>
  </si>
  <si>
    <t>Luminária de embutir em forro para lâmpada fluorescente tubular 2x32W - 220V para iluminação de emergência</t>
  </si>
  <si>
    <t>Luminária de embutir em forro para lâmpada fluorescente tubular 4x16W - 127V</t>
  </si>
  <si>
    <t>Luminária de embutir em forro com 8 soquetes G13</t>
  </si>
  <si>
    <t>Luminária de embutir em forro para lâmpada fluorescente tubular 4x16W - 220V</t>
  </si>
  <si>
    <t>Luminária de embutir em forro para lâmpada fluorescente tubular 4x16W - 127V para iluminação de emergência</t>
  </si>
  <si>
    <t>Luminária de embutir em forro com 8 soquetes G13 e inversor tipo gasparzinho com baterias para iluminação de emergência</t>
  </si>
  <si>
    <t>Luminária de embutir em forro para lâmpada fluorescente tubular 4x16W - 220V para iluminação de emergência</t>
  </si>
  <si>
    <t>Luminária de embutir em forro para lâmpada fluorescente tubular 2x16W - 127V com proteção acrílica</t>
  </si>
  <si>
    <t>Luminária de embutir em forro com 4 soquetes G13 com proteção acrílica</t>
  </si>
  <si>
    <t>Luminária de embutir em forro para lâmpada fluorescente tubular 2x16W - 220V com proteção acrílica</t>
  </si>
  <si>
    <t>Luminária de embutir em forro para lâmpada fluorescente tubular 2x16W - 127V com proteção acrílica para iluminação de emergência</t>
  </si>
  <si>
    <t>Luminária de embutir em forro com 4 soquetes G13 com proteção acrílica e inversor tipo gasparzinho com baterias para iluminação de emergência</t>
  </si>
  <si>
    <t>Luminária de embutir em forro para lâmpada fluorescente tubular 2x16W - 220V com proteção acrílica para iluminação de emergência</t>
  </si>
  <si>
    <t>Luminária de embutir em forro para lâmpada fluorescente tubular 2x32W - 127V com proteção acrílica</t>
  </si>
  <si>
    <t>Luminária de embutir em forro para lâmpada fluorescente tubular 2x32W - 127V com proteção acrílica para iluminação de emergência</t>
  </si>
  <si>
    <t>Luminária de embutir em forro para lâmpada fluorescente tubular 2x32W - 220V com proteção acrílica para iluminação de emergência</t>
  </si>
  <si>
    <t>Luminária de embutir em forro para lâmpada fluorescente tubular 4x16W - 127V com proteção acrílica</t>
  </si>
  <si>
    <t>Luminária de embutir em forro com 8 soquetes G13 com proteção acrílica</t>
  </si>
  <si>
    <t>Luminária de embutir em forro para lâmpada fluorescente tubular 4x16W - 220V com proteção acrílica</t>
  </si>
  <si>
    <t>Luminária de embutir em forro para lâmpada fluorescente tubular 4x16W - 127V com proteção acrílica para iluminação de emergência</t>
  </si>
  <si>
    <t>Luminária de embutir em forro com 8 soquetes G13 com proteção acrílica e inversor tipo gasparzinho com baterias para iluminação de emergência</t>
  </si>
  <si>
    <t>Luminária de embutir em forro para lâmpada fluorescente tubular 4x16W - 220V com proteção acrílica para iluminação de emergência</t>
  </si>
  <si>
    <t>Luminária de parede tipo balizador de embutir para lâmpada fluorescente compacta integrada de 30W - 127V</t>
  </si>
  <si>
    <t>Luminária de parede tipo balizador de embutir com 1 soquete E27</t>
  </si>
  <si>
    <t>Luminária de parede tipo balizador de embutir para lâmpada fluorescente compacta integrada de 30W - 220V</t>
  </si>
  <si>
    <t>Luminária de parede tipo balizador de embutir, à prova do tempo, para lâmpada fluorescente compacta integrada de 30W - 127V</t>
  </si>
  <si>
    <t>Caixa de passagem de PVC de embutir, à prova do tempo, 4x2"</t>
  </si>
  <si>
    <t>Luminária de parede tipo balizador de embutir, à prova do tempo, com 1 soquete E27</t>
  </si>
  <si>
    <t>Luminária de parede tipo balizador de embutir, à prova do tempo, para lâmpada fluorescente compacta integrada de 30W - 220V</t>
  </si>
  <si>
    <t>Luminária decorativa de parede tipo globo leitoso, à prova do tempo, para lâmpada fluorescente compacta integrada de 85W - 127V</t>
  </si>
  <si>
    <t>Lâmpada fluorescente compacta integrada, soquete E27, 85W - 127V</t>
  </si>
  <si>
    <t>Luminária decorativa de parede tipo globo leitoso, à prova do tempo, com 1 soquete E27</t>
  </si>
  <si>
    <t>Luminária decorativa de parede tipo globo leitoso, à prova do tempo, para lâmpada fluorescente compacta integrada de 85W - 220V</t>
  </si>
  <si>
    <t>Lâmpada fluorescente compacta integrada, soquete E27, 85W - 220V</t>
  </si>
  <si>
    <t>Luminária de sobrepor para lâmpada fluorescente compacta 1x25W - 127V</t>
  </si>
  <si>
    <t>Luminária de sobrepor para lâmpada fluorescente compacta 1x25W - 220V</t>
  </si>
  <si>
    <t>Luminária de sobrepor para lâmpada fluorescente compacta 1x25W - 127V à prova de calor e umidade</t>
  </si>
  <si>
    <t>Luminária de sobrepor para lâmpada fluorescente compacta 1x25W - 220V à prova de calor e umidade</t>
  </si>
  <si>
    <t>Luminária de sobrepor para lâmpada fluorescente compacta 1x25W - 127V com sensor de presença</t>
  </si>
  <si>
    <t>Luminária de sobrepor para lâmpada fluorescente compacta 1x25W - 220V com sensor de presença</t>
  </si>
  <si>
    <t>Luminária de sobrepor para lâmpada fluorescente compacta 1x25W - 127V com ventilador de teto</t>
  </si>
  <si>
    <t>Luminária de sobrepor com 1 soquete E27 e ventilador de teto</t>
  </si>
  <si>
    <t>Luminária de sobrepor para lâmpada fluorescente compacta 1x25W - 220V com ventilador de teto</t>
  </si>
  <si>
    <t>Luminária de sobrepor para lâmpada fluorescente compacta 2x25W - 127V</t>
  </si>
  <si>
    <t>Luminária de sobrepor com 2 soquetes E27</t>
  </si>
  <si>
    <t>Luminária de sobrepor para lâmpada fluorescente compacta 2x25W - 220V</t>
  </si>
  <si>
    <t>Luminária de sobrepor para lâmpada fluorescente compacta 2x25W - 127V com sensor de presença</t>
  </si>
  <si>
    <t>Luminária de sobrepor para lâmpada fluorescente compacta 2x25W - 220V com sensor de presença</t>
  </si>
  <si>
    <t>Luminária de sobrepor tipo spot para lâmpada de LED de 10W - 127V</t>
  </si>
  <si>
    <t>Spot de sobrepor</t>
  </si>
  <si>
    <t>Luminária de sobrepor para lâmpada fluorescente tubular 2x16W - 127V</t>
  </si>
  <si>
    <t>Lâmpada fluorescente tubular T8, base G13, 16W - 127V</t>
  </si>
  <si>
    <t>Luminária de sobrepor com 4 bases G13</t>
  </si>
  <si>
    <t>Luminária de sobrepor para lâmpada fluorescente tubular 2x16W - 220V</t>
  </si>
  <si>
    <t>Lâmpada fluorescente tubular T8, base G13, 16W - 220V</t>
  </si>
  <si>
    <t>Luminária de sobrepor para lâmpada fluorescente tubular 2x16W - 127V para iluminação de emergência</t>
  </si>
  <si>
    <t>Luminária de sobrepor com 4 bases G13 e inversor tipo gasparzinho com baterias para iluminação de emergência</t>
  </si>
  <si>
    <t>Luminária de sobrepor para lâmpada fluorescente tubular 2x16W - 220V para iluminação de emergência</t>
  </si>
  <si>
    <t>Luminária de sobrepor para lâmpada fluorescente tubular 2x32W - 127V</t>
  </si>
  <si>
    <t>Lâmpada fluorescente tubular T8, base G13, 32W - 127V</t>
  </si>
  <si>
    <t>Lâmpada fluorescente tubular T8, base G13, 32W - 220V</t>
  </si>
  <si>
    <t>Luminária de sobrepor para lâmpada fluorescente tubular 2x32W - 127V para iluminação de emergência</t>
  </si>
  <si>
    <t>Luminária de sobrepor para lâmpada fluorescente tubular 2x32W - 220V para iluminação de emergência</t>
  </si>
  <si>
    <t>Luminária de sobrepor para lâmpada fluorescente tubular 4x16W - 127V</t>
  </si>
  <si>
    <t>Luminária de sobrepor com 8 bases G13</t>
  </si>
  <si>
    <t>Luminária de sobrepor para lâmpada fluorescente tubular 4x16W - 220V</t>
  </si>
  <si>
    <t>Luminária de sobrepor para lâmpada fluorescente tubular 4x16W - 127V para iluminação de emergência</t>
  </si>
  <si>
    <t>Luminária de sobrepor com 8 bases G13 e inversor tipo gasparzinho com baterias para iluminação de emergência</t>
  </si>
  <si>
    <t>Luminária de sobrepor para lâmpada fluorescente tubular 4x16W - 220V para iluminação de emergência</t>
  </si>
  <si>
    <t>Luminária de sobrepor para lâmpada fluorescente tubular 2x16W - 127V com proteção acrílica</t>
  </si>
  <si>
    <t>Luminária de sobrepor com 4 bases G13 com proteção acrílica</t>
  </si>
  <si>
    <t>Luminária de sobrepor para lâmpada fluorescente tubular 2x16W - 220V com proteção acrílica</t>
  </si>
  <si>
    <t>Luminária de sobrepor para lâmpada fluorescente tubular 2x16W - 127V com proteção acrílica para iluminação de emergência</t>
  </si>
  <si>
    <t>Luminária de sobrepor com 4 bases G13 com proteção acrílica e inversor tipo gasparzinho com baterias para iluminação de emergência</t>
  </si>
  <si>
    <t>Luminária de sobrepor para lâmpada fluorescente tubular 2x16W - 220V com proteção acrílica para iluminação de emergência</t>
  </si>
  <si>
    <t>Luminária de sobrepor para lâmpada fluorescente tubular 2x32W - 127V com proteção acrílica</t>
  </si>
  <si>
    <t>Luminária de sobrepor para lâmpada fluorescente tubular 2x32W - 220V com proteção acrílica</t>
  </si>
  <si>
    <t>Luminária de sobrepor para lâmpada fluorescente tubular 2x32W - 127V com proteção acrílica para iluminação de emergência</t>
  </si>
  <si>
    <t>Luminária de sobrepor para lâmpada fluorescente tubular 2x32W - 220V com proteção acrílica para iluminação de emergência</t>
  </si>
  <si>
    <t>Luminária de sobrepor para lâmpada fluorescente tubular 4x16W - 127V com proteção acrílica</t>
  </si>
  <si>
    <t>Luminária de sobrepor com 8 bases G13 com proteção acrílica</t>
  </si>
  <si>
    <t>Luminária de sobrepor para lâmpada fluorescente tubular 4x16W - 220V com proteção acrílica</t>
  </si>
  <si>
    <t>Luminária de sobrepor para lâmpada fluorescente tubular 4x16W - 127V com proteção acrílica para iluminação de emergência</t>
  </si>
  <si>
    <t>Luminária de sobrepor com 8 bases G13 com proteção acrílica e inversor tipo gasparzinho com baterias para iluminação de emergência</t>
  </si>
  <si>
    <t>Luminária de sobrepor para lâmpada fluorescente tubular 4x16W - 220V com proteção acrílica para iluminação de emergência</t>
  </si>
  <si>
    <t>Luminária industrial de sobrepor para lâmpada fluorescente tubular HO, base R17D, 2x110W - 220V - fixação em estrutura metálica</t>
  </si>
  <si>
    <t>Lâmpada fluorescente tubular HO T12, base R17D, 110W - 220V</t>
  </si>
  <si>
    <t>Luminária industrial de sobrepor para lâmpada fluorescente tubular HO com 4 bases R17D</t>
  </si>
  <si>
    <t>Reator eletrônico bivolt para 2 lâmpadas fluorescente tubular HO de 110W</t>
  </si>
  <si>
    <t>Tomada 2P+T, 16A, 250V em base/suporte para perfilado/eletrocalha</t>
  </si>
  <si>
    <t>Gancho curto para fixação de luminária em perfilado</t>
  </si>
  <si>
    <t>Luminária industrial de sobrepor para lâmpada fluorescente tubular HO, base R17D, 2x110W - 220V para iluminação de emergência - fixação em estrutura metálica</t>
  </si>
  <si>
    <t>Luminária industrial de sobrepor para lâmpada fluorescente tubular HO com 4 bases R17D e inversor tipo gasparzinho com baterias para iluminação de emergência</t>
  </si>
  <si>
    <t>Luminária industrial de sobrepor para lâmpada fluorescente tubular HO, base R17D, 2x110W - 220V para iluminação de emergência - fixação em eletrocalha/perfilado</t>
  </si>
  <si>
    <t>Lâmpada de vapor metálico, base E40, 70W - 220V</t>
  </si>
  <si>
    <t>Luminária industrial de sobrepor para lâmpada de vapor metálico com base E40</t>
  </si>
  <si>
    <t>Reator eletrônico bivolt para lâmpada de vapor metálico de 70W</t>
  </si>
  <si>
    <t>Luminária industrial de sobrepor para lâmpada de vapor metálico, base E40, 250W - 220V - fixação em estrutura metálica</t>
  </si>
  <si>
    <t>Lâmpada de vapor metálico, base E40, 250W - 220V</t>
  </si>
  <si>
    <t>Reator eletrônico bivolt para lâmpada de vapor metálico de 250W</t>
  </si>
  <si>
    <t>Luminária industrial de sobrepor para lâmpada de vapor metálico, base E40, 250W - 220V - fixação em eletrocalha/perfilado</t>
  </si>
  <si>
    <t>Luminária industrial de sobrepor para lâmpada de vapor metálico, base E40, 400W - 220V - fixação em estrutura metálica</t>
  </si>
  <si>
    <t>Lâmpada de vapor metálico, base E40, 400W - 220V</t>
  </si>
  <si>
    <t>Reator eletrônico bivolt para lâmpada de vapor metálico de 400W</t>
  </si>
  <si>
    <t>Luminária industrial de sobrepor para lâmpada de vapor metálico, base E40, 400W - 220V - fixação em eletrocalha/perfilado</t>
  </si>
  <si>
    <t>Luminária industrial prismática de sobrepor para lâmpada de vapor metálico, base E40, 400W - 220V - fixação em estrutura metálica</t>
  </si>
  <si>
    <t>Luminária industrial prismática de sobrepor para lâmpada de vapor metálico com base E40</t>
  </si>
  <si>
    <t>Luminária tipo projetor de piso para lâmpada de vapor metálico 70W - 220V</t>
  </si>
  <si>
    <t>Projetor de piso à prova do tempo com base E40</t>
  </si>
  <si>
    <t>Luminária tipo projetor subaquático para lâmpada fluorescente compacta integrada de 85W - 220V</t>
  </si>
  <si>
    <t>Projetor subaquático com soquete E27</t>
  </si>
  <si>
    <t>Luminária tipo refletor subaquático para piscina</t>
  </si>
  <si>
    <t>Caixa de ligação no piso tipo B-12, Ø 16cm, h=11,6cm, com saída Ø 3/4"</t>
  </si>
  <si>
    <t>Jacuzzi</t>
  </si>
  <si>
    <t>Lâmpada de LED para piscina, 50W - 12V</t>
  </si>
  <si>
    <t>Refletor subaquático para piscina, de embutir em parede para lâmpada de LED</t>
  </si>
  <si>
    <t>NO-BREAK conforme projeto</t>
  </si>
  <si>
    <t>Perfilado 38x19 - fixado em laje</t>
  </si>
  <si>
    <t>Cantoneira "ZZ" alta 38x19mm</t>
  </si>
  <si>
    <t>Gancho curto para perfilado</t>
  </si>
  <si>
    <t>Junção simples para perfilado de 38x19mm em aço pré zincado chapa #16</t>
  </si>
  <si>
    <t>Perfilado perfurado 38x19x3000mm em aço pré zincado chapa #16, peça de 3m</t>
  </si>
  <si>
    <t>Perfilado 38x19 - fixado em estrutura metálica</t>
  </si>
  <si>
    <t>Perfilado 38x38 - fixado em laje</t>
  </si>
  <si>
    <t>Junção simples para perfilado de 38x38mm em aço pré zincado chapa #16</t>
  </si>
  <si>
    <t>Perfilado perfurado 38x38x3000mm em aço pré zincado chapa #16, peça de 3m</t>
  </si>
  <si>
    <t>Perfilado 38x38 - fixado em estrutura metálica</t>
  </si>
  <si>
    <t>Ponto de força</t>
  </si>
  <si>
    <t>Espelho de interruptor 4x2" com 1 furo</t>
  </si>
  <si>
    <t>Ponto de força para ar condicionado tipo casset no teto</t>
  </si>
  <si>
    <t>Ponto de força para ar condicionado tipo split em parede - 127V</t>
  </si>
  <si>
    <t>Ponto de força para ar condicionado tipo split em parede - 220V</t>
  </si>
  <si>
    <t>Ponto de força para chuveiro</t>
  </si>
  <si>
    <t>Ponto de força para exaustor/coifa</t>
  </si>
  <si>
    <t>Ponto de força para fibra óptica</t>
  </si>
  <si>
    <t>Ponto de força para fotocélula</t>
  </si>
  <si>
    <t>Relé fotocélula externo bivolt</t>
  </si>
  <si>
    <t>Qualitronix</t>
  </si>
  <si>
    <t>Ponto de força para hidromassagem</t>
  </si>
  <si>
    <t>Motor para hidromassagem bifásico 220V</t>
  </si>
  <si>
    <t>Ponto de força para luminoso</t>
  </si>
  <si>
    <t>Ponto de força para motor de portão</t>
  </si>
  <si>
    <t>Motor elétrico monofásico para portão de 3/4 CV - 220V</t>
  </si>
  <si>
    <t>Ponto de força para pressurizador</t>
  </si>
  <si>
    <t>Bomba para pressurização de 3/4 CV - 220V</t>
  </si>
  <si>
    <t>Ponto de força para projetor multimídia no teto</t>
  </si>
  <si>
    <t>Ponto de força para sauna seca</t>
  </si>
  <si>
    <t>Máquina de sauna seca bifásica 220V</t>
  </si>
  <si>
    <t>Ponto de força para sauna úmida</t>
  </si>
  <si>
    <t>Máquina de sauna úmida bifásica 220V</t>
  </si>
  <si>
    <t>Ponto de força para torneira elétrica</t>
  </si>
  <si>
    <t>Ponto para caixa de som na parede</t>
  </si>
  <si>
    <t>Ponto para câmera de filmagem de segurança</t>
  </si>
  <si>
    <t>Ponto para central de interfone na parede</t>
  </si>
  <si>
    <t>Espelho de interruptor 4x4" com 1 furo</t>
  </si>
  <si>
    <t>Suporte 4x4" para 3 módulos</t>
  </si>
  <si>
    <t>Ponto para central de som na parede</t>
  </si>
  <si>
    <t>Espelho de interruptor 4x2" com 2 furos</t>
  </si>
  <si>
    <t>Ponto para fechadura elétrica</t>
  </si>
  <si>
    <t>Fechadura elétrica de portão</t>
  </si>
  <si>
    <t>HDL</t>
  </si>
  <si>
    <t/>
  </si>
  <si>
    <t>Módulo de microfone com suporte e espelho</t>
  </si>
  <si>
    <t>Poste de 10m com luminária tipo pétala retangular para lâmpada de vapor metálico de 150W - 220V</t>
  </si>
  <si>
    <t>Lâmpada de vapor metálico, base E40, 150W - 220V</t>
  </si>
  <si>
    <t>Luminária tipo pétala retangular, com alojamento para equipamento auxiliar, fixação em poste, à prova do tempo, com base E40 para lâmpada de 150W</t>
  </si>
  <si>
    <t>Poste em aço zincado flangeado de 10m, com abertura para inspeção em h=3m, para fixação de luminária tipo globo leitoso</t>
  </si>
  <si>
    <t>Reator eletrônico bivolt para lâmpada de vapor metálico de 150W</t>
  </si>
  <si>
    <t>Poste de 10m com 2 luminárias tipo pétala retangular para lâmpada de vapor metálico de 150W - 220V</t>
  </si>
  <si>
    <t>Poste de 10m com 3 luminárias tipo pétala retangular para lâmpada de vapor metálico de 150W - 220V</t>
  </si>
  <si>
    <t>Poste de 10m com 4 luminárias tipo pétala retangular para lâmpada de vapor metálico de 150W - 220V</t>
  </si>
  <si>
    <t>Poste de 10m com luminária tipo pétala retangular para lâmpada de vapor metálico de 250W - 220V</t>
  </si>
  <si>
    <t>Luminária tipo pétala retangular, com alojamento para equipamento auxiliar, fixação em poste, à prova do tempo, com base E40 para lâmpada de 250W</t>
  </si>
  <si>
    <t>Poste de 10m com 2 luminárias tipo pétala retangular para lâmpada de vapor metálico de 250W - 220V</t>
  </si>
  <si>
    <t>Poste de 10m com 3 luminárias tipo pétala retangular para lâmpada de vapor metálico de 250W - 220V</t>
  </si>
  <si>
    <t>Poste de 10m com 4 luminárias tipo pétala retangular para lâmpada de vapor metálico de 250W - 220V</t>
  </si>
  <si>
    <t>Poste de 10m com cruzeta e 3 projetores para lâmpada de vapor metálico de 400W - 220V</t>
  </si>
  <si>
    <t>Poste em aço zincado flangeado de 10m, com abertura para inspeção em h=3m, com suporte tipo cruzeta em aço zincado para 3 projetores</t>
  </si>
  <si>
    <t>Projetor à prova do tempo com base E40 para lâmpada de vapor metálico de 400W, com alojamento para equipamento auxiliar</t>
  </si>
  <si>
    <t>Poste de 12m com luminária tipo pétala retangular para lâmpada de vapor metálico de 150W - 220V</t>
  </si>
  <si>
    <t>Poste em aço zincado flangeado de 12m, com abertura para inspeção em h=3m, para fixação de luminária tipo globo leitoso</t>
  </si>
  <si>
    <t>Poste de 12m com 2 luminárias tipo pétala retangular para lâmpada de vapor metálico de 150W - 220V</t>
  </si>
  <si>
    <t>Poste de 12m com 3 luminárias tipo pétala retangular para lâmpada de vapor metálico de 150W - 220V</t>
  </si>
  <si>
    <t>Poste de 12m com 4 luminárias tipo pétala retangular para lâmpada de vapor metálico de 150W - 220V</t>
  </si>
  <si>
    <t>Poste de 12m com 3 luminárias tipo pétala retangular para lâmpada de vapor metálico de 250W - 220V</t>
  </si>
  <si>
    <t>Poste de 12m com 4 luminárias tipo pétala retangular para lâmpada de vapor metálico de 250W - 220V</t>
  </si>
  <si>
    <t>Poste de 3m com luminária tipo globo leitoso para lâmpada PL de 85W - 127V</t>
  </si>
  <si>
    <t>Luminária decorativa tipo globo leitoso, fixação em poste, à prova do tempo, com 1 soquete E27</t>
  </si>
  <si>
    <t>Poste em aço zincado de 3m, para fixação de luminária tipo globo leitoso</t>
  </si>
  <si>
    <t>Poste de 3m com luminária tipo globo leitoso para lâmpada PL de 85W - 220V</t>
  </si>
  <si>
    <t>Poste de 3m com 2 luminárias tipo globo leitoso para lâmpada PL de 85W - 127V</t>
  </si>
  <si>
    <t>Poste de 3m com 2 luminárias tipo globo leitoso para lâmpada PL de 85W - 220V</t>
  </si>
  <si>
    <t>Poste de 3m com 4 luminárias tipo globo leitoso para lâmpada PL de 85W - 127V</t>
  </si>
  <si>
    <t>Poste de 3m com 4 luminárias tipo globo leitoso para lâmpada PL de 85W - 220V</t>
  </si>
  <si>
    <t>Poste de 8m com luminária tipo pétala retangular para lâmpada de vapor metálico de 150W - 220V</t>
  </si>
  <si>
    <t>Poste em aço zincado flangeado de 8m, com abertura para inspeção em h=3m, para fixação de luminária tipo globo leitoso</t>
  </si>
  <si>
    <t>Poste de 8m com 2 luminárias tipo pétala retangular para lâmpada de vapor metálico de 150W - 220V</t>
  </si>
  <si>
    <t>Poste de 8m com 3 luminárias tipo pétala retangular para lâmpada de vapor metálico de 150W - 220V</t>
  </si>
  <si>
    <t>Poste de 8m com 4 luminárias tipo pétala retangular para lâmpada de vapor metálico de 150W - 220V</t>
  </si>
  <si>
    <t>Poste de 8m com 3 luminárias tipo pétala retangular para lâmpada de vapor metálico de 250W - 220V</t>
  </si>
  <si>
    <t>Poste de 8m com 4 luminárias tipo pétala retangular para lâmpada de vapor metálico de 250W - 220V</t>
  </si>
  <si>
    <t>Posto primário simplificado de 112,5 kVA, 23.1 kV/220-127V completo</t>
  </si>
  <si>
    <t>Abraçadeira para poste - 240 mm</t>
  </si>
  <si>
    <t>Abraçadeira para poste - 250 mm</t>
  </si>
  <si>
    <t>Abraçadeira para poste - 290 mm</t>
  </si>
  <si>
    <t>Abraçadeira para poste - 320 mm</t>
  </si>
  <si>
    <t>Abraçadeira para poste - 340 mm</t>
  </si>
  <si>
    <t xml:space="preserve">Armação secundária 1x1 pesada </t>
  </si>
  <si>
    <t>Arruela de 1"</t>
  </si>
  <si>
    <t>Arruela de 4"</t>
  </si>
  <si>
    <t>Arruela quadrada M18</t>
  </si>
  <si>
    <t>Barra de cobre de 1.1/2" x 3.1/16"</t>
  </si>
  <si>
    <t>Box curvo de 1"</t>
  </si>
  <si>
    <t>Box reto de 1" com bucha e arruela</t>
  </si>
  <si>
    <t>Bucha de 1"</t>
  </si>
  <si>
    <t>Bucha de 4"</t>
  </si>
  <si>
    <r>
      <t xml:space="preserve">Cabo de cobre nu 25mm² - 7 fios x </t>
    </r>
    <r>
      <rPr>
        <sz val="10"/>
        <rFont val="Calibri"/>
        <family val="2"/>
      </rPr>
      <t>Ø 2,06mm (NBR 6524)</t>
    </r>
  </si>
  <si>
    <r>
      <t xml:space="preserve">Cabo de cobre nu 50mm² - 7 fios x </t>
    </r>
    <r>
      <rPr>
        <sz val="10"/>
        <rFont val="Calibri"/>
        <family val="2"/>
      </rPr>
      <t>Ø 3,00mm (NBR 6524)</t>
    </r>
  </si>
  <si>
    <t>Caixa metálica de 1000 x 750 x 300 mm em chapa de aço 14 MSG (1,98mm espessura), laminada a frio para proteção dos TC's</t>
  </si>
  <si>
    <t>Caixa metálica de 1800 x 1500 x 380 mm em chapa de ferro 18 para medição</t>
  </si>
  <si>
    <t>Caixa metálica de 300 x 250 x 90 mm em chapa de aço 18 MSG (1,27mm espessura), laminada a frio para proteção dos bornes</t>
  </si>
  <si>
    <t>Caixa para acomodar as luvas</t>
  </si>
  <si>
    <t>Cela para cruzeta</t>
  </si>
  <si>
    <t>Chave load buster de 100A/25 kV - NBI: 150 kV</t>
  </si>
  <si>
    <t>Condutor isolado sólido, isolação PVC 70° 450/750V, seção 2,5mm² - fase - cor vermelho, preto ou branco</t>
  </si>
  <si>
    <t>Cruzeta de madeira de 90x90x2000mm</t>
  </si>
  <si>
    <t>Disjuntor tipo caixa moldada de 300A, 220V, Icu: 20kA, com ajuste de tolerância de 10%</t>
  </si>
  <si>
    <t>Merlin Gerin</t>
  </si>
  <si>
    <t>Elo fusível 3H</t>
  </si>
  <si>
    <t>Bussman</t>
  </si>
  <si>
    <t xml:space="preserve">Extintor CO2 6 kg </t>
  </si>
  <si>
    <t>Isolador tipo bujão 45 x 45 mm</t>
  </si>
  <si>
    <t>Isolador tipo disco de 6"</t>
  </si>
  <si>
    <t>Isolador tipo pino classe 25 kV</t>
  </si>
  <si>
    <t>Isolador tipo roldana de 76x79 mm</t>
  </si>
  <si>
    <t>Luvas de raspa</t>
  </si>
  <si>
    <t>Manilha sapatilha</t>
  </si>
  <si>
    <t>Mão francesa tipo beco 990 mm</t>
  </si>
  <si>
    <t>Mufla de 4" classe 25 kV</t>
  </si>
  <si>
    <t>Par de luvas de borracha classe 3</t>
  </si>
  <si>
    <t>Parafuso duplo M16 x 500 mm com 4 porcas e arruelas</t>
  </si>
  <si>
    <t xml:space="preserve">Parafuso francês M16 x 45 mm </t>
  </si>
  <si>
    <t>Parafuso francês M16 x 75 mm</t>
  </si>
  <si>
    <t xml:space="preserve">Parafuso francês M16 x 150 mm </t>
  </si>
  <si>
    <t xml:space="preserve">Para-raio polimérico 21 kV - 10 kA </t>
  </si>
  <si>
    <t>Pino para isolador 25 kV</t>
  </si>
  <si>
    <t>Placa "Não manobrar com carga."</t>
  </si>
  <si>
    <t>Placa "Perigo de morte."</t>
  </si>
  <si>
    <t>Porca olhal</t>
  </si>
  <si>
    <t>Poste circular de 12 m tração 1000 daN</t>
  </si>
  <si>
    <t>Split-bolt em latão estanhado com furo vertical Ø 10mm para dabo de até 70mm² - TEL 5021</t>
  </si>
  <si>
    <t>Suporte de escada 340 mm com cinta</t>
  </si>
  <si>
    <t xml:space="preserve">Suporte de para-raio </t>
  </si>
  <si>
    <t>Suporte para chave seccionadora</t>
  </si>
  <si>
    <t xml:space="preserve">Suporte para transformador tipo 3 - 285 mm </t>
  </si>
  <si>
    <t>Terminal estanhado de 2 furos e 1 compressão - 185mm²</t>
  </si>
  <si>
    <t>Tratamento químico</t>
  </si>
  <si>
    <t xml:space="preserve">Vara de manobra de 3 m </t>
  </si>
  <si>
    <t>Posto primário simplificado de 112,5 kVA, 23.1 kV/220-127V</t>
  </si>
  <si>
    <t>Posto primário simplificado de 150 kVA, 23.1 kV/220-127V completo</t>
  </si>
  <si>
    <t>Disjuntor tipo caixa moldada de 400A, 220V, Icu: 20kA, com ajuste de tolerância de 10%</t>
  </si>
  <si>
    <t>Elo fusível 5K</t>
  </si>
  <si>
    <t xml:space="preserve">Transformador de serviço de 150 kVA, 23.1 kV/220-127V, massa com óleo\&lt;1200Kg-NTE-049-1 </t>
  </si>
  <si>
    <t>Posto primário simplificado de 150 kVA, 23.1 kV/220-127V</t>
  </si>
  <si>
    <t>Posto primário simplificado de 225 kVA, 23.1 kV/220-127V completo</t>
  </si>
  <si>
    <t>Disjuntor tipo caixa moldada de 600A, 220V, Icu: 20kA, com ajuste de tolerância de 10%</t>
  </si>
  <si>
    <t>Elo fusível 6K</t>
  </si>
  <si>
    <t xml:space="preserve">Transformador de serviço de 225 kVA, 23.1 kV/220-127V, massa com óleo\&lt;1200Kg-NTE-049-1 </t>
  </si>
  <si>
    <t>Posto primário simplificado de 225 kVA, 23.1 kV/220-127V</t>
  </si>
  <si>
    <t>Posto primário simplificado de 300 kVA, 23.1 kV/220-127V completo</t>
  </si>
  <si>
    <t>Disjuntor tipo caixa moldada de 800A, 220V, Icu: 20kA, com ajuste de tolerância de 10%</t>
  </si>
  <si>
    <t>Elo fusível 8K</t>
  </si>
  <si>
    <t>Terminal estanhado de 2 furos e 1 compressão - 240mm²</t>
  </si>
  <si>
    <t xml:space="preserve">Transformador de serviço de 300 kVA, 23.1 kV/220-127V, massa com óleo\&lt;1200Kg-NTE-049-1 </t>
  </si>
  <si>
    <t>Posto primário simplificado de 300 kVA, 23.1 kV/220-127V</t>
  </si>
  <si>
    <t>Presilha tipo "C" em latão</t>
  </si>
  <si>
    <t>Parafuso autotarrachante em aço inox Ø 4,2 x 50mm - TEL 5385</t>
  </si>
  <si>
    <t>Presilha tipo "C" em latão estanhado, furo Ø 5mm para cabos de até 70mm² - TEL 746</t>
  </si>
  <si>
    <t>Projetor fechado, à prova do tempo, para lâmpada de vapor metálico de 400W - fixação em parede</t>
  </si>
  <si>
    <t>Projetor fechado, à prova do tempo, com base E40, para lâmpada de vapor metálico de 400W</t>
  </si>
  <si>
    <t>Projetor fechado, à prova do tempo, para lâmpada de vapor metálico de 400W - fixação em poste de 10m</t>
  </si>
  <si>
    <t>Projetor fechado, à prova do tempo, para lâmpada de vapor metálico de 400W - fixação em poste de 12m</t>
  </si>
  <si>
    <t>Projetor fechado, à prova do tempo, para lâmpada de vapor metálico de 400W - fixação em poste de 8m</t>
  </si>
  <si>
    <t>Pulsador para campainha cigarra</t>
  </si>
  <si>
    <t>Pulsador para campainha cigarra 127V</t>
  </si>
  <si>
    <t>QDEE</t>
  </si>
  <si>
    <t>QDF-AR</t>
  </si>
  <si>
    <t>Fabricante da bomba</t>
  </si>
  <si>
    <t>QDF-AR-AUDITÓRIO</t>
  </si>
  <si>
    <t>QDF-B. INC.</t>
  </si>
  <si>
    <t>QDF-B. INC. A</t>
  </si>
  <si>
    <t>QDF-B. INC. B</t>
  </si>
  <si>
    <t>QDF-B. INC. C</t>
  </si>
  <si>
    <t>QDF-B. INC. D</t>
  </si>
  <si>
    <t>QDF-B. INC. E</t>
  </si>
  <si>
    <t>QDF-B. INC. F</t>
  </si>
  <si>
    <t>QDF-B. REC.</t>
  </si>
  <si>
    <t>QDF-B. REC. A</t>
  </si>
  <si>
    <t>QDF-B. REC. B</t>
  </si>
  <si>
    <t>QDF-B. REC. C</t>
  </si>
  <si>
    <t>QDF-B. REC. D</t>
  </si>
  <si>
    <t>QDF-B. REC. E</t>
  </si>
  <si>
    <t>QDF-B. REC. F</t>
  </si>
  <si>
    <t>QDF-ESPELHO D'ÁGUA</t>
  </si>
  <si>
    <t>QDF-PISCINA</t>
  </si>
  <si>
    <t>QDF-PISCINA ADULTO</t>
  </si>
  <si>
    <t>QDF-PISCINA INFANTIL</t>
  </si>
  <si>
    <t>QDF-PRESS.</t>
  </si>
  <si>
    <t>QDF-PRESS. A</t>
  </si>
  <si>
    <t>QDF-PRESS. B</t>
  </si>
  <si>
    <t>QDF-PRESS. C</t>
  </si>
  <si>
    <t>QDF-PRESS. D</t>
  </si>
  <si>
    <t>QDF-PRESS. E</t>
  </si>
  <si>
    <t>QDF-PRESS. F</t>
  </si>
  <si>
    <t>QDF-SPRINKLER</t>
  </si>
  <si>
    <t>QDG</t>
  </si>
  <si>
    <t>QDG-ADM</t>
  </si>
  <si>
    <t>QDG-ADM A</t>
  </si>
  <si>
    <t>QDG-ADM B</t>
  </si>
  <si>
    <t>QDG-ADM C</t>
  </si>
  <si>
    <t>QDG-ADM D</t>
  </si>
  <si>
    <t>QDG-ADM E</t>
  </si>
  <si>
    <t>QDG-ADM F</t>
  </si>
  <si>
    <t>QDG-GER</t>
  </si>
  <si>
    <t>QDLF-01</t>
  </si>
  <si>
    <t>QDLF-02</t>
  </si>
  <si>
    <t>QDLF-03</t>
  </si>
  <si>
    <t>QDLF-04</t>
  </si>
  <si>
    <t>QDLF-05</t>
  </si>
  <si>
    <t>QDLF-06</t>
  </si>
  <si>
    <t>QDLF-ADM</t>
  </si>
  <si>
    <t>QDLF-ADM A</t>
  </si>
  <si>
    <t>QDLF-ADM B</t>
  </si>
  <si>
    <t>QDLF-ADM C</t>
  </si>
  <si>
    <t>QDLF-ADM D</t>
  </si>
  <si>
    <t>QDLF-ADM E</t>
  </si>
  <si>
    <t>QDLF-ADM F</t>
  </si>
  <si>
    <t>QDLF-AUDITÓRIO</t>
  </si>
  <si>
    <t>QDLF-FESTAS</t>
  </si>
  <si>
    <t>QDLF-INFERIOR</t>
  </si>
  <si>
    <t>QDLF-JOGOS</t>
  </si>
  <si>
    <t>QDLF-KIDS</t>
  </si>
  <si>
    <t>QDLF-LAZER</t>
  </si>
  <si>
    <t>QDLF-MULHER</t>
  </si>
  <si>
    <t>QDLF-PORTARIA</t>
  </si>
  <si>
    <t>QDLF-QUADRA</t>
  </si>
  <si>
    <t>QDLF-SOBRESSOLO</t>
  </si>
  <si>
    <t>QDLF-SOBRESSOLO 1</t>
  </si>
  <si>
    <t>QDLF-SOBRESSOLO 2</t>
  </si>
  <si>
    <t>QDLF-SOBRESSOLO 3</t>
  </si>
  <si>
    <t>QDLF-SOBRESSOLO 4</t>
  </si>
  <si>
    <t>QDLF-SUBSOLO</t>
  </si>
  <si>
    <t>QDLF-SUBSOLO 1</t>
  </si>
  <si>
    <t>QDLF-SUBSOLO 2</t>
  </si>
  <si>
    <t>QDLF-SUBSOLO 3</t>
  </si>
  <si>
    <t>QDLF-SUBSOLO 4</t>
  </si>
  <si>
    <t>QDLF-SUPERIOR</t>
  </si>
  <si>
    <t>QDLF-TEEN</t>
  </si>
  <si>
    <t>QDLF-TÉRREO</t>
  </si>
  <si>
    <t>QDLF-TIPO</t>
  </si>
  <si>
    <t>QDLF-TIPO 1</t>
  </si>
  <si>
    <t>QDLF-TIPO 2</t>
  </si>
  <si>
    <t>QDLF-TIPO 3</t>
  </si>
  <si>
    <t>QDLF-TIPO 4</t>
  </si>
  <si>
    <t>QDT-AUDITÓRIO - Quadro de distribuição de telecomunicações tipo vdi</t>
  </si>
  <si>
    <t>QDT-INFERIOR - Quadro de distribuição de telecomunicações tipo vdi</t>
  </si>
  <si>
    <t>QDT-INFO - Quadro de distribuição de telecomunicações tipo vdi</t>
  </si>
  <si>
    <t>QDT-SUPERIOR - Quadro de distribuição de telecomunicações tipo vdi</t>
  </si>
  <si>
    <t>QDT-TÉRREO - Quadro de distribuição de telecomunicações tipo vdi</t>
  </si>
  <si>
    <t>QDT-TIPO - Quadro de distribuição de telecomunicações tipo vdi</t>
  </si>
  <si>
    <t>QDT-TIPO 1 - Quadro de distribuição de telecomunicações tipo vdi</t>
  </si>
  <si>
    <t>QDT-TIPO 2 - Quadro de distribuição de telecomunicações tipo vdi</t>
  </si>
  <si>
    <t>QDT-TIPO 3 - Quadro de distribuição de telecomunicações tipo vdi</t>
  </si>
  <si>
    <t>QDT-TIPO 4 - Quadro de distribuição de telecomunicações tipo vdi</t>
  </si>
  <si>
    <t>QGBT</t>
  </si>
  <si>
    <t>Entrada de energia coletiva conforme projeto (quadros de medidores da entrada coletiva, BEP, DPS, aterramento, etc.)</t>
  </si>
  <si>
    <t>RACK para telecomunicações</t>
  </si>
  <si>
    <t>Redução concêntrica de eletrocalha 200x100 para 100x100</t>
  </si>
  <si>
    <t>Redução concêntrica tipo "U" de eletrocalha 200x100 para 100x100 em aço pré zincado à fogo chapa #16</t>
  </si>
  <si>
    <t>Tampa lisa de encaixe para redução concêntrica tipo "U" de eletrocalha 200x100 para 100x100</t>
  </si>
  <si>
    <t>Redução concêntrica de eletrocalha 300x100 para 100x100</t>
  </si>
  <si>
    <t>Redução concêntrica tipo "U" de eletrocalha 300x100 para 100x100 em aço pré zincado à fogo chapa #16</t>
  </si>
  <si>
    <t>Tampa lisa de encaixe para redução concêntrica tipo "U" de eletrocalha 300x100 para 100x100</t>
  </si>
  <si>
    <t>Redução concêntrica de eletrocalha 400x100 para 100x100</t>
  </si>
  <si>
    <t>Redução concêntrica tipo "U" de eletrocalha 400x100 para 100x100 em aço pré zincado à fogo chapa #16</t>
  </si>
  <si>
    <t>Tampa lisa de encaixe para redução concêntrica tipo "U" de eletrocalha 400x100 para 100x100</t>
  </si>
  <si>
    <t>Redução concêntrica de eletrocalha 500x100 para 100x100</t>
  </si>
  <si>
    <t>Redução concêntrica tipo "U" de eletrocalha 500x100 para 100x100 em aço pré zincado à fogo chapa #16</t>
  </si>
  <si>
    <t>Tampa lisa de encaixe para redução concêntrica tipo "U" de eletrocalha 500x100 para 100x100</t>
  </si>
  <si>
    <t>Redução concêntrica de eletrocalha 600x100 para 100x100</t>
  </si>
  <si>
    <t>Redução concêntrica tipo "U" de eletrocalha 600x100 para 100x100 em aço pré zincado à fogo chapa #16</t>
  </si>
  <si>
    <t>Tampa lisa de encaixe para redução concêntrica tipo "U" de eletrocalha 600x100 para 100x100</t>
  </si>
  <si>
    <t>Redução concêntrica de eletrocalha 300x100 para 200x100</t>
  </si>
  <si>
    <t>Redução concêntrica tipo "U" de eletrocalha 300x100 para 200x100 em aço pré zincado à fogo chapa #16</t>
  </si>
  <si>
    <t>Tampa lisa de encaixe para redução concêntrica tipo "U" de eletrocalha 300x100 para 200x100</t>
  </si>
  <si>
    <t>Redução concêntrica de eletrocalha 400x100 para 200x100</t>
  </si>
  <si>
    <t>Redução concêntrica tipo "U" de eletrocalha 400x100 para 200x100 em aço pré zincado à fogo chapa #16</t>
  </si>
  <si>
    <t>Tampa lisa de encaixe para redução concêntrica tipo "U" de eletrocalha 400x100 para 200x100</t>
  </si>
  <si>
    <t>Redução concêntrica de eletrocalha 500x100 para 200x100</t>
  </si>
  <si>
    <t>Redução concêntrica tipo "U" de eletrocalha 500x100 para 200x100 em aço pré zincado à fogo chapa #16</t>
  </si>
  <si>
    <t>Tampa lisa de encaixe para redução concêntrica tipo "U" de eletrocalha 500x100 para 200x100</t>
  </si>
  <si>
    <t>Redução concêntrica de eletrocalha 600x100 para 200x100</t>
  </si>
  <si>
    <t>Redução concêntrica tipo "U" de eletrocalha 600x100 para 200x100 em aço pré zincado à fogo chapa #16</t>
  </si>
  <si>
    <t>Tampa lisa de encaixe para redução concêntrica tipo "U" de eletrocalha 600x100 para 200x100</t>
  </si>
  <si>
    <t>Redução concêntrica de eletrocalha 400x100 para 300x100</t>
  </si>
  <si>
    <t>Redução concêntrica tipo "U" de eletrocalha 400x100 para 300x100 em aço pré zincado à fogo chapa #16</t>
  </si>
  <si>
    <t>Tampa lisa de encaixe para redução concêntrica tipo "U" de eletrocalha 400x100 para 300x100</t>
  </si>
  <si>
    <t>Redução concêntrica de eletrocalha 500x100 para 300x100</t>
  </si>
  <si>
    <t>Redução concêntrica tipo "U" de eletrocalha 500x100 para 300x100 em aço pré zincado à fogo chapa #16</t>
  </si>
  <si>
    <t>Tampa lisa de encaixe para redução concêntrica tipo "U" de eletrocalha 500x100 para 300x100</t>
  </si>
  <si>
    <t>Redução concêntrica de eletrocalha 600x100 para 300x100</t>
  </si>
  <si>
    <t>Redução concêntrica tipo "U" de eletrocalha 600x100 para 300x100 em aço pré zincado à fogo chapa #16</t>
  </si>
  <si>
    <t>Tampa lisa de encaixe para redução concêntrica tipo "U" de eletrocalha 600x100 para 300x100</t>
  </si>
  <si>
    <t>Redução concêntrica de eletrocalha 500x100 para 400x100</t>
  </si>
  <si>
    <t>Redução concêntrica tipo "U" de eletrocalha 500x100 para 400x100 em aço pré zincado à fogo chapa #16</t>
  </si>
  <si>
    <t>Tampa lisa de encaixe para redução concêntrica tipo "U" de eletrocalha 500x100 para 400x100</t>
  </si>
  <si>
    <t>Redução concêntrica de eletrocalha 600x100 para 400x100</t>
  </si>
  <si>
    <t>Redução concêntrica tipo "U" de eletrocalha 600x100 para 400x100 em aço pré zincado à fogo chapa #16</t>
  </si>
  <si>
    <t>Tampa lisa de encaixe para redução concêntrica tipo "U" de eletrocalha 600x100 para 400x100</t>
  </si>
  <si>
    <t>Redução concêntrica de eletrocalha 600x100 para 500x100</t>
  </si>
  <si>
    <t>Redução concêntrica tipo "U" de eletrocalha 600x100 para 500x100 em aço pré zincado à fogo chapa #16</t>
  </si>
  <si>
    <t>Tampa lisa de encaixe para redução concêntrica tipo "U" de eletrocalha 600x100 para 500x100</t>
  </si>
  <si>
    <t>Redução à direita de eletrocalha 200x100 para 100x100</t>
  </si>
  <si>
    <t>Redução à direita tipo "U" de eletrocalha 200x100 para 100x100 em aço pré zincado à fogo chapa #16</t>
  </si>
  <si>
    <t>Tampa lisa de encaixe para redução à direita tipo "U" de eletrocalha 200x100 para 100x100</t>
  </si>
  <si>
    <t>Redução à direita de eletrocalha 300x100 para 100x100</t>
  </si>
  <si>
    <t>Redução à direita tipo "U" de eletrocalha 300x100 para 100x100 em aço pré zincado à fogo chapa #16</t>
  </si>
  <si>
    <t>Tampa lisa de encaixe para redução à direita tipo "U" de eletrocalha 300x100 para 100x100</t>
  </si>
  <si>
    <t>Redução à direita de eletrocalha 400x100 para 100x100</t>
  </si>
  <si>
    <t>Redução à direita tipo "U" de eletrocalha 400x100 para 100x100 em aço pré zincado à fogo chapa #16</t>
  </si>
  <si>
    <t>Tampa lisa de encaixe para redução à direita tipo "U" de eletrocalha 400x100 para 100x100</t>
  </si>
  <si>
    <t>Redução à direita de eletrocalha 500x100 para 100x100</t>
  </si>
  <si>
    <t>Redução à direita tipo "U" de eletrocalha 500x100 para 100x100 em aço pré zincado à fogo chapa #16</t>
  </si>
  <si>
    <t>Tampa lisa de encaixe para redução à direita tipo "U" de eletrocalha 500x100 para 100x100</t>
  </si>
  <si>
    <t>Redução à direita de eletrocalha 600x100 para 100x100</t>
  </si>
  <si>
    <t>Redução à direita tipo "U" de eletrocalha 600x100 para 100x100 em aço pré zincado à fogo chapa #16</t>
  </si>
  <si>
    <t>Tampa lisa de encaixe para redução à direita tipo "U" de eletrocalha 600x100 para 100x100</t>
  </si>
  <si>
    <t>Redução à direita de eletrocalha 300x100 para 200x100</t>
  </si>
  <si>
    <t>Redução à direita tipo "U" de eletrocalha 300x100 para 200x100 em aço pré zincado à fogo chapa #16</t>
  </si>
  <si>
    <t>Tampa lisa de encaixe para redução à direita tipo "U" de eletrocalha 300x100 para 200x100</t>
  </si>
  <si>
    <t>Redução à direita de eletrocalha 400x100 para 200x100</t>
  </si>
  <si>
    <t>Redução à direita tipo "U" de eletrocalha 400x100 para 200x100 em aço pré zincado à fogo chapa #16</t>
  </si>
  <si>
    <t>Tampa lisa de encaixe para redução à direita tipo "U" de eletrocalha 400x100 para 200x100</t>
  </si>
  <si>
    <t>Redução à direita de eletrocalha 500x100 para 200x100</t>
  </si>
  <si>
    <t>Redução à direita tipo "U" de eletrocalha 500x100 para 200x100 em aço pré zincado à fogo chapa #16</t>
  </si>
  <si>
    <t>Tampa lisa de encaixe para redução à direita tipo "U" de eletrocalha 500x100 para 200x100</t>
  </si>
  <si>
    <t>Redução à direita de eletrocalha 600x100 para 200x100</t>
  </si>
  <si>
    <t>Redução à direita tipo "U" de eletrocalha 600x100 para 200x100 em aço pré zincado à fogo chapa #16</t>
  </si>
  <si>
    <t>Tampa lisa de encaixe para redução à direita tipo "U" de eletrocalha 600x100 para 200x100</t>
  </si>
  <si>
    <t>Redução à direita de eletrocalha 400x100 para 300x100</t>
  </si>
  <si>
    <t>Redução à direita tipo "U" de eletrocalha 400x100 para 300x100 em aço pré zincado à fogo chapa #16</t>
  </si>
  <si>
    <t>Tampa lisa de encaixe para redução à direita tipo "U" de eletrocalha 400x100 para 300x100</t>
  </si>
  <si>
    <t>Redução à direita de eletrocalha 500x100 para 300x100</t>
  </si>
  <si>
    <t>Redução à direita tipo "U" de eletrocalha 500x100 para 300x100 em aço pré zincado à fogo chapa #16</t>
  </si>
  <si>
    <t>Tampa lisa de encaixe para redução à direita tipo "U" de eletrocalha 500x100 para 300x100</t>
  </si>
  <si>
    <t>Redução à direita de eletrocalha 600x100 para 300x100</t>
  </si>
  <si>
    <t>Redução à direita tipo "U" de eletrocalha 600x100 para 300x100 em aço pré zincado à fogo chapa #16</t>
  </si>
  <si>
    <t>Tampa lisa de encaixe para redução à direita tipo "U" de eletrocalha 600x100 para 300x100</t>
  </si>
  <si>
    <t>Redução à direita de eletrocalha 500x100 para 400x100</t>
  </si>
  <si>
    <t>Redução à direita tipo "U" de eletrocalha 500x100 para 400x100 em aço pré zincado à fogo chapa #16</t>
  </si>
  <si>
    <t>Tampa lisa de encaixe para redução à direita tipo "U" de eletrocalha 500x100 para 400x100</t>
  </si>
  <si>
    <t>Redução à direita de eletrocalha 600x100 para 400x100</t>
  </si>
  <si>
    <t>Redução à direita tipo "U" de eletrocalha 600x100 para 400x100 em aço pré zincado à fogo chapa #16</t>
  </si>
  <si>
    <t>Tampa lisa de encaixe para redução à direita tipo "U" de eletrocalha 600x100 para 400x100</t>
  </si>
  <si>
    <t>Redução à direita de eletrocalha 600x100 para 500x100</t>
  </si>
  <si>
    <t>Redução à direita tipo "U" de eletrocalha 600x100 para 500x100 em aço pré zincado à fogo chapa #16</t>
  </si>
  <si>
    <t>Tampa lisa de encaixe para redução à direita tipo "U" de eletrocalha 600x100 para 500x100</t>
  </si>
  <si>
    <t>Redução à esquerda de eletrocalha 200x100 para 100x100</t>
  </si>
  <si>
    <t>Redução à esquerda tipo "U" de eletrocalha 200x100 para 100x100 em aço pré zincado à fogo chapa #16</t>
  </si>
  <si>
    <t>Tampa lisa de encaixe para redução à esquerda tipo "U" de eletrocalha 200x100 para 100x100</t>
  </si>
  <si>
    <t>Redução à esquerda de eletrocalha 300x100 para 100x100</t>
  </si>
  <si>
    <t>Redução à esquerda tipo "U" de eletrocalha 300x100 para 100x100 em aço pré zincado à fogo chapa #16</t>
  </si>
  <si>
    <t>Tampa lisa de encaixe para redução à esquerda tipo "U" de eletrocalha 300x100 para 100x100</t>
  </si>
  <si>
    <t>Redução à esquerda de eletrocalha 400x100 para 100x100</t>
  </si>
  <si>
    <t>Redução à esquerda tipo "U" de eletrocalha 400x100 para 100x100 em aço pré zincado à fogo chapa #16</t>
  </si>
  <si>
    <t>Tampa lisa de encaixe para redução à esquerda tipo "U" de eletrocalha 400x100 para 100x100</t>
  </si>
  <si>
    <t>Redução à esquerda de eletrocalha 500x100 para 100x100</t>
  </si>
  <si>
    <t>Redução à esquerda tipo "U" de eletrocalha 500x100 para 100x100 em aço pré zincado à fogo chapa #16</t>
  </si>
  <si>
    <t>Tampa lisa de encaixe para redução à esquerda tipo "U" de eletrocalha 500x100 para 100x100</t>
  </si>
  <si>
    <t>Redução à esquerda de eletrocalha 600x100 para 100x100</t>
  </si>
  <si>
    <t>Redução à esquerda tipo "U" de eletrocalha 600x100 para 100x100 em aço pré zincado à fogo chapa #16</t>
  </si>
  <si>
    <t>Tampa lisa de encaixe para redução à esquerda tipo "U" de eletrocalha 600x100 para 100x100</t>
  </si>
  <si>
    <t>Redução à esquerda de eletrocalha 300x100 para 200x100</t>
  </si>
  <si>
    <t>Redução à esquerda tipo "U" de eletrocalha 300x100 para 200x100 em aço pré zincado à fogo chapa #16</t>
  </si>
  <si>
    <t>Tampa lisa de encaixe para redução à esquerda tipo "U" de eletrocalha 300x100 para 200x100</t>
  </si>
  <si>
    <t>Redução à esquerda de eletrocalha 400x100 para 200x100</t>
  </si>
  <si>
    <t>Redução à esquerda tipo "U" de eletrocalha 400x100 para 200x100 em aço pré zincado à fogo chapa #16</t>
  </si>
  <si>
    <t>Tampa lisa de encaixe para redução à esquerda tipo "U" de eletrocalha 400x100 para 200x100</t>
  </si>
  <si>
    <t>Redução à esquerda de eletrocalha 500x100 para 200x100</t>
  </si>
  <si>
    <t>Redução à esquerda tipo "U" de eletrocalha 500x100 para 200x100 em aço pré zincado à fogo chapa #16</t>
  </si>
  <si>
    <t>Tampa lisa de encaixe para redução à esquerda tipo "U" de eletrocalha 500x100 para 200x100</t>
  </si>
  <si>
    <t>Redução à esquerda de eletrocalha 600x100 para 200x100</t>
  </si>
  <si>
    <t>Redução à esquerda tipo "U" de eletrocalha 600x100 para 200x100 em aço pré zincado à fogo chapa #16</t>
  </si>
  <si>
    <t>Tampa lisa de encaixe para redução à esquerda tipo "U" de eletrocalha 600x100 para 200x100</t>
  </si>
  <si>
    <t>Redução à esquerda de eletrocalha 400x100 para 300x100</t>
  </si>
  <si>
    <t>Redução à esquerda tipo "U" de eletrocalha 400x100 para 300x100 em aço pré zincado à fogo chapa #16</t>
  </si>
  <si>
    <t>Tampa lisa de encaixe para redução à esquerda tipo "U" de eletrocalha 400x100 para 300x100</t>
  </si>
  <si>
    <t>Redução à esquerda de eletrocalha 500x100 para 300x100</t>
  </si>
  <si>
    <t>Redução à esquerda tipo "U" de eletrocalha 500x100 para 300x100 em aço pré zincado à fogo chapa #16</t>
  </si>
  <si>
    <t>Tampa lisa de encaixe para redução à esquerda tipo "U" de eletrocalha 500x100 para 300x100</t>
  </si>
  <si>
    <t>Redução à esquerda de eletrocalha 600x100 para 300x100</t>
  </si>
  <si>
    <t>Redução à esquerda tipo "U" de eletrocalha 600x100 para 300x100 em aço pré zincado à fogo chapa #16</t>
  </si>
  <si>
    <t>Tampa lisa de encaixe para redução à esquerda tipo "U" de eletrocalha 600x100 para 300x100</t>
  </si>
  <si>
    <t>Redução à esquerda de eletrocalha 500x100 para 400x100</t>
  </si>
  <si>
    <t>Redução à esquerda tipo "U" de eletrocalha 500x100 para 400x100 em aço pré zincado à fogo chapa #16</t>
  </si>
  <si>
    <t>Tampa lisa de encaixe para redução à esquerda tipo "U" de eletrocalha 500x100 para 400x100</t>
  </si>
  <si>
    <t>Redução à esquerda de eletrocalha 600x100 para 400x100</t>
  </si>
  <si>
    <t>Redução à esquerda tipo "U" de eletrocalha 600x100 para 400x100 em aço pré zincado à fogo chapa #16</t>
  </si>
  <si>
    <t>Tampa lisa de encaixe para redução à esquerda tipo "U" de eletrocalha 600x100 para 400x100</t>
  </si>
  <si>
    <t>Redução à esquerda de eletrocalha 600x100 para 500x100</t>
  </si>
  <si>
    <t>Redução à esquerda tipo "U" de eletrocalha 600x100 para 500x100 em aço pré zincado à fogo chapa #16</t>
  </si>
  <si>
    <t>Tampa lisa de encaixe para redução à esquerda tipo "U" de eletrocalha 600x100 para 500x100</t>
  </si>
  <si>
    <t>Saída horizontal de eletrocalha para perfilado 19x19</t>
  </si>
  <si>
    <t>Saída horizontal de eletrocalha para perfilado 38x38</t>
  </si>
  <si>
    <t>Saída horizontal de eletrocalha/perfilado para eletroduto de Ø 3/4"</t>
  </si>
  <si>
    <t>Saída horizontal de eletrocalha/perfilado para eletroduto de Ø 1"</t>
  </si>
  <si>
    <t>Saída horizontal de eletrocalha/perfilado para eletroduto de Ø 1.1/4"</t>
  </si>
  <si>
    <t>Saída horizontal de eletrocalha/perfilado para eletroduto de Ø 1.1/2"</t>
  </si>
  <si>
    <t>Saída horizontal de eletrocalha/perfilado para eletroduto de Ø 2"</t>
  </si>
  <si>
    <t>Saída horizontal de eletrocalha/perfilado para eletroduto de Ø 2.1/2"</t>
  </si>
  <si>
    <t>Saída horizontal de eletrocalha/perfilado para eletroduto de Ø 3"</t>
  </si>
  <si>
    <t>Saída horizontal de eletrocalha/perfilado para eletroduto de Ø 4"</t>
  </si>
  <si>
    <t>Sapata interna para perfilado 19x19</t>
  </si>
  <si>
    <t>Sapata interna para perfilado 38x38</t>
  </si>
  <si>
    <t>Sensor de presença</t>
  </si>
  <si>
    <t>Sinalizador de garagem sequencial</t>
  </si>
  <si>
    <t>Sinalizador de garagem sequencial com 2 soquetes E27</t>
  </si>
  <si>
    <t>Lâmpada de LED tipo bola, soquete E27, 15W - 127V</t>
  </si>
  <si>
    <t>Philips</t>
  </si>
  <si>
    <t>Sirene do sistema de detecção e alarme de incêndio</t>
  </si>
  <si>
    <t>Solda exotérmica</t>
  </si>
  <si>
    <t>Tela em inox para equipotencialização - largura 242mm, espessura 1,5mm</t>
  </si>
  <si>
    <t>Terminal aéreo de inserção em aço galvanizado - fixação horizontal</t>
  </si>
  <si>
    <t>Fixador universal estanhado para cabos de até 70mm² - TEL 5024</t>
  </si>
  <si>
    <t>Terminal aéreo de inserção em aço galvanizado de Ø 3/8" x 600mm - TEL 5126</t>
  </si>
  <si>
    <t>Terminal estanhado de 1 furo e 1 compressão - 50mm² - TEL 5150</t>
  </si>
  <si>
    <t>Terminal aéreo de inserção em aço galvanizado - fixação horizontal em base</t>
  </si>
  <si>
    <t>Split-bolt em latão estanhado com furo vertical Ø 10mm para cabos de até 70mm² - TEL 5021</t>
  </si>
  <si>
    <t>Terminal aéreo de inserção em aço galvanizado de Ø 5/16" x 600mm - TEL 056</t>
  </si>
  <si>
    <t>Terminal aéreo de inserção em aço galvanizado - fixação vertical</t>
  </si>
  <si>
    <t>Terminal aéreo de inserção em aço galvanizado de Ø 5/16" x 600mm - TEL 057</t>
  </si>
  <si>
    <t>Terminal estanhado de 1 furo e 1 compressão - 35mm²</t>
  </si>
  <si>
    <t>Arruela lisa em aço inox 1/4" - TEL 5303</t>
  </si>
  <si>
    <t>Terminal estanhado de 1 furo e 1 compressão - 35mm² - TEL 5135</t>
  </si>
  <si>
    <t>Parafuso sextavado em aço inox Ø 1/4" x 1.1/4" - TEL 5329</t>
  </si>
  <si>
    <t>Terminal estanhado de 1 furo e 1 compressão - 50mm²</t>
  </si>
  <si>
    <t>Tomada bifásica</t>
  </si>
  <si>
    <t>Tomada monofásica em canaleta DLP</t>
  </si>
  <si>
    <t>Placa para mecanismo Pial Plus 1 posto para canaleta DLP Evolutiva</t>
  </si>
  <si>
    <t>Tomada bifásica em condulete</t>
  </si>
  <si>
    <t>Tomada bifásica no piso</t>
  </si>
  <si>
    <t>Espelho de interruptor 4x2" em alumínio para piso com tampa tipo unha</t>
  </si>
  <si>
    <t>Suporte 4x2" para piso</t>
  </si>
  <si>
    <t>Tomada de interfone</t>
  </si>
  <si>
    <t>Tomada de interfone no piso</t>
  </si>
  <si>
    <t>Módulo de tomada tomada para interfone</t>
  </si>
  <si>
    <t>Tomada de rede</t>
  </si>
  <si>
    <t>Módulo de tomada para rede RJ45</t>
  </si>
  <si>
    <t>Tomada de rede em canaleta DLP</t>
  </si>
  <si>
    <t>Tomada de rede no piso</t>
  </si>
  <si>
    <t>Tomada de telefone</t>
  </si>
  <si>
    <t>Tomada de telefone no piso</t>
  </si>
  <si>
    <t>Tomada de TV</t>
  </si>
  <si>
    <t>Tomada de TV no piso</t>
  </si>
  <si>
    <t>Tomada monofásica</t>
  </si>
  <si>
    <t>Tomada monofásica em condulete</t>
  </si>
  <si>
    <t>Tomada monofásica no piso</t>
  </si>
  <si>
    <t>Tomada monofásica para iluminação de emergência</t>
  </si>
  <si>
    <t>Tomada monofásica para iluminação de emergência em condulete</t>
  </si>
  <si>
    <t>Tomada trifásica</t>
  </si>
  <si>
    <t>Módulo de tomada universal branca de 3 pinos 3P+T, 16A, 250V</t>
  </si>
  <si>
    <t>Tomada trifásica em condulete</t>
  </si>
  <si>
    <t>Módulo de tomada universal branca de 3 pinos 3P+T, 16A, 250V para condulete</t>
  </si>
  <si>
    <t>"T" horizontal 90° para eletrocalha 100x50mm</t>
  </si>
  <si>
    <t>Tampa lisa de encaixe para "T" horizontal 90° tipo "U" para eletrocalha 100x50mm</t>
  </si>
  <si>
    <t>"T" horizontal 90° tipo "U" para eletrocalha 100x50mm em aço pré zincado à fogo chapa #16</t>
  </si>
  <si>
    <t>"T" horizontal 90° para eletrocalha 100x100mm</t>
  </si>
  <si>
    <t>Tampa lisa de encaixe para "T" horizontal 90° tipo "U" para eletrocalha 100x100mm</t>
  </si>
  <si>
    <t>"T" horizontal 90° tipo "U" para eletrocalha 100x100mm em aço pré zincado à fogo chapa #16</t>
  </si>
  <si>
    <t>"T" horizontal 90° para eletrocalha 150x100mm</t>
  </si>
  <si>
    <t>Tampa lisa de encaixe para "T" horizontal 90° tipo "U" para eletrocalha 150x100mm</t>
  </si>
  <si>
    <t>"T" horizontal 90° tipo "U" para eletrocalha 150x100mm em aço pré zincado à fogo chapa #16</t>
  </si>
  <si>
    <t>"T" horizontal 90° para eletrocalha 200x100mm</t>
  </si>
  <si>
    <t>Tampa lisa de encaixe para "T" horizontal 90° tipo "U" para eletrocalha 200x100mm</t>
  </si>
  <si>
    <t>"T" horizontal 90° tipo "U" para eletrocalha 200x100mm em aço pré zincado à fogo chapa #16</t>
  </si>
  <si>
    <t>"T" horizontal 90° para eletrocalha 300x100mm</t>
  </si>
  <si>
    <t>Tampa lisa de encaixe para "T" horizontal 90° tipo "U" para eletrocalha 300x100mm</t>
  </si>
  <si>
    <t>"T" horizontal 90° tipo "U" para eletrocalha 300x100mm em aço pré zincado à fogo chapa #16</t>
  </si>
  <si>
    <t>"T" horizontal 90° para eletrocalha 400x100mm</t>
  </si>
  <si>
    <t>Tampa lisa de encaixe para "T" horizontal 90° tipo "U" para eletrocalha 400x100mm</t>
  </si>
  <si>
    <t>"T" horizontal 90° tipo "U" para eletrocalha 400x100mm em aço pré zincado à fogo chapa #16</t>
  </si>
  <si>
    <t>"T" horizontal 90° para eletrocalha 500x100mm</t>
  </si>
  <si>
    <t>Tampa lisa de encaixe para "T" horizontal 90° tipo "U" para eletrocalha 500x100mm</t>
  </si>
  <si>
    <t>"T" horizontal 90° tipo "U" para eletrocalha 500x100mm em aço pré zincado à fogo chapa #16</t>
  </si>
  <si>
    <t>"T" horizontal 90° para eletrocalha 600x100mm</t>
  </si>
  <si>
    <t>Tampa lisa de encaixe para "T" horizontal 90° tipo "U" para eletrocalha 600x100mm</t>
  </si>
  <si>
    <t>"T" horizontal 90° tipo "U" para eletrocalha 600x100mm em aço pré zincado à fogo chapa #16</t>
  </si>
  <si>
    <t>"T" vertical de descida para eletrocalha 100x50mm</t>
  </si>
  <si>
    <t>Tampa lisa de encaixe para "T" vertical de descida tipo "U" para eletrocalha 100x50mm</t>
  </si>
  <si>
    <t>"T" vertical de descida tipo "U" para eletrocalha 100x50mm em aço pré zincado à fogo chapa #16</t>
  </si>
  <si>
    <t>"T" vertical de descida para eletrocalha 100x100mm</t>
  </si>
  <si>
    <t>Tampa lisa de encaixe para "T" vertical de descida tipo "U" para eletrocalha 100x100mm</t>
  </si>
  <si>
    <t>"T" vertical de descida tipo "U" para eletrocalha 100x100mm em aço pré zincado à fogo chapa #16</t>
  </si>
  <si>
    <t>"T" vertical de descida para eletrocalha 150x100mm</t>
  </si>
  <si>
    <t>Tampa lisa de encaixe para "T" vertical de descida tipo "U" para eletrocalha 150x100mm</t>
  </si>
  <si>
    <t>"T" vertical de descida tipo "U" para eletrocalha 150x100mm em aço pré zincado à fogo chapa #16</t>
  </si>
  <si>
    <t>"T" vertical de descida para eletrocalha 200x100mm</t>
  </si>
  <si>
    <t>Tampa lisa de encaixe para "T" vertical de descida tipo "U" para eletrocalha 200x100mm</t>
  </si>
  <si>
    <t>"T" vertical de descida tipo "U" para eletrocalha 200x100mm em aço pré zincado à fogo chapa #16</t>
  </si>
  <si>
    <t>"T" vertical de descida para eletrocalha 300x100mm</t>
  </si>
  <si>
    <t>Tampa lisa de encaixe para "T" vertical de descida tipo "U" para eletrocalha 300x100mm</t>
  </si>
  <si>
    <t>"T" vertical de descida tipo "U" para eletrocalha 300x100mm em aço pré zincado à fogo chapa #16</t>
  </si>
  <si>
    <t>"T" vertical de descida para eletrocalha 400x100mm</t>
  </si>
  <si>
    <t>Tampa lisa de encaixe para "T" vertical de descida tipo "U" para eletrocalha 400x100mm</t>
  </si>
  <si>
    <t>"T" vertical de descida tipo "U" para eletrocalha 400x100mm em aço pré zincado à fogo chapa #16</t>
  </si>
  <si>
    <t>"T" vertical de descida para eletrocalha 500x100mm</t>
  </si>
  <si>
    <t>Tampa lisa de encaixe para "T" vertical de descida tipo "U" para eletrocalha 500x100mm</t>
  </si>
  <si>
    <t>"T" vertical de descida tipo "U" para eletrocalha 500x100mm em aço pré zincado à fogo chapa #16</t>
  </si>
  <si>
    <t>"T" vertical de descida para eletrocalha 600x100mm</t>
  </si>
  <si>
    <t>Tampa lisa de encaixe para "T" vertical de descida tipo "U" para eletrocalha 600x100mm</t>
  </si>
  <si>
    <t>"T" vertical de descida tipo "U" para eletrocalha 600x100mm em aço pré zincado à fogo chapa #16</t>
  </si>
  <si>
    <t>"T" vertical de descida lateral para eletrocalha 100x50mm</t>
  </si>
  <si>
    <t>Tampa lisa de encaixe para "T" vertical de descida lateral tipo "U" para eletrocalha 100x50mm</t>
  </si>
  <si>
    <t>"T" vertical de descida lateral tipo "U" para eletrocalha 100x50mm em aço pré zincado à fogo chapa #16</t>
  </si>
  <si>
    <t>"T" vertical de descida lateral para eletrocalha 100x100mm</t>
  </si>
  <si>
    <t>Tampa lisa de encaixe para "T" vertical de descida lateral tipo "U" para eletrocalha 100x100mm</t>
  </si>
  <si>
    <t>"T" vertical de descida lateral tipo "U" para eletrocalha 100x100mm em aço pré zincado à fogo chapa #16</t>
  </si>
  <si>
    <t>"T" vertical de descida lateral para eletrocalha 150x100mm</t>
  </si>
  <si>
    <t>Tampa lisa de encaixe para "T" vertical de descida lateral tipo "U" para eletrocalha 150x100mm</t>
  </si>
  <si>
    <t>"T" vertical de descida lateral tipo "U" para eletrocalha 150x100mm em aço pré zincado à fogo chapa #16</t>
  </si>
  <si>
    <t>"T" vertical de descida lateral para eletrocalha 200x100mm</t>
  </si>
  <si>
    <t>Tampa lisa de encaixe para "T" vertical de descida lateral tipo "U" para eletrocalha 200x100mm</t>
  </si>
  <si>
    <t>"T" vertical de descida lateral tipo "U" para eletrocalha 200x100mm em aço pré zincado à fogo chapa #16</t>
  </si>
  <si>
    <t>"T" vertical de descida lateral para eletrocalha 300x100mm</t>
  </si>
  <si>
    <t>Tampa lisa de encaixe para "T" vertical de descida lateral tipo "U" para eletrocalha 300x100mm</t>
  </si>
  <si>
    <t>"T" vertical de descida lateral tipo "U" para eletrocalha 300x100mm em aço pré zincado à fogo chapa #16</t>
  </si>
  <si>
    <t>"T" vertical de descida lateral para eletrocalha 400x100mm</t>
  </si>
  <si>
    <t>Tampa lisa de encaixe para "T" vertical de descida lateral tipo "U" para eletrocalha 400x100mm</t>
  </si>
  <si>
    <t>"T" vertical de descida lateral tipo "U" para eletrocalha 400x100mm em aço pré zincado à fogo chapa #16</t>
  </si>
  <si>
    <t>"T" vertical de descida lateral para eletrocalha 500x100mm</t>
  </si>
  <si>
    <t>Tampa lisa de encaixe para "T" vertical de descida lateral tipo "U" para eletrocalha 500x100mm</t>
  </si>
  <si>
    <t>"T" vertical de descida lateral tipo "U" para eletrocalha 500x100mm em aço pré zincado à fogo chapa #16</t>
  </si>
  <si>
    <t>"T" vertical de descida lateral para eletrocalha 600x100mm</t>
  </si>
  <si>
    <t>Tampa lisa de encaixe para "T" vertical de descida lateral tipo "U" para eletrocalha 600x100mm</t>
  </si>
  <si>
    <t>"T" vertical de descida lateral tipo "U" para eletrocalha 600x100mm em aço pré zincado à fogo chapa #16</t>
  </si>
  <si>
    <t>"T" vertical de subida para eletrocalha 100x50mm</t>
  </si>
  <si>
    <t>Tampa lisa de encaixe para "T" vertical de subida tipo "U" para eletrocalha 100x50mm</t>
  </si>
  <si>
    <t>"T" vertical de subida tipo "U" para eletrocalha 100x50mm em aço pré zincado à fogo chapa #16</t>
  </si>
  <si>
    <t>"T" vertical de subida para eletrocalha 100x100mm</t>
  </si>
  <si>
    <t>Tampa lisa de encaixe para "T" vertical de subida tipo "U" para eletrocalha 100x100mm</t>
  </si>
  <si>
    <t>"T" vertical de subida tipo "U" para eletrocalha 100x100mm em aço pré zincado à fogo chapa #16</t>
  </si>
  <si>
    <t>"T" vertical de subida para eletrocalha 150x100mm</t>
  </si>
  <si>
    <t>Tampa lisa de encaixe para "T" vertical de subida tipo "U" para eletrocalha 150x100mm</t>
  </si>
  <si>
    <t>"T" vertical de subida tipo "U" para eletrocalha 150x100mm em aço pré zincado à fogo chapa #16</t>
  </si>
  <si>
    <t>"T" vertical de subida para eletrocalha 200x100mm</t>
  </si>
  <si>
    <t>Tampa lisa de encaixe para "T" vertical de subida tipo "U" para eletrocalha 200x100mm</t>
  </si>
  <si>
    <t>"T" vertical de subida tipo "U" para eletrocalha 200x100mm em aço pré zincado à fogo chapa #16</t>
  </si>
  <si>
    <t>"T" vertical de subida para eletrocalha 300x100mm</t>
  </si>
  <si>
    <t>Tampa lisa de encaixe para "T" vertical de subida tipo "U" para eletrocalha 300x100mm</t>
  </si>
  <si>
    <t>"T" vertical de subida tipo "U" para eletrocalha 300x100mm em aço pré zincado à fogo chapa #16</t>
  </si>
  <si>
    <t>"T" vertical de subida para eletrocalha 400x100mm</t>
  </si>
  <si>
    <t>Tampa lisa de encaixe para "T" vertical de subida tipo "U" para eletrocalha 400x100mm</t>
  </si>
  <si>
    <t>"T" vertical de subida tipo "U" para eletrocalha 400x100mm em aço pré zincado à fogo chapa #16</t>
  </si>
  <si>
    <t>"T" vertical de subida para eletrocalha 500x100mm</t>
  </si>
  <si>
    <t>Tampa lisa de encaixe para "T" vertical de subida tipo "U" para eletrocalha 500x100mm</t>
  </si>
  <si>
    <t>"T" vertical de subida tipo "U" para eletrocalha 500x100mm em aço pré zincado à fogo chapa #16</t>
  </si>
  <si>
    <t>"T" vertical de subida para eletrocalha 600x100mm</t>
  </si>
  <si>
    <t>Tampa lisa de encaixe para "T" vertical de subida tipo "U" para eletrocalha 600x100mm</t>
  </si>
  <si>
    <t>"T" vertical de subida tipo "U" para eletrocalha 600x100mm em aço pré zincado à fogo chapa #16</t>
  </si>
  <si>
    <t>BARRA CHATA DE ALUMÍNIO 7/8" x 1/8" x 3m</t>
  </si>
  <si>
    <t>PAINEL LED EMBUTIR 22x22cm 18w</t>
  </si>
  <si>
    <t>Luminária de embutir em forro para lâmpada led tubular 2x20W - 220V com proteção acrílica</t>
  </si>
  <si>
    <t>Luminária de sobrepor para lâmpada led tubular 2x20W - 220V</t>
  </si>
  <si>
    <t>Lâmpada led tubular T8, base G13, 20W - 220V</t>
  </si>
  <si>
    <t>Luminária industrial de sobrepor para lâmpadaled 54W - 220V - fixação em eletrocalha/perfilado</t>
  </si>
  <si>
    <t>Luminária industrial de sobrepor para lâmpadaled 54W - 220V</t>
  </si>
  <si>
    <t>Poste de 7m com luminária tipo pétala retangular para lâmpada LED de 100W - 220V</t>
  </si>
  <si>
    <t>Poste em aço zincado flangeado de 7m, com abertura para inspeção em h=3m, para fixação de luminária tipo globo leitoso</t>
  </si>
  <si>
    <t>Luminária tipo pétala, com alojamento para equipamento auxiliar, fixação em poste, à prova do tempo,  lâmpada LED 100W</t>
  </si>
  <si>
    <t>Poste de 7m com 2 luminárias tipo pétala, lâmpada LED de 100W - 220V</t>
  </si>
  <si>
    <t>Luminária tipo pétala retangular, fixação em poste, à prova do tempo, LED 100W</t>
  </si>
  <si>
    <t>Poste de 12m com luminária tipo pétala retangular para lâmpada LED 150W - 220V</t>
  </si>
  <si>
    <t>Luminária tipo pétala retangular, fixação em poste, à prova do tempo, LED de 150W</t>
  </si>
  <si>
    <t>Poste de 12m com 2 luminárias tipo pétala LED 150W - 220V</t>
  </si>
  <si>
    <t>Luminária tipo pétala retangular, fixação em poste, à prova do tempo, LED 150W</t>
  </si>
  <si>
    <t>Projetor fechado, à prova do tempo, para LED 100W - fixação em parede com condulete</t>
  </si>
  <si>
    <t>Projetor fechado, à prova do tempo, LED 100W</t>
  </si>
  <si>
    <r>
      <t>Barra chata de alumínio</t>
    </r>
    <r>
      <rPr>
        <b/>
        <sz val="10"/>
        <rFont val="Calibri"/>
        <family val="2"/>
      </rPr>
      <t xml:space="preserve"> - fixação direta</t>
    </r>
  </si>
  <si>
    <r>
      <t xml:space="preserve">Barra chata de alumínio </t>
    </r>
    <r>
      <rPr>
        <b/>
        <sz val="10"/>
        <rFont val="Calibri"/>
        <family val="2"/>
      </rPr>
      <t>- fixação Adericone</t>
    </r>
  </si>
  <si>
    <t>Lâmpada led tubular T8, soquete G13, 20W - 220V</t>
  </si>
  <si>
    <t>Eletrocalha perfurada 200x100x3000mm ANTICORROSÃO (MAGNELIS), peça de 3m</t>
  </si>
  <si>
    <t>Junção simples para eletrocalha de 200x100mm ANTICORROSÃO (MAGNELIS)</t>
  </si>
  <si>
    <t>Suporte vertical para eletrocalha de 200x100mm ANTICORROSÃO (MAGNELIS)</t>
  </si>
  <si>
    <t>Eletrocalha perfurada 300x100x3000mm ANTICORROSÃO (MAGNELIS), peça de 3m</t>
  </si>
  <si>
    <t>Junção simples para eletrocalha de 300x100mm ANTICORROSÃO (MAGNELIS)</t>
  </si>
  <si>
    <t>Suporte vertical para eletrocalha de 300x100mm ANTICORROSÃO (MAGNELIS)</t>
  </si>
  <si>
    <t>Eletroduto rígido em aço ANTICORROSÃO (MAGNELIS) de Ø 4", barra de 3m</t>
  </si>
  <si>
    <t>Luva média em aço ANTICORROSÃO (MAGNELIS) para eletroduto de Ø 4"</t>
  </si>
  <si>
    <t>Eletroduto rígido em aço ANTICORROSÃO (MAGNELIS) tipo médio de Ø 1"</t>
  </si>
  <si>
    <t xml:space="preserve">LUMINÁRIA LED TIPO HIGH BAY 75W </t>
  </si>
  <si>
    <t xml:space="preserve">LUMINÁRIA INDUSTRIAL LED TIPO HIGH BAY 75W </t>
  </si>
  <si>
    <t>Caixa de passagem no piso em alvenaria tipo CP3 - 80x80x100cm (medidas internas), com tampa de concreto para energia elétrica</t>
  </si>
  <si>
    <t xml:space="preserve">LUMINÁRIA LED TIPO HIGH BAY 150W </t>
  </si>
  <si>
    <t xml:space="preserve">LUMINÁRIA INDUSTRIAL LED TIPO HIGH BAY 150W </t>
  </si>
  <si>
    <t>Eletroduto rígido em aço gavanizado tipo médio de Ø 3/4", barra de 3m</t>
  </si>
  <si>
    <t>PAINEL LED EMBUTIR COM ALETAS 60x60cm 44w TC-6500</t>
  </si>
  <si>
    <t>PAINEL LED EMBUTIR FECHADA COM ACRILICO LEITOSO 60x60cm 44w TC-6500</t>
  </si>
  <si>
    <t>LUMINÁRIA QUADRADA DE SOBREPOR, INSTALAÇÃO EM PERFILADO - 34W TC-6500</t>
  </si>
  <si>
    <t>Junção simples para eletrocalha de 100x100mm galvanizado a fogo</t>
  </si>
  <si>
    <t>Suporte vertical para eletrocalha de 100x100mm galvanizado a fogo</t>
  </si>
  <si>
    <t>Junção simples para perfilado de 38x38mm galvanizado a fogo</t>
  </si>
  <si>
    <t>Perfilado perfurado 38x38x3000mm galvanizado a fogo, peça de 3m</t>
  </si>
  <si>
    <t>Eletrocalha perfurada 100x100x3000mm galvanizada a fogo, peça de 3m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</si>
</sst>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0"/>
      <color theme="0"/>
      <name val="Calibri"/>
      <family val="2"/>
      <scheme val="minor"/>
    </font>
    <font>
      <sz val="10"/>
      <color rgb="FFFFFF00"/>
      <name val="Calibri"/>
      <family val="2"/>
      <scheme val="minor"/>
    </font>
    <font>
      <sz val="10"/>
      <name val="Arial"/>
      <family val="2"/>
    </font>
    <font>
      <sz val="10"/>
      <name val="Arial"/>
      <family val="2"/>
    </font>
    <font>
      <sz val="10"/>
      <name val="Arial"/>
    </font>
    <font>
      <b/>
      <sz val="10"/>
      <name val="Calibri"/>
      <family val="2"/>
      <scheme val="minor"/>
    </font>
    <font>
      <sz val="10"/>
      <name val="Calibri"/>
      <family val="2"/>
      <scheme val="minor"/>
    </font>
    <font>
      <b/>
      <sz val="10"/>
      <name val="Calibri"/>
      <family val="2"/>
    </font>
    <font>
      <sz val="10"/>
      <name val="Calibri"/>
      <family val="2"/>
    </font>
    <font>
      <i/>
      <sz val="10"/>
      <name val="Arial"/>
      <family val="2"/>
    </font>
    <font>
      <u/>
      <sz val="10"/>
      <name val="Arial"/>
      <family val="2"/>
    </font>
  </fonts>
  <fills count="9">
    <fill>
      <patternFill patternType="none"/>
    </fill>
    <fill>
      <patternFill patternType="gray125"/>
    </fill>
    <fill>
      <patternFill patternType="solid">
        <fgColor theme="0" tint="-4.9989318521683403E-2"/>
        <bgColor indexed="64"/>
      </patternFill>
    </fill>
    <fill>
      <patternFill patternType="solid">
        <fgColor theme="0" tint="-0.499984740745262"/>
        <bgColor indexed="64"/>
      </patternFill>
    </fill>
    <fill>
      <patternFill patternType="solid">
        <fgColor rgb="FFFFC000"/>
        <bgColor indexed="64"/>
      </patternFill>
    </fill>
    <fill>
      <patternFill patternType="solid">
        <fgColor theme="0" tint="-0.34998626667073579"/>
        <bgColor indexed="64"/>
      </patternFill>
    </fill>
    <fill>
      <patternFill patternType="solid">
        <fgColor rgb="FF00B050"/>
        <bgColor indexed="64"/>
      </patternFill>
    </fill>
    <fill>
      <patternFill patternType="solid">
        <fgColor theme="8"/>
        <bgColor indexed="64"/>
      </patternFill>
    </fill>
    <fill>
      <patternFill patternType="solid">
        <fgColor rgb="FFFFFF00"/>
        <bgColor indexed="64"/>
      </patternFill>
    </fill>
  </fills>
  <borders count="8">
    <border>
      <left/>
      <right/>
      <top/>
      <bottom/>
      <diagonal/>
    </border>
    <border>
      <left style="medium">
        <color theme="0"/>
      </left>
      <right style="medium">
        <color theme="0"/>
      </right>
      <top style="medium">
        <color theme="0"/>
      </top>
      <bottom style="medium">
        <color theme="0"/>
      </bottom>
      <diagonal/>
    </border>
    <border>
      <left style="medium">
        <color theme="0"/>
      </left>
      <right/>
      <top style="medium">
        <color theme="0"/>
      </top>
      <bottom style="medium">
        <color theme="0"/>
      </bottom>
      <diagonal/>
    </border>
    <border>
      <left style="medium">
        <color theme="0"/>
      </left>
      <right style="medium">
        <color theme="0"/>
      </right>
      <top style="medium">
        <color theme="0"/>
      </top>
      <bottom/>
      <diagonal/>
    </border>
    <border>
      <left style="medium">
        <color theme="0"/>
      </left>
      <right style="medium">
        <color theme="0"/>
      </right>
      <top/>
      <bottom style="medium">
        <color theme="0"/>
      </bottom>
      <diagonal/>
    </border>
    <border>
      <left/>
      <right style="medium">
        <color theme="0"/>
      </right>
      <top style="medium">
        <color theme="0"/>
      </top>
      <bottom style="medium">
        <color theme="0"/>
      </bottom>
      <diagonal/>
    </border>
    <border>
      <left style="medium">
        <color theme="0"/>
      </left>
      <right style="medium">
        <color theme="0"/>
      </right>
      <top/>
      <bottom/>
      <diagonal/>
    </border>
    <border>
      <left/>
      <right style="medium">
        <color theme="0"/>
      </right>
      <top/>
      <bottom style="medium">
        <color theme="0"/>
      </bottom>
      <diagonal/>
    </border>
  </borders>
  <cellStyleXfs count="5">
    <xf numFmtId="0" fontId="0" fillId="0" borderId="0"/>
    <xf numFmtId="0" fontId="3" fillId="0" borderId="0"/>
    <xf numFmtId="0" fontId="4" fillId="0" borderId="0"/>
    <xf numFmtId="0" fontId="5" fillId="0" borderId="0"/>
    <xf numFmtId="0" fontId="3" fillId="0" borderId="0"/>
  </cellStyleXfs>
  <cellXfs count="30">
    <xf numFmtId="0" fontId="0" fillId="0" borderId="0" xfId="0"/>
    <xf numFmtId="0" fontId="5" fillId="2" borderId="0" xfId="3" applyFill="1"/>
    <xf numFmtId="0" fontId="3" fillId="2" borderId="0" xfId="4" applyFill="1"/>
    <xf numFmtId="0" fontId="1" fillId="3" borderId="2" xfId="4" applyFont="1" applyFill="1" applyBorder="1" applyAlignment="1">
      <alignment horizontal="center"/>
    </xf>
    <xf numFmtId="0" fontId="2" fillId="3" borderId="1" xfId="4" applyFont="1" applyFill="1" applyBorder="1" applyAlignment="1">
      <alignment horizontal="center"/>
    </xf>
    <xf numFmtId="0" fontId="1" fillId="3" borderId="4" xfId="4" applyFont="1" applyFill="1" applyBorder="1" applyAlignment="1">
      <alignment horizontal="center"/>
    </xf>
    <xf numFmtId="0" fontId="1" fillId="3" borderId="3" xfId="4" applyFont="1" applyFill="1" applyBorder="1" applyAlignment="1">
      <alignment horizontal="center"/>
    </xf>
    <xf numFmtId="0" fontId="1" fillId="3" borderId="1" xfId="4" applyFont="1" applyFill="1" applyBorder="1"/>
    <xf numFmtId="0" fontId="1" fillId="3" borderId="1" xfId="4" applyFont="1" applyFill="1" applyBorder="1" applyAlignment="1">
      <alignment horizontal="center"/>
    </xf>
    <xf numFmtId="0" fontId="6" fillId="4" borderId="6" xfId="4" applyFont="1" applyFill="1" applyBorder="1" applyAlignment="1">
      <alignment horizontal="center"/>
    </xf>
    <xf numFmtId="0" fontId="6" fillId="5" borderId="7" xfId="4" applyFont="1" applyFill="1" applyBorder="1"/>
    <xf numFmtId="0" fontId="6" fillId="5" borderId="4" xfId="4" applyFont="1" applyFill="1" applyBorder="1"/>
    <xf numFmtId="0" fontId="6" fillId="6" borderId="4" xfId="4" applyFont="1" applyFill="1" applyBorder="1" applyAlignment="1">
      <alignment horizontal="center"/>
    </xf>
    <xf numFmtId="0" fontId="6" fillId="7" borderId="4" xfId="4" applyFont="1" applyFill="1" applyBorder="1" applyAlignment="1">
      <alignment horizontal="center"/>
    </xf>
    <xf numFmtId="0" fontId="7" fillId="5" borderId="7" xfId="4" applyFont="1" applyFill="1" applyBorder="1"/>
    <xf numFmtId="0" fontId="7" fillId="5" borderId="5" xfId="4" applyFont="1" applyFill="1" applyBorder="1"/>
    <xf numFmtId="0" fontId="7" fillId="5" borderId="1" xfId="4" applyFont="1" applyFill="1" applyBorder="1"/>
    <xf numFmtId="0" fontId="7" fillId="6" borderId="4" xfId="4" applyFont="1" applyFill="1" applyBorder="1" applyAlignment="1">
      <alignment horizontal="center"/>
    </xf>
    <xf numFmtId="0" fontId="7" fillId="5" borderId="4" xfId="4" applyFont="1" applyFill="1" applyBorder="1"/>
    <xf numFmtId="0" fontId="7" fillId="6" borderId="1" xfId="4" applyFont="1" applyFill="1" applyBorder="1" applyAlignment="1">
      <alignment horizontal="center"/>
    </xf>
    <xf numFmtId="0" fontId="6" fillId="5" borderId="1" xfId="4" applyFont="1" applyFill="1" applyBorder="1"/>
    <xf numFmtId="0" fontId="7" fillId="4" borderId="6" xfId="4" applyFont="1" applyFill="1" applyBorder="1" applyAlignment="1">
      <alignment horizontal="center"/>
    </xf>
    <xf numFmtId="0" fontId="10" fillId="2" borderId="0" xfId="3" applyFont="1" applyFill="1"/>
    <xf numFmtId="0" fontId="11" fillId="2" borderId="0" xfId="3" applyFont="1" applyFill="1"/>
    <xf numFmtId="0" fontId="6" fillId="8" borderId="6" xfId="4" applyFont="1" applyFill="1" applyBorder="1" applyAlignment="1">
      <alignment horizontal="center"/>
    </xf>
    <xf numFmtId="0" fontId="6" fillId="8" borderId="7" xfId="4" applyFont="1" applyFill="1" applyBorder="1"/>
    <xf numFmtId="0" fontId="6" fillId="8" borderId="4" xfId="4" applyFont="1" applyFill="1" applyBorder="1"/>
    <xf numFmtId="0" fontId="6" fillId="8" borderId="4" xfId="4" applyFont="1" applyFill="1" applyBorder="1" applyAlignment="1">
      <alignment horizontal="center"/>
    </xf>
    <xf numFmtId="0" fontId="5" fillId="8" borderId="0" xfId="3" applyFill="1"/>
    <xf numFmtId="0" fontId="7" fillId="8" borderId="7" xfId="4" applyFont="1" applyFill="1" applyBorder="1"/>
  </cellXfs>
  <cellStyles count="5">
    <cellStyle name="Normal" xfId="0" builtinId="0"/>
    <cellStyle name="Normal 2" xfId="1" xr:uid="{00000000-0005-0000-0000-000001000000}"/>
    <cellStyle name="Normal 3" xfId="2" xr:uid="{00000000-0005-0000-0000-000002000000}"/>
    <cellStyle name="Normal 4" xfId="3" xr:uid="{00000000-0005-0000-0000-000003000000}"/>
    <cellStyle name="Normal 4 2" xfId="4"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Plan1"/>
  <dimension ref="A1:N3432"/>
  <sheetViews>
    <sheetView showGridLines="0" tabSelected="1" topLeftCell="B1" zoomScaleNormal="100" workbookViewId="0">
      <selection activeCell="D3" sqref="D3"/>
    </sheetView>
  </sheetViews>
  <sheetFormatPr defaultRowHeight="12.5" x14ac:dyDescent="0.25"/>
  <cols>
    <col min="1" max="1" width="3.453125" style="1" customWidth="1"/>
    <col min="2" max="2" width="9.1796875" style="1"/>
    <col min="3" max="3" width="131.81640625" style="1" bestFit="1" customWidth="1"/>
    <col min="4" max="4" width="19" style="1" customWidth="1"/>
    <col min="5" max="5" width="21.453125" style="1" bestFit="1" customWidth="1"/>
    <col min="6" max="6" width="9.1796875" style="1"/>
    <col min="7" max="8" width="10.26953125" style="1" bestFit="1" customWidth="1"/>
    <col min="9" max="256" width="9.1796875" style="1"/>
    <col min="257" max="257" width="3.453125" style="1" customWidth="1"/>
    <col min="258" max="258" width="9.1796875" style="1"/>
    <col min="259" max="259" width="131.81640625" style="1" bestFit="1" customWidth="1"/>
    <col min="260" max="260" width="19" style="1" customWidth="1"/>
    <col min="261" max="261" width="21.453125" style="1" bestFit="1" customWidth="1"/>
    <col min="262" max="262" width="9.1796875" style="1"/>
    <col min="263" max="264" width="10.26953125" style="1" bestFit="1" customWidth="1"/>
    <col min="265" max="512" width="9.1796875" style="1"/>
    <col min="513" max="513" width="3.453125" style="1" customWidth="1"/>
    <col min="514" max="514" width="9.1796875" style="1"/>
    <col min="515" max="515" width="131.81640625" style="1" bestFit="1" customWidth="1"/>
    <col min="516" max="516" width="19" style="1" customWidth="1"/>
    <col min="517" max="517" width="21.453125" style="1" bestFit="1" customWidth="1"/>
    <col min="518" max="518" width="9.1796875" style="1"/>
    <col min="519" max="520" width="10.26953125" style="1" bestFit="1" customWidth="1"/>
    <col min="521" max="768" width="9.1796875" style="1"/>
    <col min="769" max="769" width="3.453125" style="1" customWidth="1"/>
    <col min="770" max="770" width="9.1796875" style="1"/>
    <col min="771" max="771" width="131.81640625" style="1" bestFit="1" customWidth="1"/>
    <col min="772" max="772" width="19" style="1" customWidth="1"/>
    <col min="773" max="773" width="21.453125" style="1" bestFit="1" customWidth="1"/>
    <col min="774" max="774" width="9.1796875" style="1"/>
    <col min="775" max="776" width="10.26953125" style="1" bestFit="1" customWidth="1"/>
    <col min="777" max="1024" width="9.1796875" style="1"/>
    <col min="1025" max="1025" width="3.453125" style="1" customWidth="1"/>
    <col min="1026" max="1026" width="9.1796875" style="1"/>
    <col min="1027" max="1027" width="131.81640625" style="1" bestFit="1" customWidth="1"/>
    <col min="1028" max="1028" width="19" style="1" customWidth="1"/>
    <col min="1029" max="1029" width="21.453125" style="1" bestFit="1" customWidth="1"/>
    <col min="1030" max="1030" width="9.1796875" style="1"/>
    <col min="1031" max="1032" width="10.26953125" style="1" bestFit="1" customWidth="1"/>
    <col min="1033" max="1280" width="9.1796875" style="1"/>
    <col min="1281" max="1281" width="3.453125" style="1" customWidth="1"/>
    <col min="1282" max="1282" width="9.1796875" style="1"/>
    <col min="1283" max="1283" width="131.81640625" style="1" bestFit="1" customWidth="1"/>
    <col min="1284" max="1284" width="19" style="1" customWidth="1"/>
    <col min="1285" max="1285" width="21.453125" style="1" bestFit="1" customWidth="1"/>
    <col min="1286" max="1286" width="9.1796875" style="1"/>
    <col min="1287" max="1288" width="10.26953125" style="1" bestFit="1" customWidth="1"/>
    <col min="1289" max="1536" width="9.1796875" style="1"/>
    <col min="1537" max="1537" width="3.453125" style="1" customWidth="1"/>
    <col min="1538" max="1538" width="9.1796875" style="1"/>
    <col min="1539" max="1539" width="131.81640625" style="1" bestFit="1" customWidth="1"/>
    <col min="1540" max="1540" width="19" style="1" customWidth="1"/>
    <col min="1541" max="1541" width="21.453125" style="1" bestFit="1" customWidth="1"/>
    <col min="1542" max="1542" width="9.1796875" style="1"/>
    <col min="1543" max="1544" width="10.26953125" style="1" bestFit="1" customWidth="1"/>
    <col min="1545" max="1792" width="9.1796875" style="1"/>
    <col min="1793" max="1793" width="3.453125" style="1" customWidth="1"/>
    <col min="1794" max="1794" width="9.1796875" style="1"/>
    <col min="1795" max="1795" width="131.81640625" style="1" bestFit="1" customWidth="1"/>
    <col min="1796" max="1796" width="19" style="1" customWidth="1"/>
    <col min="1797" max="1797" width="21.453125" style="1" bestFit="1" customWidth="1"/>
    <col min="1798" max="1798" width="9.1796875" style="1"/>
    <col min="1799" max="1800" width="10.26953125" style="1" bestFit="1" customWidth="1"/>
    <col min="1801" max="2048" width="9.1796875" style="1"/>
    <col min="2049" max="2049" width="3.453125" style="1" customWidth="1"/>
    <col min="2050" max="2050" width="9.1796875" style="1"/>
    <col min="2051" max="2051" width="131.81640625" style="1" bestFit="1" customWidth="1"/>
    <col min="2052" max="2052" width="19" style="1" customWidth="1"/>
    <col min="2053" max="2053" width="21.453125" style="1" bestFit="1" customWidth="1"/>
    <col min="2054" max="2054" width="9.1796875" style="1"/>
    <col min="2055" max="2056" width="10.26953125" style="1" bestFit="1" customWidth="1"/>
    <col min="2057" max="2304" width="9.1796875" style="1"/>
    <col min="2305" max="2305" width="3.453125" style="1" customWidth="1"/>
    <col min="2306" max="2306" width="9.1796875" style="1"/>
    <col min="2307" max="2307" width="131.81640625" style="1" bestFit="1" customWidth="1"/>
    <col min="2308" max="2308" width="19" style="1" customWidth="1"/>
    <col min="2309" max="2309" width="21.453125" style="1" bestFit="1" customWidth="1"/>
    <col min="2310" max="2310" width="9.1796875" style="1"/>
    <col min="2311" max="2312" width="10.26953125" style="1" bestFit="1" customWidth="1"/>
    <col min="2313" max="2560" width="9.1796875" style="1"/>
    <col min="2561" max="2561" width="3.453125" style="1" customWidth="1"/>
    <col min="2562" max="2562" width="9.1796875" style="1"/>
    <col min="2563" max="2563" width="131.81640625" style="1" bestFit="1" customWidth="1"/>
    <col min="2564" max="2564" width="19" style="1" customWidth="1"/>
    <col min="2565" max="2565" width="21.453125" style="1" bestFit="1" customWidth="1"/>
    <col min="2566" max="2566" width="9.1796875" style="1"/>
    <col min="2567" max="2568" width="10.26953125" style="1" bestFit="1" customWidth="1"/>
    <col min="2569" max="2816" width="9.1796875" style="1"/>
    <col min="2817" max="2817" width="3.453125" style="1" customWidth="1"/>
    <col min="2818" max="2818" width="9.1796875" style="1"/>
    <col min="2819" max="2819" width="131.81640625" style="1" bestFit="1" customWidth="1"/>
    <col min="2820" max="2820" width="19" style="1" customWidth="1"/>
    <col min="2821" max="2821" width="21.453125" style="1" bestFit="1" customWidth="1"/>
    <col min="2822" max="2822" width="9.1796875" style="1"/>
    <col min="2823" max="2824" width="10.26953125" style="1" bestFit="1" customWidth="1"/>
    <col min="2825" max="3072" width="9.1796875" style="1"/>
    <col min="3073" max="3073" width="3.453125" style="1" customWidth="1"/>
    <col min="3074" max="3074" width="9.1796875" style="1"/>
    <col min="3075" max="3075" width="131.81640625" style="1" bestFit="1" customWidth="1"/>
    <col min="3076" max="3076" width="19" style="1" customWidth="1"/>
    <col min="3077" max="3077" width="21.453125" style="1" bestFit="1" customWidth="1"/>
    <col min="3078" max="3078" width="9.1796875" style="1"/>
    <col min="3079" max="3080" width="10.26953125" style="1" bestFit="1" customWidth="1"/>
    <col min="3081" max="3328" width="9.1796875" style="1"/>
    <col min="3329" max="3329" width="3.453125" style="1" customWidth="1"/>
    <col min="3330" max="3330" width="9.1796875" style="1"/>
    <col min="3331" max="3331" width="131.81640625" style="1" bestFit="1" customWidth="1"/>
    <col min="3332" max="3332" width="19" style="1" customWidth="1"/>
    <col min="3333" max="3333" width="21.453125" style="1" bestFit="1" customWidth="1"/>
    <col min="3334" max="3334" width="9.1796875" style="1"/>
    <col min="3335" max="3336" width="10.26953125" style="1" bestFit="1" customWidth="1"/>
    <col min="3337" max="3584" width="9.1796875" style="1"/>
    <col min="3585" max="3585" width="3.453125" style="1" customWidth="1"/>
    <col min="3586" max="3586" width="9.1796875" style="1"/>
    <col min="3587" max="3587" width="131.81640625" style="1" bestFit="1" customWidth="1"/>
    <col min="3588" max="3588" width="19" style="1" customWidth="1"/>
    <col min="3589" max="3589" width="21.453125" style="1" bestFit="1" customWidth="1"/>
    <col min="3590" max="3590" width="9.1796875" style="1"/>
    <col min="3591" max="3592" width="10.26953125" style="1" bestFit="1" customWidth="1"/>
    <col min="3593" max="3840" width="9.1796875" style="1"/>
    <col min="3841" max="3841" width="3.453125" style="1" customWidth="1"/>
    <col min="3842" max="3842" width="9.1796875" style="1"/>
    <col min="3843" max="3843" width="131.81640625" style="1" bestFit="1" customWidth="1"/>
    <col min="3844" max="3844" width="19" style="1" customWidth="1"/>
    <col min="3845" max="3845" width="21.453125" style="1" bestFit="1" customWidth="1"/>
    <col min="3846" max="3846" width="9.1796875" style="1"/>
    <col min="3847" max="3848" width="10.26953125" style="1" bestFit="1" customWidth="1"/>
    <col min="3849" max="4096" width="9.1796875" style="1"/>
    <col min="4097" max="4097" width="3.453125" style="1" customWidth="1"/>
    <col min="4098" max="4098" width="9.1796875" style="1"/>
    <col min="4099" max="4099" width="131.81640625" style="1" bestFit="1" customWidth="1"/>
    <col min="4100" max="4100" width="19" style="1" customWidth="1"/>
    <col min="4101" max="4101" width="21.453125" style="1" bestFit="1" customWidth="1"/>
    <col min="4102" max="4102" width="9.1796875" style="1"/>
    <col min="4103" max="4104" width="10.26953125" style="1" bestFit="1" customWidth="1"/>
    <col min="4105" max="4352" width="9.1796875" style="1"/>
    <col min="4353" max="4353" width="3.453125" style="1" customWidth="1"/>
    <col min="4354" max="4354" width="9.1796875" style="1"/>
    <col min="4355" max="4355" width="131.81640625" style="1" bestFit="1" customWidth="1"/>
    <col min="4356" max="4356" width="19" style="1" customWidth="1"/>
    <col min="4357" max="4357" width="21.453125" style="1" bestFit="1" customWidth="1"/>
    <col min="4358" max="4358" width="9.1796875" style="1"/>
    <col min="4359" max="4360" width="10.26953125" style="1" bestFit="1" customWidth="1"/>
    <col min="4361" max="4608" width="9.1796875" style="1"/>
    <col min="4609" max="4609" width="3.453125" style="1" customWidth="1"/>
    <col min="4610" max="4610" width="9.1796875" style="1"/>
    <col min="4611" max="4611" width="131.81640625" style="1" bestFit="1" customWidth="1"/>
    <col min="4612" max="4612" width="19" style="1" customWidth="1"/>
    <col min="4613" max="4613" width="21.453125" style="1" bestFit="1" customWidth="1"/>
    <col min="4614" max="4614" width="9.1796875" style="1"/>
    <col min="4615" max="4616" width="10.26953125" style="1" bestFit="1" customWidth="1"/>
    <col min="4617" max="4864" width="9.1796875" style="1"/>
    <col min="4865" max="4865" width="3.453125" style="1" customWidth="1"/>
    <col min="4866" max="4866" width="9.1796875" style="1"/>
    <col min="4867" max="4867" width="131.81640625" style="1" bestFit="1" customWidth="1"/>
    <col min="4868" max="4868" width="19" style="1" customWidth="1"/>
    <col min="4869" max="4869" width="21.453125" style="1" bestFit="1" customWidth="1"/>
    <col min="4870" max="4870" width="9.1796875" style="1"/>
    <col min="4871" max="4872" width="10.26953125" style="1" bestFit="1" customWidth="1"/>
    <col min="4873" max="5120" width="9.1796875" style="1"/>
    <col min="5121" max="5121" width="3.453125" style="1" customWidth="1"/>
    <col min="5122" max="5122" width="9.1796875" style="1"/>
    <col min="5123" max="5123" width="131.81640625" style="1" bestFit="1" customWidth="1"/>
    <col min="5124" max="5124" width="19" style="1" customWidth="1"/>
    <col min="5125" max="5125" width="21.453125" style="1" bestFit="1" customWidth="1"/>
    <col min="5126" max="5126" width="9.1796875" style="1"/>
    <col min="5127" max="5128" width="10.26953125" style="1" bestFit="1" customWidth="1"/>
    <col min="5129" max="5376" width="9.1796875" style="1"/>
    <col min="5377" max="5377" width="3.453125" style="1" customWidth="1"/>
    <col min="5378" max="5378" width="9.1796875" style="1"/>
    <col min="5379" max="5379" width="131.81640625" style="1" bestFit="1" customWidth="1"/>
    <col min="5380" max="5380" width="19" style="1" customWidth="1"/>
    <col min="5381" max="5381" width="21.453125" style="1" bestFit="1" customWidth="1"/>
    <col min="5382" max="5382" width="9.1796875" style="1"/>
    <col min="5383" max="5384" width="10.26953125" style="1" bestFit="1" customWidth="1"/>
    <col min="5385" max="5632" width="9.1796875" style="1"/>
    <col min="5633" max="5633" width="3.453125" style="1" customWidth="1"/>
    <col min="5634" max="5634" width="9.1796875" style="1"/>
    <col min="5635" max="5635" width="131.81640625" style="1" bestFit="1" customWidth="1"/>
    <col min="5636" max="5636" width="19" style="1" customWidth="1"/>
    <col min="5637" max="5637" width="21.453125" style="1" bestFit="1" customWidth="1"/>
    <col min="5638" max="5638" width="9.1796875" style="1"/>
    <col min="5639" max="5640" width="10.26953125" style="1" bestFit="1" customWidth="1"/>
    <col min="5641" max="5888" width="9.1796875" style="1"/>
    <col min="5889" max="5889" width="3.453125" style="1" customWidth="1"/>
    <col min="5890" max="5890" width="9.1796875" style="1"/>
    <col min="5891" max="5891" width="131.81640625" style="1" bestFit="1" customWidth="1"/>
    <col min="5892" max="5892" width="19" style="1" customWidth="1"/>
    <col min="5893" max="5893" width="21.453125" style="1" bestFit="1" customWidth="1"/>
    <col min="5894" max="5894" width="9.1796875" style="1"/>
    <col min="5895" max="5896" width="10.26953125" style="1" bestFit="1" customWidth="1"/>
    <col min="5897" max="6144" width="9.1796875" style="1"/>
    <col min="6145" max="6145" width="3.453125" style="1" customWidth="1"/>
    <col min="6146" max="6146" width="9.1796875" style="1"/>
    <col min="6147" max="6147" width="131.81640625" style="1" bestFit="1" customWidth="1"/>
    <col min="6148" max="6148" width="19" style="1" customWidth="1"/>
    <col min="6149" max="6149" width="21.453125" style="1" bestFit="1" customWidth="1"/>
    <col min="6150" max="6150" width="9.1796875" style="1"/>
    <col min="6151" max="6152" width="10.26953125" style="1" bestFit="1" customWidth="1"/>
    <col min="6153" max="6400" width="9.1796875" style="1"/>
    <col min="6401" max="6401" width="3.453125" style="1" customWidth="1"/>
    <col min="6402" max="6402" width="9.1796875" style="1"/>
    <col min="6403" max="6403" width="131.81640625" style="1" bestFit="1" customWidth="1"/>
    <col min="6404" max="6404" width="19" style="1" customWidth="1"/>
    <col min="6405" max="6405" width="21.453125" style="1" bestFit="1" customWidth="1"/>
    <col min="6406" max="6406" width="9.1796875" style="1"/>
    <col min="6407" max="6408" width="10.26953125" style="1" bestFit="1" customWidth="1"/>
    <col min="6409" max="6656" width="9.1796875" style="1"/>
    <col min="6657" max="6657" width="3.453125" style="1" customWidth="1"/>
    <col min="6658" max="6658" width="9.1796875" style="1"/>
    <col min="6659" max="6659" width="131.81640625" style="1" bestFit="1" customWidth="1"/>
    <col min="6660" max="6660" width="19" style="1" customWidth="1"/>
    <col min="6661" max="6661" width="21.453125" style="1" bestFit="1" customWidth="1"/>
    <col min="6662" max="6662" width="9.1796875" style="1"/>
    <col min="6663" max="6664" width="10.26953125" style="1" bestFit="1" customWidth="1"/>
    <col min="6665" max="6912" width="9.1796875" style="1"/>
    <col min="6913" max="6913" width="3.453125" style="1" customWidth="1"/>
    <col min="6914" max="6914" width="9.1796875" style="1"/>
    <col min="6915" max="6915" width="131.81640625" style="1" bestFit="1" customWidth="1"/>
    <col min="6916" max="6916" width="19" style="1" customWidth="1"/>
    <col min="6917" max="6917" width="21.453125" style="1" bestFit="1" customWidth="1"/>
    <col min="6918" max="6918" width="9.1796875" style="1"/>
    <col min="6919" max="6920" width="10.26953125" style="1" bestFit="1" customWidth="1"/>
    <col min="6921" max="7168" width="9.1796875" style="1"/>
    <col min="7169" max="7169" width="3.453125" style="1" customWidth="1"/>
    <col min="7170" max="7170" width="9.1796875" style="1"/>
    <col min="7171" max="7171" width="131.81640625" style="1" bestFit="1" customWidth="1"/>
    <col min="7172" max="7172" width="19" style="1" customWidth="1"/>
    <col min="7173" max="7173" width="21.453125" style="1" bestFit="1" customWidth="1"/>
    <col min="7174" max="7174" width="9.1796875" style="1"/>
    <col min="7175" max="7176" width="10.26953125" style="1" bestFit="1" customWidth="1"/>
    <col min="7177" max="7424" width="9.1796875" style="1"/>
    <col min="7425" max="7425" width="3.453125" style="1" customWidth="1"/>
    <col min="7426" max="7426" width="9.1796875" style="1"/>
    <col min="7427" max="7427" width="131.81640625" style="1" bestFit="1" customWidth="1"/>
    <col min="7428" max="7428" width="19" style="1" customWidth="1"/>
    <col min="7429" max="7429" width="21.453125" style="1" bestFit="1" customWidth="1"/>
    <col min="7430" max="7430" width="9.1796875" style="1"/>
    <col min="7431" max="7432" width="10.26953125" style="1" bestFit="1" customWidth="1"/>
    <col min="7433" max="7680" width="9.1796875" style="1"/>
    <col min="7681" max="7681" width="3.453125" style="1" customWidth="1"/>
    <col min="7682" max="7682" width="9.1796875" style="1"/>
    <col min="7683" max="7683" width="131.81640625" style="1" bestFit="1" customWidth="1"/>
    <col min="7684" max="7684" width="19" style="1" customWidth="1"/>
    <col min="7685" max="7685" width="21.453125" style="1" bestFit="1" customWidth="1"/>
    <col min="7686" max="7686" width="9.1796875" style="1"/>
    <col min="7687" max="7688" width="10.26953125" style="1" bestFit="1" customWidth="1"/>
    <col min="7689" max="7936" width="9.1796875" style="1"/>
    <col min="7937" max="7937" width="3.453125" style="1" customWidth="1"/>
    <col min="7938" max="7938" width="9.1796875" style="1"/>
    <col min="7939" max="7939" width="131.81640625" style="1" bestFit="1" customWidth="1"/>
    <col min="7940" max="7940" width="19" style="1" customWidth="1"/>
    <col min="7941" max="7941" width="21.453125" style="1" bestFit="1" customWidth="1"/>
    <col min="7942" max="7942" width="9.1796875" style="1"/>
    <col min="7943" max="7944" width="10.26953125" style="1" bestFit="1" customWidth="1"/>
    <col min="7945" max="8192" width="9.1796875" style="1"/>
    <col min="8193" max="8193" width="3.453125" style="1" customWidth="1"/>
    <col min="8194" max="8194" width="9.1796875" style="1"/>
    <col min="8195" max="8195" width="131.81640625" style="1" bestFit="1" customWidth="1"/>
    <col min="8196" max="8196" width="19" style="1" customWidth="1"/>
    <col min="8197" max="8197" width="21.453125" style="1" bestFit="1" customWidth="1"/>
    <col min="8198" max="8198" width="9.1796875" style="1"/>
    <col min="8199" max="8200" width="10.26953125" style="1" bestFit="1" customWidth="1"/>
    <col min="8201" max="8448" width="9.1796875" style="1"/>
    <col min="8449" max="8449" width="3.453125" style="1" customWidth="1"/>
    <col min="8450" max="8450" width="9.1796875" style="1"/>
    <col min="8451" max="8451" width="131.81640625" style="1" bestFit="1" customWidth="1"/>
    <col min="8452" max="8452" width="19" style="1" customWidth="1"/>
    <col min="8453" max="8453" width="21.453125" style="1" bestFit="1" customWidth="1"/>
    <col min="8454" max="8454" width="9.1796875" style="1"/>
    <col min="8455" max="8456" width="10.26953125" style="1" bestFit="1" customWidth="1"/>
    <col min="8457" max="8704" width="9.1796875" style="1"/>
    <col min="8705" max="8705" width="3.453125" style="1" customWidth="1"/>
    <col min="8706" max="8706" width="9.1796875" style="1"/>
    <col min="8707" max="8707" width="131.81640625" style="1" bestFit="1" customWidth="1"/>
    <col min="8708" max="8708" width="19" style="1" customWidth="1"/>
    <col min="8709" max="8709" width="21.453125" style="1" bestFit="1" customWidth="1"/>
    <col min="8710" max="8710" width="9.1796875" style="1"/>
    <col min="8711" max="8712" width="10.26953125" style="1" bestFit="1" customWidth="1"/>
    <col min="8713" max="8960" width="9.1796875" style="1"/>
    <col min="8961" max="8961" width="3.453125" style="1" customWidth="1"/>
    <col min="8962" max="8962" width="9.1796875" style="1"/>
    <col min="8963" max="8963" width="131.81640625" style="1" bestFit="1" customWidth="1"/>
    <col min="8964" max="8964" width="19" style="1" customWidth="1"/>
    <col min="8965" max="8965" width="21.453125" style="1" bestFit="1" customWidth="1"/>
    <col min="8966" max="8966" width="9.1796875" style="1"/>
    <col min="8967" max="8968" width="10.26953125" style="1" bestFit="1" customWidth="1"/>
    <col min="8969" max="9216" width="9.1796875" style="1"/>
    <col min="9217" max="9217" width="3.453125" style="1" customWidth="1"/>
    <col min="9218" max="9218" width="9.1796875" style="1"/>
    <col min="9219" max="9219" width="131.81640625" style="1" bestFit="1" customWidth="1"/>
    <col min="9220" max="9220" width="19" style="1" customWidth="1"/>
    <col min="9221" max="9221" width="21.453125" style="1" bestFit="1" customWidth="1"/>
    <col min="9222" max="9222" width="9.1796875" style="1"/>
    <col min="9223" max="9224" width="10.26953125" style="1" bestFit="1" customWidth="1"/>
    <col min="9225" max="9472" width="9.1796875" style="1"/>
    <col min="9473" max="9473" width="3.453125" style="1" customWidth="1"/>
    <col min="9474" max="9474" width="9.1796875" style="1"/>
    <col min="9475" max="9475" width="131.81640625" style="1" bestFit="1" customWidth="1"/>
    <col min="9476" max="9476" width="19" style="1" customWidth="1"/>
    <col min="9477" max="9477" width="21.453125" style="1" bestFit="1" customWidth="1"/>
    <col min="9478" max="9478" width="9.1796875" style="1"/>
    <col min="9479" max="9480" width="10.26953125" style="1" bestFit="1" customWidth="1"/>
    <col min="9481" max="9728" width="9.1796875" style="1"/>
    <col min="9729" max="9729" width="3.453125" style="1" customWidth="1"/>
    <col min="9730" max="9730" width="9.1796875" style="1"/>
    <col min="9731" max="9731" width="131.81640625" style="1" bestFit="1" customWidth="1"/>
    <col min="9732" max="9732" width="19" style="1" customWidth="1"/>
    <col min="9733" max="9733" width="21.453125" style="1" bestFit="1" customWidth="1"/>
    <col min="9734" max="9734" width="9.1796875" style="1"/>
    <col min="9735" max="9736" width="10.26953125" style="1" bestFit="1" customWidth="1"/>
    <col min="9737" max="9984" width="9.1796875" style="1"/>
    <col min="9985" max="9985" width="3.453125" style="1" customWidth="1"/>
    <col min="9986" max="9986" width="9.1796875" style="1"/>
    <col min="9987" max="9987" width="131.81640625" style="1" bestFit="1" customWidth="1"/>
    <col min="9988" max="9988" width="19" style="1" customWidth="1"/>
    <col min="9989" max="9989" width="21.453125" style="1" bestFit="1" customWidth="1"/>
    <col min="9990" max="9990" width="9.1796875" style="1"/>
    <col min="9991" max="9992" width="10.26953125" style="1" bestFit="1" customWidth="1"/>
    <col min="9993" max="10240" width="9.1796875" style="1"/>
    <col min="10241" max="10241" width="3.453125" style="1" customWidth="1"/>
    <col min="10242" max="10242" width="9.1796875" style="1"/>
    <col min="10243" max="10243" width="131.81640625" style="1" bestFit="1" customWidth="1"/>
    <col min="10244" max="10244" width="19" style="1" customWidth="1"/>
    <col min="10245" max="10245" width="21.453125" style="1" bestFit="1" customWidth="1"/>
    <col min="10246" max="10246" width="9.1796875" style="1"/>
    <col min="10247" max="10248" width="10.26953125" style="1" bestFit="1" customWidth="1"/>
    <col min="10249" max="10496" width="9.1796875" style="1"/>
    <col min="10497" max="10497" width="3.453125" style="1" customWidth="1"/>
    <col min="10498" max="10498" width="9.1796875" style="1"/>
    <col min="10499" max="10499" width="131.81640625" style="1" bestFit="1" customWidth="1"/>
    <col min="10500" max="10500" width="19" style="1" customWidth="1"/>
    <col min="10501" max="10501" width="21.453125" style="1" bestFit="1" customWidth="1"/>
    <col min="10502" max="10502" width="9.1796875" style="1"/>
    <col min="10503" max="10504" width="10.26953125" style="1" bestFit="1" customWidth="1"/>
    <col min="10505" max="10752" width="9.1796875" style="1"/>
    <col min="10753" max="10753" width="3.453125" style="1" customWidth="1"/>
    <col min="10754" max="10754" width="9.1796875" style="1"/>
    <col min="10755" max="10755" width="131.81640625" style="1" bestFit="1" customWidth="1"/>
    <col min="10756" max="10756" width="19" style="1" customWidth="1"/>
    <col min="10757" max="10757" width="21.453125" style="1" bestFit="1" customWidth="1"/>
    <col min="10758" max="10758" width="9.1796875" style="1"/>
    <col min="10759" max="10760" width="10.26953125" style="1" bestFit="1" customWidth="1"/>
    <col min="10761" max="11008" width="9.1796875" style="1"/>
    <col min="11009" max="11009" width="3.453125" style="1" customWidth="1"/>
    <col min="11010" max="11010" width="9.1796875" style="1"/>
    <col min="11011" max="11011" width="131.81640625" style="1" bestFit="1" customWidth="1"/>
    <col min="11012" max="11012" width="19" style="1" customWidth="1"/>
    <col min="11013" max="11013" width="21.453125" style="1" bestFit="1" customWidth="1"/>
    <col min="11014" max="11014" width="9.1796875" style="1"/>
    <col min="11015" max="11016" width="10.26953125" style="1" bestFit="1" customWidth="1"/>
    <col min="11017" max="11264" width="9.1796875" style="1"/>
    <col min="11265" max="11265" width="3.453125" style="1" customWidth="1"/>
    <col min="11266" max="11266" width="9.1796875" style="1"/>
    <col min="11267" max="11267" width="131.81640625" style="1" bestFit="1" customWidth="1"/>
    <col min="11268" max="11268" width="19" style="1" customWidth="1"/>
    <col min="11269" max="11269" width="21.453125" style="1" bestFit="1" customWidth="1"/>
    <col min="11270" max="11270" width="9.1796875" style="1"/>
    <col min="11271" max="11272" width="10.26953125" style="1" bestFit="1" customWidth="1"/>
    <col min="11273" max="11520" width="9.1796875" style="1"/>
    <col min="11521" max="11521" width="3.453125" style="1" customWidth="1"/>
    <col min="11522" max="11522" width="9.1796875" style="1"/>
    <col min="11523" max="11523" width="131.81640625" style="1" bestFit="1" customWidth="1"/>
    <col min="11524" max="11524" width="19" style="1" customWidth="1"/>
    <col min="11525" max="11525" width="21.453125" style="1" bestFit="1" customWidth="1"/>
    <col min="11526" max="11526" width="9.1796875" style="1"/>
    <col min="11527" max="11528" width="10.26953125" style="1" bestFit="1" customWidth="1"/>
    <col min="11529" max="11776" width="9.1796875" style="1"/>
    <col min="11777" max="11777" width="3.453125" style="1" customWidth="1"/>
    <col min="11778" max="11778" width="9.1796875" style="1"/>
    <col min="11779" max="11779" width="131.81640625" style="1" bestFit="1" customWidth="1"/>
    <col min="11780" max="11780" width="19" style="1" customWidth="1"/>
    <col min="11781" max="11781" width="21.453125" style="1" bestFit="1" customWidth="1"/>
    <col min="11782" max="11782" width="9.1796875" style="1"/>
    <col min="11783" max="11784" width="10.26953125" style="1" bestFit="1" customWidth="1"/>
    <col min="11785" max="12032" width="9.1796875" style="1"/>
    <col min="12033" max="12033" width="3.453125" style="1" customWidth="1"/>
    <col min="12034" max="12034" width="9.1796875" style="1"/>
    <col min="12035" max="12035" width="131.81640625" style="1" bestFit="1" customWidth="1"/>
    <col min="12036" max="12036" width="19" style="1" customWidth="1"/>
    <col min="12037" max="12037" width="21.453125" style="1" bestFit="1" customWidth="1"/>
    <col min="12038" max="12038" width="9.1796875" style="1"/>
    <col min="12039" max="12040" width="10.26953125" style="1" bestFit="1" customWidth="1"/>
    <col min="12041" max="12288" width="9.1796875" style="1"/>
    <col min="12289" max="12289" width="3.453125" style="1" customWidth="1"/>
    <col min="12290" max="12290" width="9.1796875" style="1"/>
    <col min="12291" max="12291" width="131.81640625" style="1" bestFit="1" customWidth="1"/>
    <col min="12292" max="12292" width="19" style="1" customWidth="1"/>
    <col min="12293" max="12293" width="21.453125" style="1" bestFit="1" customWidth="1"/>
    <col min="12294" max="12294" width="9.1796875" style="1"/>
    <col min="12295" max="12296" width="10.26953125" style="1" bestFit="1" customWidth="1"/>
    <col min="12297" max="12544" width="9.1796875" style="1"/>
    <col min="12545" max="12545" width="3.453125" style="1" customWidth="1"/>
    <col min="12546" max="12546" width="9.1796875" style="1"/>
    <col min="12547" max="12547" width="131.81640625" style="1" bestFit="1" customWidth="1"/>
    <col min="12548" max="12548" width="19" style="1" customWidth="1"/>
    <col min="12549" max="12549" width="21.453125" style="1" bestFit="1" customWidth="1"/>
    <col min="12550" max="12550" width="9.1796875" style="1"/>
    <col min="12551" max="12552" width="10.26953125" style="1" bestFit="1" customWidth="1"/>
    <col min="12553" max="12800" width="9.1796875" style="1"/>
    <col min="12801" max="12801" width="3.453125" style="1" customWidth="1"/>
    <col min="12802" max="12802" width="9.1796875" style="1"/>
    <col min="12803" max="12803" width="131.81640625" style="1" bestFit="1" customWidth="1"/>
    <col min="12804" max="12804" width="19" style="1" customWidth="1"/>
    <col min="12805" max="12805" width="21.453125" style="1" bestFit="1" customWidth="1"/>
    <col min="12806" max="12806" width="9.1796875" style="1"/>
    <col min="12807" max="12808" width="10.26953125" style="1" bestFit="1" customWidth="1"/>
    <col min="12809" max="13056" width="9.1796875" style="1"/>
    <col min="13057" max="13057" width="3.453125" style="1" customWidth="1"/>
    <col min="13058" max="13058" width="9.1796875" style="1"/>
    <col min="13059" max="13059" width="131.81640625" style="1" bestFit="1" customWidth="1"/>
    <col min="13060" max="13060" width="19" style="1" customWidth="1"/>
    <col min="13061" max="13061" width="21.453125" style="1" bestFit="1" customWidth="1"/>
    <col min="13062" max="13062" width="9.1796875" style="1"/>
    <col min="13063" max="13064" width="10.26953125" style="1" bestFit="1" customWidth="1"/>
    <col min="13065" max="13312" width="9.1796875" style="1"/>
    <col min="13313" max="13313" width="3.453125" style="1" customWidth="1"/>
    <col min="13314" max="13314" width="9.1796875" style="1"/>
    <col min="13315" max="13315" width="131.81640625" style="1" bestFit="1" customWidth="1"/>
    <col min="13316" max="13316" width="19" style="1" customWidth="1"/>
    <col min="13317" max="13317" width="21.453125" style="1" bestFit="1" customWidth="1"/>
    <col min="13318" max="13318" width="9.1796875" style="1"/>
    <col min="13319" max="13320" width="10.26953125" style="1" bestFit="1" customWidth="1"/>
    <col min="13321" max="13568" width="9.1796875" style="1"/>
    <col min="13569" max="13569" width="3.453125" style="1" customWidth="1"/>
    <col min="13570" max="13570" width="9.1796875" style="1"/>
    <col min="13571" max="13571" width="131.81640625" style="1" bestFit="1" customWidth="1"/>
    <col min="13572" max="13572" width="19" style="1" customWidth="1"/>
    <col min="13573" max="13573" width="21.453125" style="1" bestFit="1" customWidth="1"/>
    <col min="13574" max="13574" width="9.1796875" style="1"/>
    <col min="13575" max="13576" width="10.26953125" style="1" bestFit="1" customWidth="1"/>
    <col min="13577" max="13824" width="9.1796875" style="1"/>
    <col min="13825" max="13825" width="3.453125" style="1" customWidth="1"/>
    <col min="13826" max="13826" width="9.1796875" style="1"/>
    <col min="13827" max="13827" width="131.81640625" style="1" bestFit="1" customWidth="1"/>
    <col min="13828" max="13828" width="19" style="1" customWidth="1"/>
    <col min="13829" max="13829" width="21.453125" style="1" bestFit="1" customWidth="1"/>
    <col min="13830" max="13830" width="9.1796875" style="1"/>
    <col min="13831" max="13832" width="10.26953125" style="1" bestFit="1" customWidth="1"/>
    <col min="13833" max="14080" width="9.1796875" style="1"/>
    <col min="14081" max="14081" width="3.453125" style="1" customWidth="1"/>
    <col min="14082" max="14082" width="9.1796875" style="1"/>
    <col min="14083" max="14083" width="131.81640625" style="1" bestFit="1" customWidth="1"/>
    <col min="14084" max="14084" width="19" style="1" customWidth="1"/>
    <col min="14085" max="14085" width="21.453125" style="1" bestFit="1" customWidth="1"/>
    <col min="14086" max="14086" width="9.1796875" style="1"/>
    <col min="14087" max="14088" width="10.26953125" style="1" bestFit="1" customWidth="1"/>
    <col min="14089" max="14336" width="9.1796875" style="1"/>
    <col min="14337" max="14337" width="3.453125" style="1" customWidth="1"/>
    <col min="14338" max="14338" width="9.1796875" style="1"/>
    <col min="14339" max="14339" width="131.81640625" style="1" bestFit="1" customWidth="1"/>
    <col min="14340" max="14340" width="19" style="1" customWidth="1"/>
    <col min="14341" max="14341" width="21.453125" style="1" bestFit="1" customWidth="1"/>
    <col min="14342" max="14342" width="9.1796875" style="1"/>
    <col min="14343" max="14344" width="10.26953125" style="1" bestFit="1" customWidth="1"/>
    <col min="14345" max="14592" width="9.1796875" style="1"/>
    <col min="14593" max="14593" width="3.453125" style="1" customWidth="1"/>
    <col min="14594" max="14594" width="9.1796875" style="1"/>
    <col min="14595" max="14595" width="131.81640625" style="1" bestFit="1" customWidth="1"/>
    <col min="14596" max="14596" width="19" style="1" customWidth="1"/>
    <col min="14597" max="14597" width="21.453125" style="1" bestFit="1" customWidth="1"/>
    <col min="14598" max="14598" width="9.1796875" style="1"/>
    <col min="14599" max="14600" width="10.26953125" style="1" bestFit="1" customWidth="1"/>
    <col min="14601" max="14848" width="9.1796875" style="1"/>
    <col min="14849" max="14849" width="3.453125" style="1" customWidth="1"/>
    <col min="14850" max="14850" width="9.1796875" style="1"/>
    <col min="14851" max="14851" width="131.81640625" style="1" bestFit="1" customWidth="1"/>
    <col min="14852" max="14852" width="19" style="1" customWidth="1"/>
    <col min="14853" max="14853" width="21.453125" style="1" bestFit="1" customWidth="1"/>
    <col min="14854" max="14854" width="9.1796875" style="1"/>
    <col min="14855" max="14856" width="10.26953125" style="1" bestFit="1" customWidth="1"/>
    <col min="14857" max="15104" width="9.1796875" style="1"/>
    <col min="15105" max="15105" width="3.453125" style="1" customWidth="1"/>
    <col min="15106" max="15106" width="9.1796875" style="1"/>
    <col min="15107" max="15107" width="131.81640625" style="1" bestFit="1" customWidth="1"/>
    <col min="15108" max="15108" width="19" style="1" customWidth="1"/>
    <col min="15109" max="15109" width="21.453125" style="1" bestFit="1" customWidth="1"/>
    <col min="15110" max="15110" width="9.1796875" style="1"/>
    <col min="15111" max="15112" width="10.26953125" style="1" bestFit="1" customWidth="1"/>
    <col min="15113" max="15360" width="9.1796875" style="1"/>
    <col min="15361" max="15361" width="3.453125" style="1" customWidth="1"/>
    <col min="15362" max="15362" width="9.1796875" style="1"/>
    <col min="15363" max="15363" width="131.81640625" style="1" bestFit="1" customWidth="1"/>
    <col min="15364" max="15364" width="19" style="1" customWidth="1"/>
    <col min="15365" max="15365" width="21.453125" style="1" bestFit="1" customWidth="1"/>
    <col min="15366" max="15366" width="9.1796875" style="1"/>
    <col min="15367" max="15368" width="10.26953125" style="1" bestFit="1" customWidth="1"/>
    <col min="15369" max="15616" width="9.1796875" style="1"/>
    <col min="15617" max="15617" width="3.453125" style="1" customWidth="1"/>
    <col min="15618" max="15618" width="9.1796875" style="1"/>
    <col min="15619" max="15619" width="131.81640625" style="1" bestFit="1" customWidth="1"/>
    <col min="15620" max="15620" width="19" style="1" customWidth="1"/>
    <col min="15621" max="15621" width="21.453125" style="1" bestFit="1" customWidth="1"/>
    <col min="15622" max="15622" width="9.1796875" style="1"/>
    <col min="15623" max="15624" width="10.26953125" style="1" bestFit="1" customWidth="1"/>
    <col min="15625" max="15872" width="9.1796875" style="1"/>
    <col min="15873" max="15873" width="3.453125" style="1" customWidth="1"/>
    <col min="15874" max="15874" width="9.1796875" style="1"/>
    <col min="15875" max="15875" width="131.81640625" style="1" bestFit="1" customWidth="1"/>
    <col min="15876" max="15876" width="19" style="1" customWidth="1"/>
    <col min="15877" max="15877" width="21.453125" style="1" bestFit="1" customWidth="1"/>
    <col min="15878" max="15878" width="9.1796875" style="1"/>
    <col min="15879" max="15880" width="10.26953125" style="1" bestFit="1" customWidth="1"/>
    <col min="15881" max="16128" width="9.1796875" style="1"/>
    <col min="16129" max="16129" width="3.453125" style="1" customWidth="1"/>
    <col min="16130" max="16130" width="9.1796875" style="1"/>
    <col min="16131" max="16131" width="131.81640625" style="1" bestFit="1" customWidth="1"/>
    <col min="16132" max="16132" width="19" style="1" customWidth="1"/>
    <col min="16133" max="16133" width="21.453125" style="1" bestFit="1" customWidth="1"/>
    <col min="16134" max="16134" width="9.1796875" style="1"/>
    <col min="16135" max="16136" width="10.26953125" style="1" bestFit="1" customWidth="1"/>
    <col min="16137" max="16384" width="9.1796875" style="1"/>
  </cols>
  <sheetData>
    <row r="1" spans="2:8" ht="13" thickBot="1" x14ac:dyDescent="0.3"/>
    <row r="2" spans="2:8" ht="13.5" thickBot="1" x14ac:dyDescent="0.35">
      <c r="B2" s="2"/>
      <c r="C2" s="2"/>
      <c r="D2" s="2"/>
      <c r="E2" s="2"/>
      <c r="F2" s="3" t="s">
        <v>13</v>
      </c>
      <c r="G2" s="4" t="s">
        <v>14</v>
      </c>
      <c r="H2" s="5" t="s">
        <v>15</v>
      </c>
    </row>
    <row r="3" spans="2:8" ht="13.5" thickBot="1" x14ac:dyDescent="0.35">
      <c r="B3" s="6" t="s">
        <v>16</v>
      </c>
      <c r="C3" s="7" t="s">
        <v>17</v>
      </c>
      <c r="D3" s="7" t="s">
        <v>18</v>
      </c>
      <c r="E3" s="7" t="s">
        <v>19</v>
      </c>
      <c r="F3" s="8" t="s">
        <v>20</v>
      </c>
      <c r="G3" s="5" t="s">
        <v>21</v>
      </c>
      <c r="H3" s="5" t="s">
        <v>21</v>
      </c>
    </row>
    <row r="4" spans="2:8" ht="13.5" thickBot="1" x14ac:dyDescent="0.35">
      <c r="B4" s="9">
        <v>1</v>
      </c>
      <c r="C4" s="10" t="s">
        <v>22</v>
      </c>
      <c r="D4" s="10"/>
      <c r="E4" s="11" t="s">
        <v>8</v>
      </c>
      <c r="F4" s="12" t="s">
        <v>23</v>
      </c>
      <c r="G4" s="12">
        <v>0</v>
      </c>
      <c r="H4" s="13">
        <f>SUM(G4:G4)</f>
        <v>0</v>
      </c>
    </row>
    <row r="5" spans="2:8" ht="13.5" thickBot="1" x14ac:dyDescent="0.35">
      <c r="B5" s="9"/>
      <c r="C5" s="14" t="s">
        <v>24</v>
      </c>
      <c r="D5" s="15" t="s">
        <v>25</v>
      </c>
      <c r="E5" s="16" t="s">
        <v>9</v>
      </c>
      <c r="F5" s="17" t="s">
        <v>23</v>
      </c>
      <c r="G5" s="17">
        <f>G4</f>
        <v>0</v>
      </c>
      <c r="H5" s="13">
        <f t="shared" ref="H5:H68" si="0">SUM(G5:G5)</f>
        <v>0</v>
      </c>
    </row>
    <row r="6" spans="2:8" ht="13.5" thickBot="1" x14ac:dyDescent="0.35">
      <c r="B6" s="9"/>
      <c r="C6" s="14" t="s">
        <v>26</v>
      </c>
      <c r="D6" s="14" t="s">
        <v>27</v>
      </c>
      <c r="E6" s="18" t="s">
        <v>8</v>
      </c>
      <c r="F6" s="17" t="s">
        <v>23</v>
      </c>
      <c r="G6" s="17">
        <f>G4</f>
        <v>0</v>
      </c>
      <c r="H6" s="13">
        <f t="shared" si="0"/>
        <v>0</v>
      </c>
    </row>
    <row r="7" spans="2:8" ht="13.5" thickBot="1" x14ac:dyDescent="0.35">
      <c r="B7" s="9"/>
      <c r="C7" s="14" t="s">
        <v>28</v>
      </c>
      <c r="D7" s="14" t="s">
        <v>29</v>
      </c>
      <c r="E7" s="18" t="s">
        <v>8</v>
      </c>
      <c r="F7" s="17" t="s">
        <v>23</v>
      </c>
      <c r="G7" s="17">
        <f>G4</f>
        <v>0</v>
      </c>
      <c r="H7" s="13">
        <f t="shared" si="0"/>
        <v>0</v>
      </c>
    </row>
    <row r="8" spans="2:8" ht="13.5" thickBot="1" x14ac:dyDescent="0.35">
      <c r="B8" s="9">
        <f>COUNT($B$4:B7)+1</f>
        <v>2</v>
      </c>
      <c r="C8" s="10" t="s">
        <v>30</v>
      </c>
      <c r="D8" s="10"/>
      <c r="E8" s="11" t="s">
        <v>8</v>
      </c>
      <c r="F8" s="12" t="s">
        <v>23</v>
      </c>
      <c r="G8" s="12"/>
      <c r="H8" s="13">
        <f t="shared" si="0"/>
        <v>0</v>
      </c>
    </row>
    <row r="9" spans="2:8" ht="13.5" thickBot="1" x14ac:dyDescent="0.35">
      <c r="B9" s="9"/>
      <c r="C9" s="14" t="s">
        <v>24</v>
      </c>
      <c r="D9" s="15" t="s">
        <v>25</v>
      </c>
      <c r="E9" s="16" t="s">
        <v>9</v>
      </c>
      <c r="F9" s="17" t="s">
        <v>23</v>
      </c>
      <c r="G9" s="17">
        <f>G8</f>
        <v>0</v>
      </c>
      <c r="H9" s="13">
        <f t="shared" si="0"/>
        <v>0</v>
      </c>
    </row>
    <row r="10" spans="2:8" ht="13.5" thickBot="1" x14ac:dyDescent="0.35">
      <c r="B10" s="9"/>
      <c r="C10" s="14" t="s">
        <v>26</v>
      </c>
      <c r="D10" s="14" t="s">
        <v>27</v>
      </c>
      <c r="E10" s="18" t="s">
        <v>8</v>
      </c>
      <c r="F10" s="17" t="s">
        <v>23</v>
      </c>
      <c r="G10" s="17">
        <f>G8</f>
        <v>0</v>
      </c>
      <c r="H10" s="13">
        <f t="shared" si="0"/>
        <v>0</v>
      </c>
    </row>
    <row r="11" spans="2:8" ht="13.5" thickBot="1" x14ac:dyDescent="0.35">
      <c r="B11" s="9"/>
      <c r="C11" s="14" t="s">
        <v>28</v>
      </c>
      <c r="D11" s="14" t="s">
        <v>29</v>
      </c>
      <c r="E11" s="18" t="s">
        <v>8</v>
      </c>
      <c r="F11" s="17" t="s">
        <v>23</v>
      </c>
      <c r="G11" s="17">
        <f>G8</f>
        <v>0</v>
      </c>
      <c r="H11" s="13">
        <f t="shared" si="0"/>
        <v>0</v>
      </c>
    </row>
    <row r="12" spans="2:8" ht="13.5" thickBot="1" x14ac:dyDescent="0.35">
      <c r="B12" s="9"/>
      <c r="C12" s="14" t="s">
        <v>31</v>
      </c>
      <c r="D12" s="14" t="s">
        <v>32</v>
      </c>
      <c r="E12" s="18" t="s">
        <v>8</v>
      </c>
      <c r="F12" s="17" t="s">
        <v>23</v>
      </c>
      <c r="G12" s="17">
        <f>G8</f>
        <v>0</v>
      </c>
      <c r="H12" s="13">
        <f t="shared" si="0"/>
        <v>0</v>
      </c>
    </row>
    <row r="13" spans="2:8" ht="13.5" thickBot="1" x14ac:dyDescent="0.35">
      <c r="B13" s="9">
        <f>COUNT($B$4:B12)+1</f>
        <v>3</v>
      </c>
      <c r="C13" s="10" t="s">
        <v>33</v>
      </c>
      <c r="D13" s="10"/>
      <c r="E13" s="11" t="s">
        <v>8</v>
      </c>
      <c r="F13" s="12" t="s">
        <v>23</v>
      </c>
      <c r="G13" s="12"/>
      <c r="H13" s="13">
        <f t="shared" si="0"/>
        <v>0</v>
      </c>
    </row>
    <row r="14" spans="2:8" ht="13.5" thickBot="1" x14ac:dyDescent="0.35">
      <c r="B14" s="9"/>
      <c r="C14" s="14" t="s">
        <v>24</v>
      </c>
      <c r="D14" s="15" t="s">
        <v>25</v>
      </c>
      <c r="E14" s="16" t="s">
        <v>9</v>
      </c>
      <c r="F14" s="17" t="s">
        <v>23</v>
      </c>
      <c r="G14" s="17">
        <f>G13</f>
        <v>0</v>
      </c>
      <c r="H14" s="13">
        <f t="shared" si="0"/>
        <v>0</v>
      </c>
    </row>
    <row r="15" spans="2:8" ht="13.5" thickBot="1" x14ac:dyDescent="0.35">
      <c r="B15" s="9"/>
      <c r="C15" s="14" t="s">
        <v>34</v>
      </c>
      <c r="D15" s="14" t="s">
        <v>27</v>
      </c>
      <c r="E15" s="18" t="s">
        <v>8</v>
      </c>
      <c r="F15" s="17" t="s">
        <v>23</v>
      </c>
      <c r="G15" s="17">
        <f>G13</f>
        <v>0</v>
      </c>
      <c r="H15" s="13">
        <f t="shared" si="0"/>
        <v>0</v>
      </c>
    </row>
    <row r="16" spans="2:8" ht="13.5" thickBot="1" x14ac:dyDescent="0.35">
      <c r="B16" s="9"/>
      <c r="C16" s="14" t="s">
        <v>28</v>
      </c>
      <c r="D16" s="14" t="s">
        <v>29</v>
      </c>
      <c r="E16" s="18" t="s">
        <v>8</v>
      </c>
      <c r="F16" s="17" t="s">
        <v>23</v>
      </c>
      <c r="G16" s="17">
        <f>G13</f>
        <v>0</v>
      </c>
      <c r="H16" s="13">
        <f t="shared" si="0"/>
        <v>0</v>
      </c>
    </row>
    <row r="17" spans="2:13" ht="13.5" thickBot="1" x14ac:dyDescent="0.35">
      <c r="B17" s="9">
        <f>COUNT($B$4:B16)+1</f>
        <v>4</v>
      </c>
      <c r="C17" s="10" t="s">
        <v>35</v>
      </c>
      <c r="D17" s="10"/>
      <c r="E17" s="11" t="s">
        <v>8</v>
      </c>
      <c r="F17" s="12" t="s">
        <v>23</v>
      </c>
      <c r="G17" s="12"/>
      <c r="H17" s="13">
        <f t="shared" si="0"/>
        <v>0</v>
      </c>
    </row>
    <row r="18" spans="2:13" ht="13.5" thickBot="1" x14ac:dyDescent="0.35">
      <c r="B18" s="9"/>
      <c r="C18" s="14" t="s">
        <v>24</v>
      </c>
      <c r="D18" s="15" t="s">
        <v>25</v>
      </c>
      <c r="E18" s="16" t="s">
        <v>9</v>
      </c>
      <c r="F18" s="17" t="s">
        <v>23</v>
      </c>
      <c r="G18" s="17">
        <f>G17</f>
        <v>0</v>
      </c>
      <c r="H18" s="13">
        <f t="shared" si="0"/>
        <v>0</v>
      </c>
    </row>
    <row r="19" spans="2:13" ht="13.5" thickBot="1" x14ac:dyDescent="0.35">
      <c r="B19" s="9"/>
      <c r="C19" s="14" t="s">
        <v>34</v>
      </c>
      <c r="D19" s="14" t="s">
        <v>27</v>
      </c>
      <c r="E19" s="18" t="s">
        <v>8</v>
      </c>
      <c r="F19" s="17" t="s">
        <v>23</v>
      </c>
      <c r="G19" s="17">
        <f>G17</f>
        <v>0</v>
      </c>
      <c r="H19" s="13">
        <f t="shared" si="0"/>
        <v>0</v>
      </c>
    </row>
    <row r="20" spans="2:13" ht="13.5" thickBot="1" x14ac:dyDescent="0.35">
      <c r="B20" s="9"/>
      <c r="C20" s="14" t="s">
        <v>28</v>
      </c>
      <c r="D20" s="14" t="s">
        <v>29</v>
      </c>
      <c r="E20" s="18" t="s">
        <v>8</v>
      </c>
      <c r="F20" s="17" t="s">
        <v>23</v>
      </c>
      <c r="G20" s="17">
        <f>G17</f>
        <v>0</v>
      </c>
      <c r="H20" s="13">
        <f t="shared" si="0"/>
        <v>0</v>
      </c>
    </row>
    <row r="21" spans="2:13" ht="13.5" thickBot="1" x14ac:dyDescent="0.35">
      <c r="B21" s="9"/>
      <c r="C21" s="14" t="s">
        <v>31</v>
      </c>
      <c r="D21" s="14" t="s">
        <v>32</v>
      </c>
      <c r="E21" s="18" t="s">
        <v>8</v>
      </c>
      <c r="F21" s="17" t="s">
        <v>23</v>
      </c>
      <c r="G21" s="17">
        <f>G17</f>
        <v>0</v>
      </c>
      <c r="H21" s="13">
        <f t="shared" si="0"/>
        <v>0</v>
      </c>
    </row>
    <row r="22" spans="2:13" ht="13.5" thickBot="1" x14ac:dyDescent="0.35">
      <c r="B22" s="9">
        <f>COUNT($B$4:B21)+1</f>
        <v>5</v>
      </c>
      <c r="C22" s="10" t="s">
        <v>36</v>
      </c>
      <c r="D22" s="10" t="s">
        <v>37</v>
      </c>
      <c r="E22" s="11" t="s">
        <v>8</v>
      </c>
      <c r="F22" s="12" t="s">
        <v>23</v>
      </c>
      <c r="G22" s="12"/>
      <c r="H22" s="13">
        <f t="shared" si="0"/>
        <v>0</v>
      </c>
    </row>
    <row r="23" spans="2:13" ht="13.5" thickBot="1" x14ac:dyDescent="0.35">
      <c r="B23" s="9"/>
      <c r="C23" s="14" t="s">
        <v>24</v>
      </c>
      <c r="D23" s="15" t="s">
        <v>25</v>
      </c>
      <c r="E23" s="16" t="s">
        <v>9</v>
      </c>
      <c r="F23" s="17" t="s">
        <v>23</v>
      </c>
      <c r="G23" s="17">
        <f>G22</f>
        <v>0</v>
      </c>
      <c r="H23" s="13">
        <f t="shared" si="0"/>
        <v>0</v>
      </c>
    </row>
    <row r="24" spans="2:13" ht="13.5" thickBot="1" x14ac:dyDescent="0.35">
      <c r="B24" s="9"/>
      <c r="C24" s="14" t="s">
        <v>26</v>
      </c>
      <c r="D24" s="14" t="s">
        <v>27</v>
      </c>
      <c r="E24" s="18" t="s">
        <v>8</v>
      </c>
      <c r="F24" s="17" t="s">
        <v>23</v>
      </c>
      <c r="G24" s="17">
        <f>G22</f>
        <v>0</v>
      </c>
      <c r="H24" s="13">
        <f t="shared" si="0"/>
        <v>0</v>
      </c>
      <c r="M24" s="23"/>
    </row>
    <row r="25" spans="2:13" ht="13.5" thickBot="1" x14ac:dyDescent="0.35">
      <c r="B25" s="9"/>
      <c r="C25" s="14" t="s">
        <v>38</v>
      </c>
      <c r="D25" s="14" t="s">
        <v>37</v>
      </c>
      <c r="E25" s="18" t="s">
        <v>8</v>
      </c>
      <c r="F25" s="17" t="s">
        <v>23</v>
      </c>
      <c r="G25" s="17">
        <f>G22</f>
        <v>0</v>
      </c>
      <c r="H25" s="13">
        <f t="shared" si="0"/>
        <v>0</v>
      </c>
    </row>
    <row r="26" spans="2:13" ht="13.5" thickBot="1" x14ac:dyDescent="0.35">
      <c r="B26" s="9">
        <f>COUNT($B$4:B25)+1</f>
        <v>6</v>
      </c>
      <c r="C26" s="10" t="s">
        <v>39</v>
      </c>
      <c r="D26" s="10" t="s">
        <v>37</v>
      </c>
      <c r="E26" s="11" t="s">
        <v>8</v>
      </c>
      <c r="F26" s="12" t="s">
        <v>23</v>
      </c>
      <c r="G26" s="12"/>
      <c r="H26" s="13">
        <f t="shared" si="0"/>
        <v>0</v>
      </c>
    </row>
    <row r="27" spans="2:13" ht="13.5" thickBot="1" x14ac:dyDescent="0.35">
      <c r="B27" s="9"/>
      <c r="C27" s="14" t="s">
        <v>24</v>
      </c>
      <c r="D27" s="15" t="s">
        <v>25</v>
      </c>
      <c r="E27" s="16" t="s">
        <v>9</v>
      </c>
      <c r="F27" s="17" t="s">
        <v>23</v>
      </c>
      <c r="G27" s="17">
        <f>G26</f>
        <v>0</v>
      </c>
      <c r="H27" s="13">
        <f t="shared" si="0"/>
        <v>0</v>
      </c>
    </row>
    <row r="28" spans="2:13" ht="13.5" thickBot="1" x14ac:dyDescent="0.35">
      <c r="B28" s="9"/>
      <c r="C28" s="14" t="s">
        <v>34</v>
      </c>
      <c r="D28" s="14" t="s">
        <v>27</v>
      </c>
      <c r="E28" s="18" t="s">
        <v>8</v>
      </c>
      <c r="F28" s="17" t="s">
        <v>23</v>
      </c>
      <c r="G28" s="17">
        <f>G26</f>
        <v>0</v>
      </c>
      <c r="H28" s="13">
        <f t="shared" si="0"/>
        <v>0</v>
      </c>
    </row>
    <row r="29" spans="2:13" ht="13.5" thickBot="1" x14ac:dyDescent="0.35">
      <c r="B29" s="9"/>
      <c r="C29" s="14" t="s">
        <v>38</v>
      </c>
      <c r="D29" s="14" t="s">
        <v>37</v>
      </c>
      <c r="E29" s="18" t="s">
        <v>8</v>
      </c>
      <c r="F29" s="17" t="s">
        <v>23</v>
      </c>
      <c r="G29" s="17">
        <f>G26</f>
        <v>0</v>
      </c>
      <c r="H29" s="13">
        <f t="shared" si="0"/>
        <v>0</v>
      </c>
    </row>
    <row r="30" spans="2:13" ht="13.5" thickBot="1" x14ac:dyDescent="0.35">
      <c r="B30" s="9">
        <f>COUNT($B$4:B29)+1</f>
        <v>7</v>
      </c>
      <c r="C30" s="10" t="s">
        <v>40</v>
      </c>
      <c r="D30" s="10" t="s">
        <v>37</v>
      </c>
      <c r="E30" s="11" t="s">
        <v>8</v>
      </c>
      <c r="F30" s="12" t="s">
        <v>23</v>
      </c>
      <c r="G30" s="12"/>
      <c r="H30" s="13">
        <f t="shared" si="0"/>
        <v>0</v>
      </c>
    </row>
    <row r="31" spans="2:13" ht="13.5" thickBot="1" x14ac:dyDescent="0.35">
      <c r="B31" s="9"/>
      <c r="C31" s="14" t="s">
        <v>41</v>
      </c>
      <c r="D31" s="14" t="s">
        <v>42</v>
      </c>
      <c r="E31" s="18" t="s">
        <v>9</v>
      </c>
      <c r="F31" s="17" t="s">
        <v>23</v>
      </c>
      <c r="G31" s="17">
        <f>G30</f>
        <v>0</v>
      </c>
      <c r="H31" s="13">
        <f t="shared" si="0"/>
        <v>0</v>
      </c>
    </row>
    <row r="32" spans="2:13" ht="13.5" thickBot="1" x14ac:dyDescent="0.35">
      <c r="B32" s="9"/>
      <c r="C32" s="14" t="s">
        <v>43</v>
      </c>
      <c r="D32" s="14" t="s">
        <v>27</v>
      </c>
      <c r="E32" s="18" t="s">
        <v>8</v>
      </c>
      <c r="F32" s="17" t="s">
        <v>23</v>
      </c>
      <c r="G32" s="17">
        <f>G30</f>
        <v>0</v>
      </c>
      <c r="H32" s="13">
        <f t="shared" si="0"/>
        <v>0</v>
      </c>
    </row>
    <row r="33" spans="2:14" ht="13.5" thickBot="1" x14ac:dyDescent="0.35">
      <c r="B33" s="9"/>
      <c r="C33" s="14" t="s">
        <v>44</v>
      </c>
      <c r="D33" s="14" t="s">
        <v>37</v>
      </c>
      <c r="E33" s="18" t="s">
        <v>8</v>
      </c>
      <c r="F33" s="17" t="s">
        <v>23</v>
      </c>
      <c r="G33" s="17">
        <f>G30</f>
        <v>0</v>
      </c>
      <c r="H33" s="13">
        <f t="shared" si="0"/>
        <v>0</v>
      </c>
      <c r="N33" s="22"/>
    </row>
    <row r="34" spans="2:14" ht="13.5" thickBot="1" x14ac:dyDescent="0.35">
      <c r="B34" s="9">
        <f>COUNT($B$4:B33)+1</f>
        <v>8</v>
      </c>
      <c r="C34" s="10" t="s">
        <v>45</v>
      </c>
      <c r="D34" s="10" t="s">
        <v>37</v>
      </c>
      <c r="E34" s="11" t="s">
        <v>8</v>
      </c>
      <c r="F34" s="12" t="s">
        <v>23</v>
      </c>
      <c r="G34" s="12"/>
      <c r="H34" s="13">
        <f t="shared" si="0"/>
        <v>0</v>
      </c>
    </row>
    <row r="35" spans="2:14" ht="13.5" thickBot="1" x14ac:dyDescent="0.35">
      <c r="B35" s="9"/>
      <c r="C35" s="14" t="s">
        <v>41</v>
      </c>
      <c r="D35" s="14" t="s">
        <v>42</v>
      </c>
      <c r="E35" s="18" t="s">
        <v>9</v>
      </c>
      <c r="F35" s="17" t="s">
        <v>23</v>
      </c>
      <c r="G35" s="17">
        <f>G34</f>
        <v>0</v>
      </c>
      <c r="H35" s="13">
        <f t="shared" si="0"/>
        <v>0</v>
      </c>
    </row>
    <row r="36" spans="2:14" ht="13.5" thickBot="1" x14ac:dyDescent="0.35">
      <c r="B36" s="9"/>
      <c r="C36" s="14" t="s">
        <v>46</v>
      </c>
      <c r="D36" s="14" t="s">
        <v>27</v>
      </c>
      <c r="E36" s="18" t="s">
        <v>8</v>
      </c>
      <c r="F36" s="17" t="s">
        <v>23</v>
      </c>
      <c r="G36" s="17">
        <f>G34</f>
        <v>0</v>
      </c>
      <c r="H36" s="13">
        <f t="shared" si="0"/>
        <v>0</v>
      </c>
    </row>
    <row r="37" spans="2:14" ht="13.5" thickBot="1" x14ac:dyDescent="0.35">
      <c r="B37" s="9"/>
      <c r="C37" s="14" t="s">
        <v>44</v>
      </c>
      <c r="D37" s="14" t="s">
        <v>37</v>
      </c>
      <c r="E37" s="18" t="s">
        <v>8</v>
      </c>
      <c r="F37" s="17" t="s">
        <v>23</v>
      </c>
      <c r="G37" s="17">
        <f>G34</f>
        <v>0</v>
      </c>
      <c r="H37" s="13">
        <f t="shared" si="0"/>
        <v>0</v>
      </c>
    </row>
    <row r="38" spans="2:14" ht="13.5" thickBot="1" x14ac:dyDescent="0.35">
      <c r="B38" s="9">
        <f>COUNT($B$4:B37)+1</f>
        <v>9</v>
      </c>
      <c r="C38" s="10" t="s">
        <v>47</v>
      </c>
      <c r="D38" s="10"/>
      <c r="E38" s="11" t="s">
        <v>6</v>
      </c>
      <c r="F38" s="12" t="s">
        <v>23</v>
      </c>
      <c r="G38" s="12"/>
      <c r="H38" s="13">
        <f t="shared" si="0"/>
        <v>0</v>
      </c>
    </row>
    <row r="39" spans="2:14" ht="13.5" thickBot="1" x14ac:dyDescent="0.35">
      <c r="B39" s="9"/>
      <c r="C39" s="14" t="s">
        <v>48</v>
      </c>
      <c r="D39" s="14" t="s">
        <v>49</v>
      </c>
      <c r="E39" s="18" t="s">
        <v>6</v>
      </c>
      <c r="F39" s="17" t="s">
        <v>23</v>
      </c>
      <c r="G39" s="17">
        <f>G38</f>
        <v>0</v>
      </c>
      <c r="H39" s="13">
        <f t="shared" si="0"/>
        <v>0</v>
      </c>
    </row>
    <row r="40" spans="2:14" ht="13.5" thickBot="1" x14ac:dyDescent="0.35">
      <c r="B40" s="9"/>
      <c r="C40" s="14" t="s">
        <v>50</v>
      </c>
      <c r="D40" s="14" t="s">
        <v>49</v>
      </c>
      <c r="E40" s="18" t="s">
        <v>6</v>
      </c>
      <c r="F40" s="17" t="s">
        <v>23</v>
      </c>
      <c r="G40" s="17">
        <f>G38</f>
        <v>0</v>
      </c>
      <c r="H40" s="13">
        <f t="shared" si="0"/>
        <v>0</v>
      </c>
    </row>
    <row r="41" spans="2:14" ht="13.5" thickBot="1" x14ac:dyDescent="0.35">
      <c r="B41" s="9">
        <f>COUNT($B$4:B38)+1</f>
        <v>10</v>
      </c>
      <c r="C41" s="10" t="s">
        <v>1667</v>
      </c>
      <c r="D41" s="10"/>
      <c r="E41" s="11" t="s">
        <v>6</v>
      </c>
      <c r="F41" s="12" t="s">
        <v>51</v>
      </c>
      <c r="G41" s="12">
        <v>0</v>
      </c>
      <c r="H41" s="13">
        <f t="shared" si="0"/>
        <v>0</v>
      </c>
    </row>
    <row r="42" spans="2:14" ht="13.5" thickBot="1" x14ac:dyDescent="0.35">
      <c r="B42" s="9"/>
      <c r="C42" s="14" t="s">
        <v>1649</v>
      </c>
      <c r="D42" s="14" t="s">
        <v>49</v>
      </c>
      <c r="E42" s="18" t="s">
        <v>6</v>
      </c>
      <c r="F42" s="17" t="s">
        <v>23</v>
      </c>
      <c r="G42" s="17">
        <f>ROUNDUP(G41/3,0)</f>
        <v>0</v>
      </c>
      <c r="H42" s="13">
        <f t="shared" si="0"/>
        <v>0</v>
      </c>
    </row>
    <row r="43" spans="2:14" ht="13.5" thickBot="1" x14ac:dyDescent="0.35">
      <c r="B43" s="9"/>
      <c r="C43" s="14" t="s">
        <v>52</v>
      </c>
      <c r="D43" s="14" t="s">
        <v>49</v>
      </c>
      <c r="E43" s="18" t="s">
        <v>0</v>
      </c>
      <c r="F43" s="17" t="s">
        <v>23</v>
      </c>
      <c r="G43" s="17">
        <f>G42*2</f>
        <v>0</v>
      </c>
      <c r="H43" s="13">
        <f t="shared" si="0"/>
        <v>0</v>
      </c>
    </row>
    <row r="44" spans="2:14" ht="13.5" thickBot="1" x14ac:dyDescent="0.35">
      <c r="B44" s="9"/>
      <c r="C44" s="14" t="s">
        <v>53</v>
      </c>
      <c r="D44" s="14" t="s">
        <v>49</v>
      </c>
      <c r="E44" s="18" t="s">
        <v>0</v>
      </c>
      <c r="F44" s="17" t="s">
        <v>23</v>
      </c>
      <c r="G44" s="17">
        <f>G42*2</f>
        <v>0</v>
      </c>
      <c r="H44" s="13">
        <f t="shared" si="0"/>
        <v>0</v>
      </c>
    </row>
    <row r="45" spans="2:14" ht="13.5" thickBot="1" x14ac:dyDescent="0.35">
      <c r="B45" s="9"/>
      <c r="C45" s="14" t="s">
        <v>54</v>
      </c>
      <c r="D45" s="14" t="s">
        <v>49</v>
      </c>
      <c r="E45" s="18" t="s">
        <v>0</v>
      </c>
      <c r="F45" s="17" t="s">
        <v>23</v>
      </c>
      <c r="G45" s="17">
        <f>G42*5</f>
        <v>0</v>
      </c>
      <c r="H45" s="13">
        <f t="shared" si="0"/>
        <v>0</v>
      </c>
    </row>
    <row r="46" spans="2:14" ht="13.5" thickBot="1" x14ac:dyDescent="0.35">
      <c r="B46" s="9">
        <f>COUNT($B$4:B45)+1</f>
        <v>11</v>
      </c>
      <c r="C46" s="10" t="s">
        <v>1668</v>
      </c>
      <c r="D46" s="10"/>
      <c r="E46" s="11" t="s">
        <v>6</v>
      </c>
      <c r="F46" s="12" t="s">
        <v>51</v>
      </c>
      <c r="G46" s="12">
        <v>250</v>
      </c>
      <c r="H46" s="13">
        <f t="shared" si="0"/>
        <v>250</v>
      </c>
    </row>
    <row r="47" spans="2:14" ht="13.5" thickBot="1" x14ac:dyDescent="0.35">
      <c r="B47" s="9"/>
      <c r="C47" s="14" t="s">
        <v>1649</v>
      </c>
      <c r="D47" s="14" t="s">
        <v>49</v>
      </c>
      <c r="E47" s="18" t="s">
        <v>6</v>
      </c>
      <c r="F47" s="17" t="s">
        <v>23</v>
      </c>
      <c r="G47" s="17">
        <f>ROUNDUP(G46/3,0)</f>
        <v>84</v>
      </c>
      <c r="H47" s="13">
        <f t="shared" si="0"/>
        <v>84</v>
      </c>
    </row>
    <row r="48" spans="2:14" ht="13.5" thickBot="1" x14ac:dyDescent="0.35">
      <c r="B48" s="9"/>
      <c r="C48" s="14" t="s">
        <v>55</v>
      </c>
      <c r="D48" s="14" t="s">
        <v>49</v>
      </c>
      <c r="E48" s="18" t="s">
        <v>6</v>
      </c>
      <c r="F48" s="17" t="s">
        <v>23</v>
      </c>
      <c r="G48" s="17">
        <f>G47*5</f>
        <v>420</v>
      </c>
      <c r="H48" s="13">
        <f t="shared" si="0"/>
        <v>420</v>
      </c>
    </row>
    <row r="49" spans="2:8" ht="13.5" thickBot="1" x14ac:dyDescent="0.35">
      <c r="B49" s="9"/>
      <c r="C49" s="14" t="s">
        <v>52</v>
      </c>
      <c r="D49" s="14" t="s">
        <v>49</v>
      </c>
      <c r="E49" s="18" t="s">
        <v>0</v>
      </c>
      <c r="F49" s="17" t="s">
        <v>23</v>
      </c>
      <c r="G49" s="17">
        <f>G47*3</f>
        <v>252</v>
      </c>
      <c r="H49" s="13">
        <f t="shared" si="0"/>
        <v>252</v>
      </c>
    </row>
    <row r="50" spans="2:8" ht="13.5" thickBot="1" x14ac:dyDescent="0.35">
      <c r="B50" s="9"/>
      <c r="C50" s="14" t="s">
        <v>53</v>
      </c>
      <c r="D50" s="14" t="s">
        <v>49</v>
      </c>
      <c r="E50" s="18" t="s">
        <v>0</v>
      </c>
      <c r="F50" s="17" t="s">
        <v>23</v>
      </c>
      <c r="G50" s="17">
        <f>G47*3</f>
        <v>252</v>
      </c>
      <c r="H50" s="13">
        <f t="shared" si="0"/>
        <v>252</v>
      </c>
    </row>
    <row r="51" spans="2:8" ht="13.5" thickBot="1" x14ac:dyDescent="0.35">
      <c r="B51" s="9">
        <f>COUNT($B$4:B50)+1</f>
        <v>12</v>
      </c>
      <c r="C51" s="10" t="s">
        <v>56</v>
      </c>
      <c r="D51" s="10"/>
      <c r="E51" s="11" t="s">
        <v>6</v>
      </c>
      <c r="F51" s="12" t="s">
        <v>51</v>
      </c>
      <c r="G51" s="17"/>
      <c r="H51" s="13">
        <f t="shared" si="0"/>
        <v>0</v>
      </c>
    </row>
    <row r="52" spans="2:8" ht="13.5" thickBot="1" x14ac:dyDescent="0.35">
      <c r="B52" s="9"/>
      <c r="C52" s="14" t="s">
        <v>57</v>
      </c>
      <c r="D52" s="14" t="s">
        <v>49</v>
      </c>
      <c r="E52" s="18" t="s">
        <v>6</v>
      </c>
      <c r="F52" s="17" t="s">
        <v>23</v>
      </c>
      <c r="G52" s="17">
        <f>ROUNDUP(G51/3.4,0)</f>
        <v>0</v>
      </c>
      <c r="H52" s="13">
        <f t="shared" si="0"/>
        <v>0</v>
      </c>
    </row>
    <row r="53" spans="2:8" ht="13.5" thickBot="1" x14ac:dyDescent="0.35">
      <c r="B53" s="9"/>
      <c r="C53" s="14" t="s">
        <v>58</v>
      </c>
      <c r="D53" s="14" t="s">
        <v>49</v>
      </c>
      <c r="E53" s="18" t="s">
        <v>6</v>
      </c>
      <c r="F53" s="17" t="s">
        <v>23</v>
      </c>
      <c r="G53" s="17">
        <f>G52</f>
        <v>0</v>
      </c>
      <c r="H53" s="13">
        <f t="shared" si="0"/>
        <v>0</v>
      </c>
    </row>
    <row r="54" spans="2:8" ht="13.5" thickBot="1" x14ac:dyDescent="0.35">
      <c r="B54" s="9">
        <f>COUNT($B$4:B53)+1</f>
        <v>13</v>
      </c>
      <c r="C54" s="10" t="s">
        <v>59</v>
      </c>
      <c r="D54" s="10" t="s">
        <v>60</v>
      </c>
      <c r="E54" s="11" t="s">
        <v>5</v>
      </c>
      <c r="F54" s="12" t="s">
        <v>23</v>
      </c>
      <c r="G54" s="12">
        <v>27</v>
      </c>
      <c r="H54" s="13">
        <f t="shared" si="0"/>
        <v>27</v>
      </c>
    </row>
    <row r="55" spans="2:8" ht="13.5" thickBot="1" x14ac:dyDescent="0.35">
      <c r="B55" s="9">
        <f>COUNT($B$4:B54)+1</f>
        <v>14</v>
      </c>
      <c r="C55" s="10" t="s">
        <v>61</v>
      </c>
      <c r="D55" s="10"/>
      <c r="E55" s="11" t="s">
        <v>3</v>
      </c>
      <c r="F55" s="12" t="s">
        <v>23</v>
      </c>
      <c r="G55" s="12"/>
      <c r="H55" s="13">
        <f t="shared" si="0"/>
        <v>0</v>
      </c>
    </row>
    <row r="56" spans="2:8" ht="13.5" thickBot="1" x14ac:dyDescent="0.35">
      <c r="B56" s="9"/>
      <c r="C56" s="14" t="s">
        <v>24</v>
      </c>
      <c r="D56" s="15" t="s">
        <v>25</v>
      </c>
      <c r="E56" s="16" t="s">
        <v>9</v>
      </c>
      <c r="F56" s="17" t="s">
        <v>23</v>
      </c>
      <c r="G56" s="17">
        <f>G55</f>
        <v>0</v>
      </c>
      <c r="H56" s="13">
        <f t="shared" si="0"/>
        <v>0</v>
      </c>
    </row>
    <row r="57" spans="2:8" ht="13.5" thickBot="1" x14ac:dyDescent="0.35">
      <c r="B57" s="9"/>
      <c r="C57" s="14" t="s">
        <v>62</v>
      </c>
      <c r="D57" s="14"/>
      <c r="E57" s="18" t="s">
        <v>3</v>
      </c>
      <c r="F57" s="17" t="s">
        <v>23</v>
      </c>
      <c r="G57" s="17">
        <f>G55</f>
        <v>0</v>
      </c>
      <c r="H57" s="13">
        <f t="shared" si="0"/>
        <v>0</v>
      </c>
    </row>
    <row r="58" spans="2:8" ht="13.5" thickBot="1" x14ac:dyDescent="0.35">
      <c r="B58" s="9">
        <f>COUNT($B$4:B54)+1</f>
        <v>14</v>
      </c>
      <c r="C58" s="10" t="s">
        <v>63</v>
      </c>
      <c r="D58" s="10"/>
      <c r="E58" s="11" t="s">
        <v>5</v>
      </c>
      <c r="F58" s="12" t="s">
        <v>23</v>
      </c>
      <c r="G58" s="12"/>
      <c r="H58" s="13">
        <f t="shared" si="0"/>
        <v>0</v>
      </c>
    </row>
    <row r="59" spans="2:8" ht="13.5" thickBot="1" x14ac:dyDescent="0.35">
      <c r="B59" s="9"/>
      <c r="C59" s="14" t="s">
        <v>64</v>
      </c>
      <c r="D59" s="14"/>
      <c r="E59" s="18" t="s">
        <v>5</v>
      </c>
      <c r="F59" s="17" t="s">
        <v>23</v>
      </c>
      <c r="G59" s="17">
        <f>G58</f>
        <v>0</v>
      </c>
      <c r="H59" s="13">
        <f t="shared" si="0"/>
        <v>0</v>
      </c>
    </row>
    <row r="60" spans="2:8" ht="13.5" thickBot="1" x14ac:dyDescent="0.35">
      <c r="B60" s="9"/>
      <c r="C60" s="14" t="s">
        <v>65</v>
      </c>
      <c r="D60" s="14" t="s">
        <v>42</v>
      </c>
      <c r="E60" s="18" t="s">
        <v>5</v>
      </c>
      <c r="F60" s="17" t="s">
        <v>23</v>
      </c>
      <c r="G60" s="17">
        <f>G58</f>
        <v>0</v>
      </c>
      <c r="H60" s="13">
        <f t="shared" si="0"/>
        <v>0</v>
      </c>
    </row>
    <row r="61" spans="2:8" ht="13.5" thickBot="1" x14ac:dyDescent="0.35">
      <c r="B61" s="9">
        <f>COUNT($B$4:B57)+1</f>
        <v>15</v>
      </c>
      <c r="C61" s="10" t="s">
        <v>66</v>
      </c>
      <c r="D61" s="10"/>
      <c r="E61" s="11" t="s">
        <v>5</v>
      </c>
      <c r="F61" s="12" t="s">
        <v>23</v>
      </c>
      <c r="G61" s="12"/>
      <c r="H61" s="13">
        <f t="shared" si="0"/>
        <v>0</v>
      </c>
    </row>
    <row r="62" spans="2:8" ht="13.5" thickBot="1" x14ac:dyDescent="0.35">
      <c r="B62" s="9"/>
      <c r="C62" s="14" t="s">
        <v>66</v>
      </c>
      <c r="D62" s="14"/>
      <c r="E62" s="18" t="s">
        <v>5</v>
      </c>
      <c r="F62" s="17" t="s">
        <v>23</v>
      </c>
      <c r="G62" s="17">
        <f>G61</f>
        <v>0</v>
      </c>
      <c r="H62" s="13">
        <f t="shared" si="0"/>
        <v>0</v>
      </c>
    </row>
    <row r="63" spans="2:8" ht="13.5" thickBot="1" x14ac:dyDescent="0.35">
      <c r="B63" s="9"/>
      <c r="C63" s="14" t="s">
        <v>65</v>
      </c>
      <c r="D63" s="14" t="s">
        <v>42</v>
      </c>
      <c r="E63" s="18" t="s">
        <v>5</v>
      </c>
      <c r="F63" s="17" t="s">
        <v>23</v>
      </c>
      <c r="G63" s="17">
        <f>G61</f>
        <v>0</v>
      </c>
      <c r="H63" s="13">
        <f t="shared" si="0"/>
        <v>0</v>
      </c>
    </row>
    <row r="64" spans="2:8" ht="13.5" thickBot="1" x14ac:dyDescent="0.35">
      <c r="B64" s="9">
        <f>COUNT($B$4:B63)+1</f>
        <v>17</v>
      </c>
      <c r="C64" s="10" t="s">
        <v>67</v>
      </c>
      <c r="D64" s="10" t="s">
        <v>68</v>
      </c>
      <c r="E64" s="11" t="s">
        <v>4</v>
      </c>
      <c r="F64" s="12" t="s">
        <v>23</v>
      </c>
      <c r="G64" s="12"/>
      <c r="H64" s="13">
        <f t="shared" si="0"/>
        <v>0</v>
      </c>
    </row>
    <row r="65" spans="2:8" ht="13.5" thickBot="1" x14ac:dyDescent="0.35">
      <c r="B65" s="9">
        <f>COUNT($B$4:B64)+1</f>
        <v>18</v>
      </c>
      <c r="C65" s="10" t="s">
        <v>69</v>
      </c>
      <c r="D65" s="10" t="s">
        <v>68</v>
      </c>
      <c r="E65" s="11" t="s">
        <v>4</v>
      </c>
      <c r="F65" s="12" t="s">
        <v>23</v>
      </c>
      <c r="G65" s="12"/>
      <c r="H65" s="13">
        <f t="shared" si="0"/>
        <v>0</v>
      </c>
    </row>
    <row r="66" spans="2:8" ht="13.5" thickBot="1" x14ac:dyDescent="0.35">
      <c r="B66" s="9">
        <f>COUNT($B$4:B65)+1</f>
        <v>19</v>
      </c>
      <c r="C66" s="10" t="s">
        <v>70</v>
      </c>
      <c r="D66" s="10" t="s">
        <v>68</v>
      </c>
      <c r="E66" s="11" t="s">
        <v>4</v>
      </c>
      <c r="F66" s="12" t="s">
        <v>23</v>
      </c>
      <c r="G66" s="12"/>
      <c r="H66" s="13">
        <f t="shared" si="0"/>
        <v>0</v>
      </c>
    </row>
    <row r="67" spans="2:8" ht="13.5" thickBot="1" x14ac:dyDescent="0.35">
      <c r="B67" s="9">
        <f>COUNT($B$4:B66)+1</f>
        <v>20</v>
      </c>
      <c r="C67" s="10" t="s">
        <v>71</v>
      </c>
      <c r="D67" s="10" t="s">
        <v>68</v>
      </c>
      <c r="E67" s="11" t="s">
        <v>4</v>
      </c>
      <c r="F67" s="12" t="s">
        <v>23</v>
      </c>
      <c r="G67" s="12"/>
      <c r="H67" s="13">
        <f t="shared" si="0"/>
        <v>0</v>
      </c>
    </row>
    <row r="68" spans="2:8" ht="13.5" thickBot="1" x14ac:dyDescent="0.35">
      <c r="B68" s="9">
        <f>COUNT($B$4:B67)+1</f>
        <v>21</v>
      </c>
      <c r="C68" s="10" t="s">
        <v>72</v>
      </c>
      <c r="D68" s="10" t="s">
        <v>68</v>
      </c>
      <c r="E68" s="11" t="s">
        <v>4</v>
      </c>
      <c r="F68" s="12" t="s">
        <v>23</v>
      </c>
      <c r="G68" s="12"/>
      <c r="H68" s="13">
        <f t="shared" si="0"/>
        <v>0</v>
      </c>
    </row>
    <row r="69" spans="2:8" ht="13.5" thickBot="1" x14ac:dyDescent="0.35">
      <c r="B69" s="9">
        <f>COUNT($B$4:B68)+1</f>
        <v>22</v>
      </c>
      <c r="C69" s="10" t="s">
        <v>73</v>
      </c>
      <c r="D69" s="10" t="s">
        <v>68</v>
      </c>
      <c r="E69" s="11" t="s">
        <v>4</v>
      </c>
      <c r="F69" s="12" t="s">
        <v>23</v>
      </c>
      <c r="G69" s="12"/>
      <c r="H69" s="13">
        <f t="shared" ref="H69:H132" si="1">SUM(G69:G69)</f>
        <v>0</v>
      </c>
    </row>
    <row r="70" spans="2:8" ht="13.5" thickBot="1" x14ac:dyDescent="0.35">
      <c r="B70" s="9">
        <f>COUNT($B$4:B69)+1</f>
        <v>23</v>
      </c>
      <c r="C70" s="10" t="s">
        <v>74</v>
      </c>
      <c r="D70" s="10" t="s">
        <v>68</v>
      </c>
      <c r="E70" s="11" t="s">
        <v>4</v>
      </c>
      <c r="F70" s="12" t="s">
        <v>23</v>
      </c>
      <c r="G70" s="12"/>
      <c r="H70" s="13">
        <f t="shared" si="1"/>
        <v>0</v>
      </c>
    </row>
    <row r="71" spans="2:8" ht="13.5" thickBot="1" x14ac:dyDescent="0.35">
      <c r="B71" s="9">
        <f>COUNT($B$4:B70)+1</f>
        <v>24</v>
      </c>
      <c r="C71" s="10" t="s">
        <v>75</v>
      </c>
      <c r="D71" s="10" t="s">
        <v>68</v>
      </c>
      <c r="E71" s="11" t="s">
        <v>4</v>
      </c>
      <c r="F71" s="12" t="s">
        <v>23</v>
      </c>
      <c r="G71" s="12"/>
      <c r="H71" s="13">
        <f t="shared" si="1"/>
        <v>0</v>
      </c>
    </row>
    <row r="72" spans="2:8" ht="13.5" thickBot="1" x14ac:dyDescent="0.35">
      <c r="B72" s="9">
        <f>COUNT($B$4:B71)+1</f>
        <v>25</v>
      </c>
      <c r="C72" s="10" t="s">
        <v>76</v>
      </c>
      <c r="D72" s="10" t="s">
        <v>68</v>
      </c>
      <c r="E72" s="11" t="s">
        <v>4</v>
      </c>
      <c r="F72" s="12" t="s">
        <v>23</v>
      </c>
      <c r="G72" s="12"/>
      <c r="H72" s="13">
        <f t="shared" si="1"/>
        <v>0</v>
      </c>
    </row>
    <row r="73" spans="2:8" ht="13.5" thickBot="1" x14ac:dyDescent="0.35">
      <c r="B73" s="9">
        <f>COUNT($B$4:B72)+1</f>
        <v>26</v>
      </c>
      <c r="C73" s="10" t="s">
        <v>77</v>
      </c>
      <c r="D73" s="10" t="s">
        <v>68</v>
      </c>
      <c r="E73" s="11" t="s">
        <v>4</v>
      </c>
      <c r="F73" s="12" t="s">
        <v>23</v>
      </c>
      <c r="G73" s="12"/>
      <c r="H73" s="13">
        <f t="shared" si="1"/>
        <v>0</v>
      </c>
    </row>
    <row r="74" spans="2:8" ht="13.5" thickBot="1" x14ac:dyDescent="0.35">
      <c r="B74" s="9">
        <f>COUNT($B$4:B73)+1</f>
        <v>27</v>
      </c>
      <c r="C74" s="10" t="s">
        <v>78</v>
      </c>
      <c r="D74" s="10" t="s">
        <v>68</v>
      </c>
      <c r="E74" s="11" t="s">
        <v>4</v>
      </c>
      <c r="F74" s="12" t="s">
        <v>23</v>
      </c>
      <c r="G74" s="12"/>
      <c r="H74" s="13">
        <f t="shared" si="1"/>
        <v>0</v>
      </c>
    </row>
    <row r="75" spans="2:8" ht="13.5" thickBot="1" x14ac:dyDescent="0.35">
      <c r="B75" s="9">
        <f>COUNT($B$4:B74)+1</f>
        <v>28</v>
      </c>
      <c r="C75" s="10" t="s">
        <v>79</v>
      </c>
      <c r="D75" s="10" t="s">
        <v>68</v>
      </c>
      <c r="E75" s="11" t="s">
        <v>4</v>
      </c>
      <c r="F75" s="12" t="s">
        <v>23</v>
      </c>
      <c r="G75" s="12"/>
      <c r="H75" s="13">
        <f t="shared" si="1"/>
        <v>0</v>
      </c>
    </row>
    <row r="76" spans="2:8" ht="13.5" thickBot="1" x14ac:dyDescent="0.35">
      <c r="B76" s="9">
        <f>COUNT($B$4:B75)+1</f>
        <v>29</v>
      </c>
      <c r="C76" s="10" t="s">
        <v>80</v>
      </c>
      <c r="D76" s="10" t="s">
        <v>68</v>
      </c>
      <c r="E76" s="11" t="s">
        <v>4</v>
      </c>
      <c r="F76" s="12" t="s">
        <v>23</v>
      </c>
      <c r="G76" s="12"/>
      <c r="H76" s="13">
        <f t="shared" si="1"/>
        <v>0</v>
      </c>
    </row>
    <row r="77" spans="2:8" ht="13.5" thickBot="1" x14ac:dyDescent="0.35">
      <c r="B77" s="9">
        <f>COUNT($B$4:B76)+1</f>
        <v>30</v>
      </c>
      <c r="C77" s="10" t="s">
        <v>81</v>
      </c>
      <c r="D77" s="10" t="s">
        <v>68</v>
      </c>
      <c r="E77" s="11" t="s">
        <v>4</v>
      </c>
      <c r="F77" s="12" t="s">
        <v>23</v>
      </c>
      <c r="G77" s="12"/>
      <c r="H77" s="13">
        <f t="shared" si="1"/>
        <v>0</v>
      </c>
    </row>
    <row r="78" spans="2:8" ht="13.5" thickBot="1" x14ac:dyDescent="0.35">
      <c r="B78" s="9">
        <f>COUNT($B$4:B77)+1</f>
        <v>31</v>
      </c>
      <c r="C78" s="10" t="s">
        <v>82</v>
      </c>
      <c r="D78" s="10" t="s">
        <v>68</v>
      </c>
      <c r="E78" s="11" t="s">
        <v>4</v>
      </c>
      <c r="F78" s="12" t="s">
        <v>23</v>
      </c>
      <c r="G78" s="12"/>
      <c r="H78" s="13">
        <f t="shared" si="1"/>
        <v>0</v>
      </c>
    </row>
    <row r="79" spans="2:8" ht="13.5" thickBot="1" x14ac:dyDescent="0.35">
      <c r="B79" s="9">
        <f>COUNT($B$4:B78)+1</f>
        <v>32</v>
      </c>
      <c r="C79" s="10" t="s">
        <v>83</v>
      </c>
      <c r="D79" s="10" t="s">
        <v>68</v>
      </c>
      <c r="E79" s="11" t="s">
        <v>4</v>
      </c>
      <c r="F79" s="12" t="s">
        <v>23</v>
      </c>
      <c r="G79" s="12"/>
      <c r="H79" s="13">
        <f t="shared" si="1"/>
        <v>0</v>
      </c>
    </row>
    <row r="80" spans="2:8" ht="13.5" thickBot="1" x14ac:dyDescent="0.35">
      <c r="B80" s="9">
        <f>COUNT($B$4:B79)+1</f>
        <v>33</v>
      </c>
      <c r="C80" s="10" t="s">
        <v>84</v>
      </c>
      <c r="D80" s="10" t="s">
        <v>68</v>
      </c>
      <c r="E80" s="11" t="s">
        <v>4</v>
      </c>
      <c r="F80" s="12" t="s">
        <v>23</v>
      </c>
      <c r="G80" s="12"/>
      <c r="H80" s="13">
        <f t="shared" si="1"/>
        <v>0</v>
      </c>
    </row>
    <row r="81" spans="2:8" ht="13.5" thickBot="1" x14ac:dyDescent="0.35">
      <c r="B81" s="9">
        <f>COUNT($B$4:B80)+1</f>
        <v>34</v>
      </c>
      <c r="C81" s="10" t="s">
        <v>85</v>
      </c>
      <c r="D81" s="10" t="s">
        <v>68</v>
      </c>
      <c r="E81" s="11" t="s">
        <v>4</v>
      </c>
      <c r="F81" s="12" t="s">
        <v>23</v>
      </c>
      <c r="G81" s="12"/>
      <c r="H81" s="13">
        <f t="shared" si="1"/>
        <v>0</v>
      </c>
    </row>
    <row r="82" spans="2:8" ht="13.5" thickBot="1" x14ac:dyDescent="0.35">
      <c r="B82" s="9">
        <f>COUNT($B$4:B81)+1</f>
        <v>35</v>
      </c>
      <c r="C82" s="10" t="s">
        <v>86</v>
      </c>
      <c r="D82" s="10" t="s">
        <v>68</v>
      </c>
      <c r="E82" s="11" t="s">
        <v>4</v>
      </c>
      <c r="F82" s="12" t="s">
        <v>23</v>
      </c>
      <c r="G82" s="12"/>
      <c r="H82" s="13">
        <f t="shared" si="1"/>
        <v>0</v>
      </c>
    </row>
    <row r="83" spans="2:8" ht="13.5" thickBot="1" x14ac:dyDescent="0.35">
      <c r="B83" s="9">
        <f>COUNT($B$4:B82)+1</f>
        <v>36</v>
      </c>
      <c r="C83" s="10" t="s">
        <v>87</v>
      </c>
      <c r="D83" s="10" t="s">
        <v>68</v>
      </c>
      <c r="E83" s="11" t="s">
        <v>4</v>
      </c>
      <c r="F83" s="12" t="s">
        <v>23</v>
      </c>
      <c r="G83" s="12"/>
      <c r="H83" s="13">
        <f t="shared" si="1"/>
        <v>0</v>
      </c>
    </row>
    <row r="84" spans="2:8" ht="13.5" thickBot="1" x14ac:dyDescent="0.35">
      <c r="B84" s="9">
        <f>COUNT($B$4:B83)+1</f>
        <v>37</v>
      </c>
      <c r="C84" s="10" t="s">
        <v>88</v>
      </c>
      <c r="D84" s="10" t="s">
        <v>68</v>
      </c>
      <c r="E84" s="11" t="s">
        <v>4</v>
      </c>
      <c r="F84" s="12" t="s">
        <v>23</v>
      </c>
      <c r="G84" s="12"/>
      <c r="H84" s="13">
        <f t="shared" si="1"/>
        <v>0</v>
      </c>
    </row>
    <row r="85" spans="2:8" ht="13.5" thickBot="1" x14ac:dyDescent="0.35">
      <c r="B85" s="9">
        <f>COUNT($B$4:B84)+1</f>
        <v>38</v>
      </c>
      <c r="C85" s="10" t="s">
        <v>89</v>
      </c>
      <c r="D85" s="10" t="s">
        <v>49</v>
      </c>
      <c r="E85" s="11" t="s">
        <v>6</v>
      </c>
      <c r="F85" s="12" t="s">
        <v>51</v>
      </c>
      <c r="G85" s="12">
        <v>60</v>
      </c>
      <c r="H85" s="13">
        <f t="shared" si="1"/>
        <v>60</v>
      </c>
    </row>
    <row r="86" spans="2:8" ht="13.5" thickBot="1" x14ac:dyDescent="0.35">
      <c r="B86" s="9">
        <f>COUNT($B$4:B85)+1</f>
        <v>39</v>
      </c>
      <c r="C86" s="10" t="s">
        <v>90</v>
      </c>
      <c r="D86" s="10" t="s">
        <v>49</v>
      </c>
      <c r="E86" s="11" t="s">
        <v>6</v>
      </c>
      <c r="F86" s="12" t="s">
        <v>51</v>
      </c>
      <c r="G86" s="12">
        <v>255</v>
      </c>
      <c r="H86" s="13">
        <f t="shared" si="1"/>
        <v>255</v>
      </c>
    </row>
    <row r="87" spans="2:8" ht="13.5" thickBot="1" x14ac:dyDescent="0.35">
      <c r="B87" s="9">
        <f>COUNT($B$4:B86)+1</f>
        <v>40</v>
      </c>
      <c r="C87" s="10" t="s">
        <v>91</v>
      </c>
      <c r="D87" s="10" t="s">
        <v>49</v>
      </c>
      <c r="E87" s="11" t="s">
        <v>6</v>
      </c>
      <c r="F87" s="12" t="s">
        <v>51</v>
      </c>
      <c r="G87" s="12"/>
      <c r="H87" s="13">
        <f t="shared" si="1"/>
        <v>0</v>
      </c>
    </row>
    <row r="88" spans="2:8" ht="13.5" thickBot="1" x14ac:dyDescent="0.35">
      <c r="B88" s="9">
        <f>COUNT($B$4:B87)+1</f>
        <v>41</v>
      </c>
      <c r="C88" s="10" t="s">
        <v>92</v>
      </c>
      <c r="D88" s="10" t="s">
        <v>93</v>
      </c>
      <c r="E88" s="11" t="s">
        <v>5</v>
      </c>
      <c r="F88" s="12" t="s">
        <v>51</v>
      </c>
      <c r="G88" s="12"/>
      <c r="H88" s="13">
        <f t="shared" si="1"/>
        <v>0</v>
      </c>
    </row>
    <row r="89" spans="2:8" ht="13.5" thickBot="1" x14ac:dyDescent="0.35">
      <c r="B89" s="9">
        <f>COUNT($B$4:B88)+1</f>
        <v>42</v>
      </c>
      <c r="C89" s="10" t="s">
        <v>94</v>
      </c>
      <c r="D89" s="10" t="s">
        <v>93</v>
      </c>
      <c r="E89" s="11" t="s">
        <v>5</v>
      </c>
      <c r="F89" s="12" t="s">
        <v>51</v>
      </c>
      <c r="G89" s="12"/>
      <c r="H89" s="13">
        <f t="shared" si="1"/>
        <v>0</v>
      </c>
    </row>
    <row r="90" spans="2:8" ht="13.5" thickBot="1" x14ac:dyDescent="0.35">
      <c r="B90" s="9">
        <f>COUNT($B$4:B89)+1</f>
        <v>43</v>
      </c>
      <c r="C90" s="10" t="s">
        <v>95</v>
      </c>
      <c r="D90" s="10" t="s">
        <v>93</v>
      </c>
      <c r="E90" s="11" t="s">
        <v>2</v>
      </c>
      <c r="F90" s="12" t="s">
        <v>51</v>
      </c>
      <c r="G90" s="12"/>
      <c r="H90" s="13">
        <f t="shared" si="1"/>
        <v>0</v>
      </c>
    </row>
    <row r="91" spans="2:8" ht="13.5" thickBot="1" x14ac:dyDescent="0.35">
      <c r="B91" s="9">
        <f>COUNT($B$4:B90)+1</f>
        <v>44</v>
      </c>
      <c r="C91" s="10" t="s">
        <v>96</v>
      </c>
      <c r="D91" s="10" t="s">
        <v>93</v>
      </c>
      <c r="E91" s="11" t="s">
        <v>2</v>
      </c>
      <c r="F91" s="12" t="s">
        <v>51</v>
      </c>
      <c r="G91" s="12"/>
      <c r="H91" s="13">
        <f t="shared" si="1"/>
        <v>0</v>
      </c>
    </row>
    <row r="92" spans="2:8" ht="13.5" thickBot="1" x14ac:dyDescent="0.35">
      <c r="B92" s="9">
        <f>COUNT($B$4:B91)+1</f>
        <v>45</v>
      </c>
      <c r="C92" s="10" t="s">
        <v>97</v>
      </c>
      <c r="D92" s="10" t="s">
        <v>93</v>
      </c>
      <c r="E92" s="11" t="s">
        <v>2</v>
      </c>
      <c r="F92" s="12" t="s">
        <v>51</v>
      </c>
      <c r="G92" s="12"/>
      <c r="H92" s="13">
        <f t="shared" si="1"/>
        <v>0</v>
      </c>
    </row>
    <row r="93" spans="2:8" ht="13.5" thickBot="1" x14ac:dyDescent="0.35">
      <c r="B93" s="9">
        <f>COUNT($B$4:B92)+1</f>
        <v>46</v>
      </c>
      <c r="C93" s="10" t="s">
        <v>98</v>
      </c>
      <c r="D93" s="10" t="s">
        <v>93</v>
      </c>
      <c r="E93" s="11" t="s">
        <v>2</v>
      </c>
      <c r="F93" s="12" t="s">
        <v>51</v>
      </c>
      <c r="G93" s="12"/>
      <c r="H93" s="13">
        <f t="shared" si="1"/>
        <v>0</v>
      </c>
    </row>
    <row r="94" spans="2:8" ht="13.5" thickBot="1" x14ac:dyDescent="0.35">
      <c r="B94" s="9">
        <f>COUNT($B$4:B93)+1</f>
        <v>47</v>
      </c>
      <c r="C94" s="10" t="s">
        <v>99</v>
      </c>
      <c r="D94" s="10" t="s">
        <v>93</v>
      </c>
      <c r="E94" s="11" t="s">
        <v>2</v>
      </c>
      <c r="F94" s="12" t="s">
        <v>51</v>
      </c>
      <c r="G94" s="12"/>
      <c r="H94" s="13">
        <f t="shared" si="1"/>
        <v>0</v>
      </c>
    </row>
    <row r="95" spans="2:8" ht="13.5" thickBot="1" x14ac:dyDescent="0.35">
      <c r="B95" s="9">
        <f>COUNT($B$4:B94)+1</f>
        <v>48</v>
      </c>
      <c r="C95" s="10" t="s">
        <v>100</v>
      </c>
      <c r="D95" s="10" t="s">
        <v>93</v>
      </c>
      <c r="E95" s="11" t="s">
        <v>2</v>
      </c>
      <c r="F95" s="12" t="s">
        <v>51</v>
      </c>
      <c r="G95" s="12"/>
      <c r="H95" s="13">
        <f t="shared" si="1"/>
        <v>0</v>
      </c>
    </row>
    <row r="96" spans="2:8" ht="13.5" thickBot="1" x14ac:dyDescent="0.35">
      <c r="B96" s="9">
        <f>COUNT($B$4:B95)+1</f>
        <v>49</v>
      </c>
      <c r="C96" s="10" t="s">
        <v>101</v>
      </c>
      <c r="D96" s="10" t="s">
        <v>93</v>
      </c>
      <c r="E96" s="11" t="s">
        <v>2</v>
      </c>
      <c r="F96" s="12" t="s">
        <v>51</v>
      </c>
      <c r="G96" s="12"/>
      <c r="H96" s="13">
        <f t="shared" si="1"/>
        <v>0</v>
      </c>
    </row>
    <row r="97" spans="2:8" ht="13.5" thickBot="1" x14ac:dyDescent="0.35">
      <c r="B97" s="9">
        <f>COUNT($B$4:B96)+1</f>
        <v>50</v>
      </c>
      <c r="C97" s="10" t="s">
        <v>102</v>
      </c>
      <c r="D97" s="10" t="s">
        <v>93</v>
      </c>
      <c r="E97" s="11" t="s">
        <v>2</v>
      </c>
      <c r="F97" s="12" t="s">
        <v>51</v>
      </c>
      <c r="G97" s="12"/>
      <c r="H97" s="13">
        <f t="shared" si="1"/>
        <v>0</v>
      </c>
    </row>
    <row r="98" spans="2:8" ht="13.5" thickBot="1" x14ac:dyDescent="0.35">
      <c r="B98" s="9">
        <f>COUNT($B$4:B97)+1</f>
        <v>51</v>
      </c>
      <c r="C98" s="10" t="s">
        <v>103</v>
      </c>
      <c r="D98" s="10" t="s">
        <v>93</v>
      </c>
      <c r="E98" s="11" t="s">
        <v>2</v>
      </c>
      <c r="F98" s="12" t="s">
        <v>51</v>
      </c>
      <c r="G98" s="12"/>
      <c r="H98" s="13">
        <f t="shared" si="1"/>
        <v>0</v>
      </c>
    </row>
    <row r="99" spans="2:8" ht="13.5" thickBot="1" x14ac:dyDescent="0.35">
      <c r="B99" s="9">
        <f>COUNT($B$4:B98)+1</f>
        <v>52</v>
      </c>
      <c r="C99" s="10" t="s">
        <v>104</v>
      </c>
      <c r="D99" s="10" t="s">
        <v>93</v>
      </c>
      <c r="E99" s="11" t="s">
        <v>2</v>
      </c>
      <c r="F99" s="12" t="s">
        <v>51</v>
      </c>
      <c r="G99" s="12"/>
      <c r="H99" s="13">
        <f t="shared" si="1"/>
        <v>0</v>
      </c>
    </row>
    <row r="100" spans="2:8" ht="13.5" thickBot="1" x14ac:dyDescent="0.35">
      <c r="B100" s="9">
        <f>COUNT($B$4:B99)+1</f>
        <v>53</v>
      </c>
      <c r="C100" s="10" t="s">
        <v>105</v>
      </c>
      <c r="D100" s="10" t="s">
        <v>93</v>
      </c>
      <c r="E100" s="11" t="s">
        <v>2</v>
      </c>
      <c r="F100" s="12" t="s">
        <v>51</v>
      </c>
      <c r="G100" s="12"/>
      <c r="H100" s="13">
        <f t="shared" si="1"/>
        <v>0</v>
      </c>
    </row>
    <row r="101" spans="2:8" ht="13.5" thickBot="1" x14ac:dyDescent="0.35">
      <c r="B101" s="9">
        <f>COUNT($B$4:B100)+1</f>
        <v>54</v>
      </c>
      <c r="C101" s="10" t="s">
        <v>106</v>
      </c>
      <c r="D101" s="10" t="s">
        <v>93</v>
      </c>
      <c r="E101" s="11" t="s">
        <v>2</v>
      </c>
      <c r="F101" s="12" t="s">
        <v>51</v>
      </c>
      <c r="G101" s="12"/>
      <c r="H101" s="13">
        <f t="shared" si="1"/>
        <v>0</v>
      </c>
    </row>
    <row r="102" spans="2:8" ht="13.5" thickBot="1" x14ac:dyDescent="0.35">
      <c r="B102" s="9">
        <f>COUNT($B$4:B101)+1</f>
        <v>55</v>
      </c>
      <c r="C102" s="10" t="s">
        <v>107</v>
      </c>
      <c r="D102" s="10" t="s">
        <v>93</v>
      </c>
      <c r="E102" s="11" t="s">
        <v>2</v>
      </c>
      <c r="F102" s="12" t="s">
        <v>51</v>
      </c>
      <c r="G102" s="12"/>
      <c r="H102" s="13">
        <f t="shared" si="1"/>
        <v>0</v>
      </c>
    </row>
    <row r="103" spans="2:8" ht="13.5" thickBot="1" x14ac:dyDescent="0.35">
      <c r="B103" s="9">
        <f>COUNT($B$4:B102)+1</f>
        <v>56</v>
      </c>
      <c r="C103" s="10" t="s">
        <v>108</v>
      </c>
      <c r="D103" s="10" t="s">
        <v>93</v>
      </c>
      <c r="E103" s="11" t="s">
        <v>2</v>
      </c>
      <c r="F103" s="12" t="s">
        <v>51</v>
      </c>
      <c r="G103" s="12"/>
      <c r="H103" s="13">
        <f t="shared" si="1"/>
        <v>0</v>
      </c>
    </row>
    <row r="104" spans="2:8" ht="13.5" thickBot="1" x14ac:dyDescent="0.35">
      <c r="B104" s="9">
        <f>COUNT($B$4:B103)+1</f>
        <v>57</v>
      </c>
      <c r="C104" s="10" t="s">
        <v>109</v>
      </c>
      <c r="D104" s="10" t="s">
        <v>93</v>
      </c>
      <c r="E104" s="11" t="s">
        <v>2</v>
      </c>
      <c r="F104" s="12" t="s">
        <v>51</v>
      </c>
      <c r="G104" s="12"/>
      <c r="H104" s="13">
        <f t="shared" si="1"/>
        <v>0</v>
      </c>
    </row>
    <row r="105" spans="2:8" ht="13.5" thickBot="1" x14ac:dyDescent="0.35">
      <c r="B105" s="9">
        <f>COUNT($B$4:B104)+1</f>
        <v>58</v>
      </c>
      <c r="C105" s="10" t="s">
        <v>110</v>
      </c>
      <c r="D105" s="10" t="s">
        <v>93</v>
      </c>
      <c r="E105" s="11" t="s">
        <v>2</v>
      </c>
      <c r="F105" s="12" t="s">
        <v>51</v>
      </c>
      <c r="G105" s="12"/>
      <c r="H105" s="13">
        <f t="shared" si="1"/>
        <v>0</v>
      </c>
    </row>
    <row r="106" spans="2:8" ht="13.5" thickBot="1" x14ac:dyDescent="0.35">
      <c r="B106" s="9">
        <f>COUNT($B$4:B105)+1</f>
        <v>59</v>
      </c>
      <c r="C106" s="10" t="s">
        <v>111</v>
      </c>
      <c r="D106" s="10" t="s">
        <v>93</v>
      </c>
      <c r="E106" s="11" t="s">
        <v>2</v>
      </c>
      <c r="F106" s="12" t="s">
        <v>51</v>
      </c>
      <c r="G106" s="12"/>
      <c r="H106" s="13">
        <f t="shared" si="1"/>
        <v>0</v>
      </c>
    </row>
    <row r="107" spans="2:8" ht="13.5" thickBot="1" x14ac:dyDescent="0.35">
      <c r="B107" s="9">
        <f>COUNT($B$4:B106)+1</f>
        <v>60</v>
      </c>
      <c r="C107" s="10" t="s">
        <v>112</v>
      </c>
      <c r="D107" s="10" t="s">
        <v>93</v>
      </c>
      <c r="E107" s="11" t="s">
        <v>2</v>
      </c>
      <c r="F107" s="12" t="s">
        <v>51</v>
      </c>
      <c r="G107" s="12">
        <v>0</v>
      </c>
      <c r="H107" s="13">
        <f t="shared" si="1"/>
        <v>0</v>
      </c>
    </row>
    <row r="108" spans="2:8" ht="13.5" thickBot="1" x14ac:dyDescent="0.35">
      <c r="B108" s="9">
        <f>COUNT($B$4:B107)+1</f>
        <v>61</v>
      </c>
      <c r="C108" s="10" t="s">
        <v>113</v>
      </c>
      <c r="D108" s="10" t="s">
        <v>93</v>
      </c>
      <c r="E108" s="11" t="s">
        <v>2</v>
      </c>
      <c r="F108" s="12" t="s">
        <v>51</v>
      </c>
      <c r="G108" s="12">
        <v>0</v>
      </c>
      <c r="H108" s="13">
        <f t="shared" si="1"/>
        <v>0</v>
      </c>
    </row>
    <row r="109" spans="2:8" ht="13.5" thickBot="1" x14ac:dyDescent="0.35">
      <c r="B109" s="9">
        <f>COUNT($B$4:B108)+1</f>
        <v>62</v>
      </c>
      <c r="C109" s="10" t="s">
        <v>114</v>
      </c>
      <c r="D109" s="10" t="s">
        <v>93</v>
      </c>
      <c r="E109" s="11" t="s">
        <v>2</v>
      </c>
      <c r="F109" s="12" t="s">
        <v>51</v>
      </c>
      <c r="G109" s="12">
        <v>0</v>
      </c>
      <c r="H109" s="13">
        <f t="shared" si="1"/>
        <v>0</v>
      </c>
    </row>
    <row r="110" spans="2:8" ht="13.5" thickBot="1" x14ac:dyDescent="0.35">
      <c r="B110" s="9">
        <f>COUNT($B$4:B109)+1</f>
        <v>63</v>
      </c>
      <c r="C110" s="10" t="s">
        <v>115</v>
      </c>
      <c r="D110" s="10" t="s">
        <v>93</v>
      </c>
      <c r="E110" s="11" t="s">
        <v>2</v>
      </c>
      <c r="F110" s="12" t="s">
        <v>51</v>
      </c>
      <c r="G110" s="12"/>
      <c r="H110" s="13">
        <f t="shared" si="1"/>
        <v>0</v>
      </c>
    </row>
    <row r="111" spans="2:8" ht="13.5" thickBot="1" x14ac:dyDescent="0.35">
      <c r="B111" s="9">
        <f>COUNT($B$4:B110)+1</f>
        <v>64</v>
      </c>
      <c r="C111" s="10" t="s">
        <v>116</v>
      </c>
      <c r="D111" s="10" t="s">
        <v>93</v>
      </c>
      <c r="E111" s="11" t="s">
        <v>2</v>
      </c>
      <c r="F111" s="12" t="s">
        <v>51</v>
      </c>
      <c r="G111" s="12"/>
      <c r="H111" s="13">
        <f t="shared" si="1"/>
        <v>0</v>
      </c>
    </row>
    <row r="112" spans="2:8" ht="13.5" thickBot="1" x14ac:dyDescent="0.35">
      <c r="B112" s="9">
        <f>COUNT($B$4:B111)+1</f>
        <v>65</v>
      </c>
      <c r="C112" s="10" t="s">
        <v>117</v>
      </c>
      <c r="D112" s="10" t="s">
        <v>93</v>
      </c>
      <c r="E112" s="11" t="s">
        <v>2</v>
      </c>
      <c r="F112" s="12" t="s">
        <v>51</v>
      </c>
      <c r="G112" s="12"/>
      <c r="H112" s="13">
        <f t="shared" si="1"/>
        <v>0</v>
      </c>
    </row>
    <row r="113" spans="2:8" ht="13.5" thickBot="1" x14ac:dyDescent="0.35">
      <c r="B113" s="9">
        <f>COUNT($B$4:B112)+1</f>
        <v>66</v>
      </c>
      <c r="C113" s="10" t="s">
        <v>118</v>
      </c>
      <c r="D113" s="10" t="s">
        <v>93</v>
      </c>
      <c r="E113" s="11" t="s">
        <v>2</v>
      </c>
      <c r="F113" s="12" t="s">
        <v>51</v>
      </c>
      <c r="G113" s="12"/>
      <c r="H113" s="13">
        <f t="shared" si="1"/>
        <v>0</v>
      </c>
    </row>
    <row r="114" spans="2:8" ht="13.5" thickBot="1" x14ac:dyDescent="0.35">
      <c r="B114" s="9">
        <f>COUNT($B$4:B113)+1</f>
        <v>67</v>
      </c>
      <c r="C114" s="10" t="s">
        <v>119</v>
      </c>
      <c r="D114" s="10" t="s">
        <v>93</v>
      </c>
      <c r="E114" s="11" t="s">
        <v>2</v>
      </c>
      <c r="F114" s="12" t="s">
        <v>51</v>
      </c>
      <c r="G114" s="12"/>
      <c r="H114" s="13">
        <f t="shared" si="1"/>
        <v>0</v>
      </c>
    </row>
    <row r="115" spans="2:8" ht="13.5" thickBot="1" x14ac:dyDescent="0.35">
      <c r="B115" s="9">
        <f>COUNT($B$4:B114)+1</f>
        <v>68</v>
      </c>
      <c r="C115" s="10" t="s">
        <v>120</v>
      </c>
      <c r="D115" s="10" t="s">
        <v>93</v>
      </c>
      <c r="E115" s="11" t="s">
        <v>2</v>
      </c>
      <c r="F115" s="12" t="s">
        <v>51</v>
      </c>
      <c r="G115" s="12"/>
      <c r="H115" s="13">
        <f t="shared" si="1"/>
        <v>0</v>
      </c>
    </row>
    <row r="116" spans="2:8" ht="13.5" thickBot="1" x14ac:dyDescent="0.35">
      <c r="B116" s="9">
        <f>COUNT($B$4:B115)+1</f>
        <v>69</v>
      </c>
      <c r="C116" s="10" t="s">
        <v>121</v>
      </c>
      <c r="D116" s="10" t="s">
        <v>93</v>
      </c>
      <c r="E116" s="11" t="s">
        <v>2</v>
      </c>
      <c r="F116" s="12" t="s">
        <v>51</v>
      </c>
      <c r="G116" s="12"/>
      <c r="H116" s="13">
        <f t="shared" si="1"/>
        <v>0</v>
      </c>
    </row>
    <row r="117" spans="2:8" ht="13.5" thickBot="1" x14ac:dyDescent="0.35">
      <c r="B117" s="9">
        <f>COUNT($B$4:B116)+1</f>
        <v>70</v>
      </c>
      <c r="C117" s="10" t="s">
        <v>122</v>
      </c>
      <c r="D117" s="10" t="s">
        <v>93</v>
      </c>
      <c r="E117" s="11" t="s">
        <v>2</v>
      </c>
      <c r="F117" s="12" t="s">
        <v>51</v>
      </c>
      <c r="G117" s="12"/>
      <c r="H117" s="13">
        <f t="shared" si="1"/>
        <v>0</v>
      </c>
    </row>
    <row r="118" spans="2:8" ht="13.5" thickBot="1" x14ac:dyDescent="0.35">
      <c r="B118" s="9">
        <f>COUNT($B$4:B117)+1</f>
        <v>71</v>
      </c>
      <c r="C118" s="10" t="s">
        <v>123</v>
      </c>
      <c r="D118" s="10" t="s">
        <v>93</v>
      </c>
      <c r="E118" s="11" t="s">
        <v>2</v>
      </c>
      <c r="F118" s="12" t="s">
        <v>51</v>
      </c>
      <c r="G118" s="12"/>
      <c r="H118" s="13">
        <f t="shared" si="1"/>
        <v>0</v>
      </c>
    </row>
    <row r="119" spans="2:8" ht="13.5" thickBot="1" x14ac:dyDescent="0.35">
      <c r="B119" s="9">
        <f>COUNT($B$4:B118)+1</f>
        <v>72</v>
      </c>
      <c r="C119" s="10" t="s">
        <v>124</v>
      </c>
      <c r="D119" s="10" t="s">
        <v>93</v>
      </c>
      <c r="E119" s="11" t="s">
        <v>2</v>
      </c>
      <c r="F119" s="12" t="s">
        <v>51</v>
      </c>
      <c r="G119" s="12"/>
      <c r="H119" s="13">
        <f t="shared" si="1"/>
        <v>0</v>
      </c>
    </row>
    <row r="120" spans="2:8" ht="13.5" thickBot="1" x14ac:dyDescent="0.35">
      <c r="B120" s="9">
        <f>COUNT($B$4:B119)+1</f>
        <v>73</v>
      </c>
      <c r="C120" s="10" t="s">
        <v>125</v>
      </c>
      <c r="D120" s="10" t="s">
        <v>93</v>
      </c>
      <c r="E120" s="11" t="s">
        <v>2</v>
      </c>
      <c r="F120" s="12" t="s">
        <v>51</v>
      </c>
      <c r="G120" s="12"/>
      <c r="H120" s="13">
        <f t="shared" si="1"/>
        <v>0</v>
      </c>
    </row>
    <row r="121" spans="2:8" ht="13.5" thickBot="1" x14ac:dyDescent="0.35">
      <c r="B121" s="9">
        <f>COUNT($B$4:B120)+1</f>
        <v>74</v>
      </c>
      <c r="C121" s="10" t="s">
        <v>126</v>
      </c>
      <c r="D121" s="10" t="s">
        <v>93</v>
      </c>
      <c r="E121" s="11" t="s">
        <v>2</v>
      </c>
      <c r="F121" s="12" t="s">
        <v>51</v>
      </c>
      <c r="G121" s="12"/>
      <c r="H121" s="13">
        <f t="shared" si="1"/>
        <v>0</v>
      </c>
    </row>
    <row r="122" spans="2:8" ht="13.5" thickBot="1" x14ac:dyDescent="0.35">
      <c r="B122" s="9">
        <f>COUNT($B$4:B121)+1</f>
        <v>75</v>
      </c>
      <c r="C122" s="10" t="s">
        <v>127</v>
      </c>
      <c r="D122" s="10" t="s">
        <v>93</v>
      </c>
      <c r="E122" s="11" t="s">
        <v>2</v>
      </c>
      <c r="F122" s="12" t="s">
        <v>51</v>
      </c>
      <c r="G122" s="12"/>
      <c r="H122" s="13">
        <f t="shared" si="1"/>
        <v>0</v>
      </c>
    </row>
    <row r="123" spans="2:8" ht="13.5" thickBot="1" x14ac:dyDescent="0.35">
      <c r="B123" s="9">
        <f>COUNT($B$4:B122)+1</f>
        <v>76</v>
      </c>
      <c r="C123" s="10" t="s">
        <v>128</v>
      </c>
      <c r="D123" s="10" t="s">
        <v>93</v>
      </c>
      <c r="E123" s="11" t="s">
        <v>2</v>
      </c>
      <c r="F123" s="12" t="s">
        <v>51</v>
      </c>
      <c r="G123" s="12"/>
      <c r="H123" s="13">
        <f t="shared" si="1"/>
        <v>0</v>
      </c>
    </row>
    <row r="124" spans="2:8" ht="13.5" thickBot="1" x14ac:dyDescent="0.35">
      <c r="B124" s="9">
        <f>COUNT($B$4:B123)+1</f>
        <v>77</v>
      </c>
      <c r="C124" s="10" t="s">
        <v>129</v>
      </c>
      <c r="D124" s="10" t="s">
        <v>93</v>
      </c>
      <c r="E124" s="11" t="s">
        <v>2</v>
      </c>
      <c r="F124" s="12" t="s">
        <v>51</v>
      </c>
      <c r="G124" s="12"/>
      <c r="H124" s="13">
        <f t="shared" si="1"/>
        <v>0</v>
      </c>
    </row>
    <row r="125" spans="2:8" ht="13.5" thickBot="1" x14ac:dyDescent="0.35">
      <c r="B125" s="9">
        <f>COUNT($B$4:B124)+1</f>
        <v>78</v>
      </c>
      <c r="C125" s="10" t="s">
        <v>130</v>
      </c>
      <c r="D125" s="10" t="s">
        <v>93</v>
      </c>
      <c r="E125" s="11" t="s">
        <v>2</v>
      </c>
      <c r="F125" s="12" t="s">
        <v>51</v>
      </c>
      <c r="G125" s="12"/>
      <c r="H125" s="13">
        <f t="shared" si="1"/>
        <v>0</v>
      </c>
    </row>
    <row r="126" spans="2:8" ht="13.5" thickBot="1" x14ac:dyDescent="0.35">
      <c r="B126" s="9">
        <f>COUNT($B$4:B125)+1</f>
        <v>79</v>
      </c>
      <c r="C126" s="10" t="s">
        <v>131</v>
      </c>
      <c r="D126" s="10" t="s">
        <v>93</v>
      </c>
      <c r="E126" s="11" t="s">
        <v>2</v>
      </c>
      <c r="F126" s="12" t="s">
        <v>51</v>
      </c>
      <c r="G126" s="12"/>
      <c r="H126" s="13">
        <f t="shared" si="1"/>
        <v>0</v>
      </c>
    </row>
    <row r="127" spans="2:8" ht="13.5" thickBot="1" x14ac:dyDescent="0.35">
      <c r="B127" s="9">
        <f>COUNT($B$4:B126)+1</f>
        <v>80</v>
      </c>
      <c r="C127" s="10" t="s">
        <v>132</v>
      </c>
      <c r="D127" s="10" t="s">
        <v>93</v>
      </c>
      <c r="E127" s="11" t="s">
        <v>2</v>
      </c>
      <c r="F127" s="12" t="s">
        <v>51</v>
      </c>
      <c r="G127" s="12"/>
      <c r="H127" s="13">
        <f t="shared" si="1"/>
        <v>0</v>
      </c>
    </row>
    <row r="128" spans="2:8" ht="13.5" thickBot="1" x14ac:dyDescent="0.35">
      <c r="B128" s="9">
        <f>COUNT($B$4:B127)+1</f>
        <v>81</v>
      </c>
      <c r="C128" s="10" t="s">
        <v>133</v>
      </c>
      <c r="D128" s="10" t="s">
        <v>93</v>
      </c>
      <c r="E128" s="11" t="s">
        <v>2</v>
      </c>
      <c r="F128" s="12" t="s">
        <v>51</v>
      </c>
      <c r="G128" s="12"/>
      <c r="H128" s="13">
        <f t="shared" si="1"/>
        <v>0</v>
      </c>
    </row>
    <row r="129" spans="2:8" ht="13.5" thickBot="1" x14ac:dyDescent="0.35">
      <c r="B129" s="9">
        <f>COUNT($B$4:B128)+1</f>
        <v>82</v>
      </c>
      <c r="C129" s="10" t="s">
        <v>134</v>
      </c>
      <c r="D129" s="10" t="s">
        <v>93</v>
      </c>
      <c r="E129" s="11" t="s">
        <v>2</v>
      </c>
      <c r="F129" s="12" t="s">
        <v>51</v>
      </c>
      <c r="G129" s="12"/>
      <c r="H129" s="13">
        <f t="shared" si="1"/>
        <v>0</v>
      </c>
    </row>
    <row r="130" spans="2:8" ht="13.5" thickBot="1" x14ac:dyDescent="0.35">
      <c r="B130" s="9">
        <f>COUNT($B$4:B129)+1</f>
        <v>83</v>
      </c>
      <c r="C130" s="10" t="s">
        <v>135</v>
      </c>
      <c r="D130" s="10" t="s">
        <v>93</v>
      </c>
      <c r="E130" s="11" t="s">
        <v>2</v>
      </c>
      <c r="F130" s="12" t="s">
        <v>51</v>
      </c>
      <c r="G130" s="12"/>
      <c r="H130" s="13">
        <f t="shared" si="1"/>
        <v>0</v>
      </c>
    </row>
    <row r="131" spans="2:8" ht="13.5" thickBot="1" x14ac:dyDescent="0.35">
      <c r="B131" s="9">
        <f>COUNT($B$4:B130)+1</f>
        <v>84</v>
      </c>
      <c r="C131" s="10" t="s">
        <v>136</v>
      </c>
      <c r="D131" s="10" t="s">
        <v>93</v>
      </c>
      <c r="E131" s="11" t="s">
        <v>2</v>
      </c>
      <c r="F131" s="12" t="s">
        <v>51</v>
      </c>
      <c r="G131" s="12"/>
      <c r="H131" s="13">
        <f t="shared" si="1"/>
        <v>0</v>
      </c>
    </row>
    <row r="132" spans="2:8" ht="13.5" thickBot="1" x14ac:dyDescent="0.35">
      <c r="B132" s="9">
        <f>COUNT($B$4:B131)+1</f>
        <v>85</v>
      </c>
      <c r="C132" s="10" t="s">
        <v>137</v>
      </c>
      <c r="D132" s="10" t="s">
        <v>93</v>
      </c>
      <c r="E132" s="11" t="s">
        <v>2</v>
      </c>
      <c r="F132" s="12" t="s">
        <v>51</v>
      </c>
      <c r="G132" s="12"/>
      <c r="H132" s="13">
        <f t="shared" si="1"/>
        <v>0</v>
      </c>
    </row>
    <row r="133" spans="2:8" ht="13.5" thickBot="1" x14ac:dyDescent="0.35">
      <c r="B133" s="9">
        <f>COUNT($B$4:B132)+1</f>
        <v>86</v>
      </c>
      <c r="C133" s="10" t="s">
        <v>138</v>
      </c>
      <c r="D133" s="10" t="s">
        <v>93</v>
      </c>
      <c r="E133" s="11" t="s">
        <v>2</v>
      </c>
      <c r="F133" s="12" t="s">
        <v>51</v>
      </c>
      <c r="G133" s="12"/>
      <c r="H133" s="13">
        <f t="shared" ref="H133:H196" si="2">SUM(G133:G133)</f>
        <v>0</v>
      </c>
    </row>
    <row r="134" spans="2:8" ht="13.5" thickBot="1" x14ac:dyDescent="0.35">
      <c r="B134" s="9">
        <f>COUNT($B$4:B133)+1</f>
        <v>87</v>
      </c>
      <c r="C134" s="10" t="s">
        <v>139</v>
      </c>
      <c r="D134" s="10" t="s">
        <v>93</v>
      </c>
      <c r="E134" s="11" t="s">
        <v>2</v>
      </c>
      <c r="F134" s="12" t="s">
        <v>51</v>
      </c>
      <c r="G134" s="12"/>
      <c r="H134" s="13">
        <f t="shared" si="2"/>
        <v>0</v>
      </c>
    </row>
    <row r="135" spans="2:8" ht="13.5" thickBot="1" x14ac:dyDescent="0.35">
      <c r="B135" s="9">
        <f>COUNT($B$4:B134)+1</f>
        <v>88</v>
      </c>
      <c r="C135" s="10" t="s">
        <v>140</v>
      </c>
      <c r="D135" s="10" t="s">
        <v>93</v>
      </c>
      <c r="E135" s="11" t="s">
        <v>2</v>
      </c>
      <c r="F135" s="12" t="s">
        <v>51</v>
      </c>
      <c r="G135" s="12"/>
      <c r="H135" s="13">
        <f t="shared" si="2"/>
        <v>0</v>
      </c>
    </row>
    <row r="136" spans="2:8" ht="13.5" thickBot="1" x14ac:dyDescent="0.35">
      <c r="B136" s="9">
        <f>COUNT($B$4:B135)+1</f>
        <v>89</v>
      </c>
      <c r="C136" s="10" t="s">
        <v>141</v>
      </c>
      <c r="D136" s="10" t="s">
        <v>93</v>
      </c>
      <c r="E136" s="11" t="s">
        <v>2</v>
      </c>
      <c r="F136" s="12" t="s">
        <v>51</v>
      </c>
      <c r="G136" s="12"/>
      <c r="H136" s="13">
        <f t="shared" si="2"/>
        <v>0</v>
      </c>
    </row>
    <row r="137" spans="2:8" ht="13.5" thickBot="1" x14ac:dyDescent="0.35">
      <c r="B137" s="9">
        <f>COUNT($B$4:B136)+1</f>
        <v>90</v>
      </c>
      <c r="C137" s="10" t="s">
        <v>142</v>
      </c>
      <c r="D137" s="10" t="s">
        <v>93</v>
      </c>
      <c r="E137" s="11" t="s">
        <v>2</v>
      </c>
      <c r="F137" s="12" t="s">
        <v>51</v>
      </c>
      <c r="G137" s="12"/>
      <c r="H137" s="13">
        <f t="shared" si="2"/>
        <v>0</v>
      </c>
    </row>
    <row r="138" spans="2:8" ht="13.5" thickBot="1" x14ac:dyDescent="0.35">
      <c r="B138" s="9">
        <f>COUNT($B$4:B137)+1</f>
        <v>91</v>
      </c>
      <c r="C138" s="10" t="s">
        <v>143</v>
      </c>
      <c r="D138" s="10" t="s">
        <v>93</v>
      </c>
      <c r="E138" s="11" t="s">
        <v>2</v>
      </c>
      <c r="F138" s="12" t="s">
        <v>51</v>
      </c>
      <c r="G138" s="12"/>
      <c r="H138" s="13">
        <f t="shared" si="2"/>
        <v>0</v>
      </c>
    </row>
    <row r="139" spans="2:8" ht="13.5" thickBot="1" x14ac:dyDescent="0.35">
      <c r="B139" s="9">
        <f>COUNT($B$4:B138)+1</f>
        <v>92</v>
      </c>
      <c r="C139" s="10" t="s">
        <v>144</v>
      </c>
      <c r="D139" s="10" t="s">
        <v>93</v>
      </c>
      <c r="E139" s="11" t="s">
        <v>2</v>
      </c>
      <c r="F139" s="12" t="s">
        <v>51</v>
      </c>
      <c r="G139" s="12"/>
      <c r="H139" s="13">
        <f t="shared" si="2"/>
        <v>0</v>
      </c>
    </row>
    <row r="140" spans="2:8" ht="13.5" thickBot="1" x14ac:dyDescent="0.35">
      <c r="B140" s="9">
        <f>COUNT($B$4:B139)+1</f>
        <v>93</v>
      </c>
      <c r="C140" s="10" t="s">
        <v>145</v>
      </c>
      <c r="D140" s="10" t="s">
        <v>93</v>
      </c>
      <c r="E140" s="11" t="s">
        <v>2</v>
      </c>
      <c r="F140" s="12" t="s">
        <v>51</v>
      </c>
      <c r="G140" s="12"/>
      <c r="H140" s="13">
        <f t="shared" si="2"/>
        <v>0</v>
      </c>
    </row>
    <row r="141" spans="2:8" ht="13.5" thickBot="1" x14ac:dyDescent="0.35">
      <c r="B141" s="9">
        <f>COUNT($B$4:B140)+1</f>
        <v>94</v>
      </c>
      <c r="C141" s="10" t="s">
        <v>146</v>
      </c>
      <c r="D141" s="10" t="s">
        <v>93</v>
      </c>
      <c r="E141" s="11" t="s">
        <v>2</v>
      </c>
      <c r="F141" s="12" t="s">
        <v>51</v>
      </c>
      <c r="G141" s="12"/>
      <c r="H141" s="13">
        <f t="shared" si="2"/>
        <v>0</v>
      </c>
    </row>
    <row r="142" spans="2:8" ht="13.5" thickBot="1" x14ac:dyDescent="0.35">
      <c r="B142" s="9">
        <f>COUNT($B$4:B141)+1</f>
        <v>95</v>
      </c>
      <c r="C142" s="10" t="s">
        <v>147</v>
      </c>
      <c r="D142" s="10" t="s">
        <v>93</v>
      </c>
      <c r="E142" s="11" t="s">
        <v>2</v>
      </c>
      <c r="F142" s="12" t="s">
        <v>51</v>
      </c>
      <c r="G142" s="12"/>
      <c r="H142" s="13">
        <f t="shared" si="2"/>
        <v>0</v>
      </c>
    </row>
    <row r="143" spans="2:8" ht="13.5" thickBot="1" x14ac:dyDescent="0.35">
      <c r="B143" s="9">
        <f>COUNT($B$4:B142)+1</f>
        <v>96</v>
      </c>
      <c r="C143" s="10" t="s">
        <v>148</v>
      </c>
      <c r="D143" s="10" t="s">
        <v>93</v>
      </c>
      <c r="E143" s="11" t="s">
        <v>2</v>
      </c>
      <c r="F143" s="12" t="s">
        <v>51</v>
      </c>
      <c r="G143" s="12"/>
      <c r="H143" s="13">
        <f t="shared" si="2"/>
        <v>0</v>
      </c>
    </row>
    <row r="144" spans="2:8" ht="13.5" thickBot="1" x14ac:dyDescent="0.35">
      <c r="B144" s="9">
        <f>COUNT($B$4:B143)+1</f>
        <v>97</v>
      </c>
      <c r="C144" s="10" t="s">
        <v>149</v>
      </c>
      <c r="D144" s="10" t="s">
        <v>93</v>
      </c>
      <c r="E144" s="11" t="s">
        <v>2</v>
      </c>
      <c r="F144" s="12" t="s">
        <v>51</v>
      </c>
      <c r="G144" s="12"/>
      <c r="H144" s="13">
        <f t="shared" si="2"/>
        <v>0</v>
      </c>
    </row>
    <row r="145" spans="2:8" ht="13.5" thickBot="1" x14ac:dyDescent="0.35">
      <c r="B145" s="9">
        <f>COUNT($B$4:B144)+1</f>
        <v>98</v>
      </c>
      <c r="C145" s="10" t="s">
        <v>150</v>
      </c>
      <c r="D145" s="10" t="s">
        <v>93</v>
      </c>
      <c r="E145" s="11" t="s">
        <v>2</v>
      </c>
      <c r="F145" s="12" t="s">
        <v>51</v>
      </c>
      <c r="G145" s="12"/>
      <c r="H145" s="13">
        <f t="shared" si="2"/>
        <v>0</v>
      </c>
    </row>
    <row r="146" spans="2:8" ht="13.5" thickBot="1" x14ac:dyDescent="0.35">
      <c r="B146" s="9">
        <f>COUNT($B$4:B145)+1</f>
        <v>99</v>
      </c>
      <c r="C146" s="10" t="s">
        <v>151</v>
      </c>
      <c r="D146" s="10" t="s">
        <v>93</v>
      </c>
      <c r="E146" s="11" t="s">
        <v>2</v>
      </c>
      <c r="F146" s="12" t="s">
        <v>51</v>
      </c>
      <c r="G146" s="12"/>
      <c r="H146" s="13">
        <f t="shared" si="2"/>
        <v>0</v>
      </c>
    </row>
    <row r="147" spans="2:8" ht="13.5" thickBot="1" x14ac:dyDescent="0.35">
      <c r="B147" s="9">
        <f>COUNT($B$4:B146)+1</f>
        <v>100</v>
      </c>
      <c r="C147" s="10" t="s">
        <v>152</v>
      </c>
      <c r="D147" s="10" t="s">
        <v>93</v>
      </c>
      <c r="E147" s="11" t="s">
        <v>2</v>
      </c>
      <c r="F147" s="12" t="s">
        <v>51</v>
      </c>
      <c r="G147" s="12">
        <v>0</v>
      </c>
      <c r="H147" s="13">
        <f t="shared" si="2"/>
        <v>0</v>
      </c>
    </row>
    <row r="148" spans="2:8" ht="13.5" thickBot="1" x14ac:dyDescent="0.35">
      <c r="B148" s="9">
        <f>COUNT($B$4:B147)+1</f>
        <v>101</v>
      </c>
      <c r="C148" s="10" t="s">
        <v>153</v>
      </c>
      <c r="D148" s="10" t="s">
        <v>93</v>
      </c>
      <c r="E148" s="11" t="s">
        <v>2</v>
      </c>
      <c r="F148" s="12" t="s">
        <v>51</v>
      </c>
      <c r="G148" s="12">
        <v>0</v>
      </c>
      <c r="H148" s="13">
        <f t="shared" si="2"/>
        <v>0</v>
      </c>
    </row>
    <row r="149" spans="2:8" ht="13.5" thickBot="1" x14ac:dyDescent="0.35">
      <c r="B149" s="9">
        <f>COUNT($B$4:B148)+1</f>
        <v>102</v>
      </c>
      <c r="C149" s="10" t="s">
        <v>154</v>
      </c>
      <c r="D149" s="10" t="s">
        <v>93</v>
      </c>
      <c r="E149" s="11" t="s">
        <v>2</v>
      </c>
      <c r="F149" s="12" t="s">
        <v>51</v>
      </c>
      <c r="G149" s="12">
        <v>0</v>
      </c>
      <c r="H149" s="13">
        <f t="shared" si="2"/>
        <v>0</v>
      </c>
    </row>
    <row r="150" spans="2:8" ht="13.5" thickBot="1" x14ac:dyDescent="0.35">
      <c r="B150" s="9">
        <f>COUNT($B$4:B149)+1</f>
        <v>103</v>
      </c>
      <c r="C150" s="10" t="s">
        <v>155</v>
      </c>
      <c r="D150" s="10" t="s">
        <v>93</v>
      </c>
      <c r="E150" s="11" t="s">
        <v>2</v>
      </c>
      <c r="F150" s="12" t="s">
        <v>51</v>
      </c>
      <c r="G150" s="12"/>
      <c r="H150" s="13">
        <f t="shared" si="2"/>
        <v>0</v>
      </c>
    </row>
    <row r="151" spans="2:8" ht="13.5" thickBot="1" x14ac:dyDescent="0.35">
      <c r="B151" s="9">
        <f>COUNT($B$4:B150)+1</f>
        <v>104</v>
      </c>
      <c r="C151" s="10" t="s">
        <v>156</v>
      </c>
      <c r="D151" s="10" t="s">
        <v>93</v>
      </c>
      <c r="E151" s="11" t="s">
        <v>2</v>
      </c>
      <c r="F151" s="12" t="s">
        <v>51</v>
      </c>
      <c r="G151" s="12"/>
      <c r="H151" s="13">
        <f t="shared" si="2"/>
        <v>0</v>
      </c>
    </row>
    <row r="152" spans="2:8" ht="13.5" thickBot="1" x14ac:dyDescent="0.35">
      <c r="B152" s="9">
        <f>COUNT($B$4:B151)+1</f>
        <v>105</v>
      </c>
      <c r="C152" s="10" t="s">
        <v>157</v>
      </c>
      <c r="D152" s="10" t="s">
        <v>93</v>
      </c>
      <c r="E152" s="11" t="s">
        <v>2</v>
      </c>
      <c r="F152" s="12" t="s">
        <v>51</v>
      </c>
      <c r="G152" s="12"/>
      <c r="H152" s="13">
        <f t="shared" si="2"/>
        <v>0</v>
      </c>
    </row>
    <row r="153" spans="2:8" ht="13.5" thickBot="1" x14ac:dyDescent="0.35">
      <c r="B153" s="9">
        <f>COUNT($B$4:B152)+1</f>
        <v>106</v>
      </c>
      <c r="C153" s="10" t="s">
        <v>158</v>
      </c>
      <c r="D153" s="10" t="s">
        <v>93</v>
      </c>
      <c r="E153" s="11" t="s">
        <v>2</v>
      </c>
      <c r="F153" s="12" t="s">
        <v>51</v>
      </c>
      <c r="G153" s="12"/>
      <c r="H153" s="13">
        <f t="shared" si="2"/>
        <v>0</v>
      </c>
    </row>
    <row r="154" spans="2:8" ht="13.5" thickBot="1" x14ac:dyDescent="0.35">
      <c r="B154" s="9">
        <f>COUNT($B$4:B153)+1</f>
        <v>107</v>
      </c>
      <c r="C154" s="10" t="s">
        <v>159</v>
      </c>
      <c r="D154" s="10" t="s">
        <v>93</v>
      </c>
      <c r="E154" s="11" t="s">
        <v>2</v>
      </c>
      <c r="F154" s="12" t="s">
        <v>51</v>
      </c>
      <c r="G154" s="12"/>
      <c r="H154" s="13">
        <f t="shared" si="2"/>
        <v>0</v>
      </c>
    </row>
    <row r="155" spans="2:8" ht="13.5" thickBot="1" x14ac:dyDescent="0.35">
      <c r="B155" s="9">
        <f>COUNT($B$4:B154)+1</f>
        <v>108</v>
      </c>
      <c r="C155" s="10" t="s">
        <v>160</v>
      </c>
      <c r="D155" s="10" t="s">
        <v>93</v>
      </c>
      <c r="E155" s="11" t="s">
        <v>2</v>
      </c>
      <c r="F155" s="12" t="s">
        <v>51</v>
      </c>
      <c r="G155" s="12"/>
      <c r="H155" s="13">
        <f t="shared" si="2"/>
        <v>0</v>
      </c>
    </row>
    <row r="156" spans="2:8" ht="13.5" thickBot="1" x14ac:dyDescent="0.35">
      <c r="B156" s="9">
        <f>COUNT($B$4:B155)+1</f>
        <v>109</v>
      </c>
      <c r="C156" s="10" t="s">
        <v>161</v>
      </c>
      <c r="D156" s="10" t="s">
        <v>93</v>
      </c>
      <c r="E156" s="11" t="s">
        <v>2</v>
      </c>
      <c r="F156" s="12" t="s">
        <v>51</v>
      </c>
      <c r="G156" s="12"/>
      <c r="H156" s="13">
        <f t="shared" si="2"/>
        <v>0</v>
      </c>
    </row>
    <row r="157" spans="2:8" ht="13.5" thickBot="1" x14ac:dyDescent="0.35">
      <c r="B157" s="9">
        <f>COUNT($B$4:B156)+1</f>
        <v>110</v>
      </c>
      <c r="C157" s="10" t="s">
        <v>162</v>
      </c>
      <c r="D157" s="10" t="s">
        <v>93</v>
      </c>
      <c r="E157" s="11" t="s">
        <v>2</v>
      </c>
      <c r="F157" s="12" t="s">
        <v>51</v>
      </c>
      <c r="G157" s="12"/>
      <c r="H157" s="13">
        <f t="shared" si="2"/>
        <v>0</v>
      </c>
    </row>
    <row r="158" spans="2:8" ht="13.5" thickBot="1" x14ac:dyDescent="0.35">
      <c r="B158" s="9">
        <f>COUNT($B$4:B157)+1</f>
        <v>111</v>
      </c>
      <c r="C158" s="10" t="s">
        <v>163</v>
      </c>
      <c r="D158" s="10" t="s">
        <v>93</v>
      </c>
      <c r="E158" s="11" t="s">
        <v>2</v>
      </c>
      <c r="F158" s="12" t="s">
        <v>51</v>
      </c>
      <c r="G158" s="12"/>
      <c r="H158" s="13">
        <f t="shared" si="2"/>
        <v>0</v>
      </c>
    </row>
    <row r="159" spans="2:8" ht="13.5" thickBot="1" x14ac:dyDescent="0.35">
      <c r="B159" s="9">
        <f>COUNT($B$4:B158)+1</f>
        <v>112</v>
      </c>
      <c r="C159" s="10" t="s">
        <v>164</v>
      </c>
      <c r="D159" s="10" t="s">
        <v>93</v>
      </c>
      <c r="E159" s="11" t="s">
        <v>2</v>
      </c>
      <c r="F159" s="12" t="s">
        <v>51</v>
      </c>
      <c r="G159" s="12"/>
      <c r="H159" s="13">
        <f t="shared" si="2"/>
        <v>0</v>
      </c>
    </row>
    <row r="160" spans="2:8" ht="13.5" thickBot="1" x14ac:dyDescent="0.35">
      <c r="B160" s="9">
        <f>COUNT($B$4:B159)+1</f>
        <v>113</v>
      </c>
      <c r="C160" s="10" t="s">
        <v>165</v>
      </c>
      <c r="D160" s="10" t="s">
        <v>93</v>
      </c>
      <c r="E160" s="11" t="s">
        <v>2</v>
      </c>
      <c r="F160" s="12" t="s">
        <v>51</v>
      </c>
      <c r="G160" s="12"/>
      <c r="H160" s="13">
        <f t="shared" si="2"/>
        <v>0</v>
      </c>
    </row>
    <row r="161" spans="2:8" ht="13.5" thickBot="1" x14ac:dyDescent="0.35">
      <c r="B161" s="9">
        <f>COUNT($B$4:B160)+1</f>
        <v>114</v>
      </c>
      <c r="C161" s="10" t="s">
        <v>166</v>
      </c>
      <c r="D161" s="10" t="s">
        <v>93</v>
      </c>
      <c r="E161" s="11" t="s">
        <v>2</v>
      </c>
      <c r="F161" s="12" t="s">
        <v>51</v>
      </c>
      <c r="G161" s="12"/>
      <c r="H161" s="13">
        <f t="shared" si="2"/>
        <v>0</v>
      </c>
    </row>
    <row r="162" spans="2:8" ht="13.5" thickBot="1" x14ac:dyDescent="0.35">
      <c r="B162" s="9">
        <f>COUNT($B$4:B161)+1</f>
        <v>115</v>
      </c>
      <c r="C162" s="10" t="s">
        <v>167</v>
      </c>
      <c r="D162" s="10" t="s">
        <v>93</v>
      </c>
      <c r="E162" s="11" t="s">
        <v>2</v>
      </c>
      <c r="F162" s="12" t="s">
        <v>51</v>
      </c>
      <c r="G162" s="12"/>
      <c r="H162" s="13">
        <f t="shared" si="2"/>
        <v>0</v>
      </c>
    </row>
    <row r="163" spans="2:8" ht="13.5" thickBot="1" x14ac:dyDescent="0.35">
      <c r="B163" s="9">
        <f>COUNT($B$4:B162)+1</f>
        <v>116</v>
      </c>
      <c r="C163" s="10" t="s">
        <v>168</v>
      </c>
      <c r="D163" s="10" t="s">
        <v>93</v>
      </c>
      <c r="E163" s="11" t="s">
        <v>2</v>
      </c>
      <c r="F163" s="12" t="s">
        <v>51</v>
      </c>
      <c r="G163" s="12"/>
      <c r="H163" s="13">
        <f t="shared" si="2"/>
        <v>0</v>
      </c>
    </row>
    <row r="164" spans="2:8" ht="13.5" thickBot="1" x14ac:dyDescent="0.35">
      <c r="B164" s="9">
        <f>COUNT($B$4:B163)+1</f>
        <v>117</v>
      </c>
      <c r="C164" s="10" t="s">
        <v>169</v>
      </c>
      <c r="D164" s="10" t="s">
        <v>93</v>
      </c>
      <c r="E164" s="11" t="s">
        <v>2</v>
      </c>
      <c r="F164" s="12" t="s">
        <v>51</v>
      </c>
      <c r="G164" s="12"/>
      <c r="H164" s="13">
        <f t="shared" si="2"/>
        <v>0</v>
      </c>
    </row>
    <row r="165" spans="2:8" ht="13.5" thickBot="1" x14ac:dyDescent="0.35">
      <c r="B165" s="9">
        <f>COUNT($B$4:B164)+1</f>
        <v>118</v>
      </c>
      <c r="C165" s="10" t="s">
        <v>170</v>
      </c>
      <c r="D165" s="10" t="s">
        <v>93</v>
      </c>
      <c r="E165" s="11" t="s">
        <v>2</v>
      </c>
      <c r="F165" s="12" t="s">
        <v>51</v>
      </c>
      <c r="G165" s="12"/>
      <c r="H165" s="13">
        <f t="shared" si="2"/>
        <v>0</v>
      </c>
    </row>
    <row r="166" spans="2:8" ht="13.5" thickBot="1" x14ac:dyDescent="0.35">
      <c r="B166" s="9">
        <f>COUNT($B$4:B165)+1</f>
        <v>119</v>
      </c>
      <c r="C166" s="10" t="s">
        <v>171</v>
      </c>
      <c r="D166" s="10" t="s">
        <v>93</v>
      </c>
      <c r="E166" s="11" t="s">
        <v>2</v>
      </c>
      <c r="F166" s="12" t="s">
        <v>51</v>
      </c>
      <c r="G166" s="12"/>
      <c r="H166" s="13">
        <f t="shared" si="2"/>
        <v>0</v>
      </c>
    </row>
    <row r="167" spans="2:8" ht="13.5" thickBot="1" x14ac:dyDescent="0.35">
      <c r="B167" s="9">
        <f>COUNT($B$4:B166)+1</f>
        <v>120</v>
      </c>
      <c r="C167" s="10" t="s">
        <v>172</v>
      </c>
      <c r="D167" s="10" t="s">
        <v>93</v>
      </c>
      <c r="E167" s="11" t="s">
        <v>2</v>
      </c>
      <c r="F167" s="12" t="s">
        <v>51</v>
      </c>
      <c r="G167" s="12"/>
      <c r="H167" s="13">
        <f t="shared" si="2"/>
        <v>0</v>
      </c>
    </row>
    <row r="168" spans="2:8" ht="13.5" thickBot="1" x14ac:dyDescent="0.35">
      <c r="B168" s="9">
        <f>COUNT($B$4:B167)+1</f>
        <v>121</v>
      </c>
      <c r="C168" s="10" t="s">
        <v>173</v>
      </c>
      <c r="D168" s="10" t="s">
        <v>93</v>
      </c>
      <c r="E168" s="11" t="s">
        <v>2</v>
      </c>
      <c r="F168" s="12" t="s">
        <v>51</v>
      </c>
      <c r="G168" s="12"/>
      <c r="H168" s="13">
        <f t="shared" si="2"/>
        <v>0</v>
      </c>
    </row>
    <row r="169" spans="2:8" ht="13.5" thickBot="1" x14ac:dyDescent="0.35">
      <c r="B169" s="9">
        <f>COUNT($B$4:B168)+1</f>
        <v>122</v>
      </c>
      <c r="C169" s="10" t="s">
        <v>174</v>
      </c>
      <c r="D169" s="10" t="s">
        <v>93</v>
      </c>
      <c r="E169" s="11" t="s">
        <v>2</v>
      </c>
      <c r="F169" s="12" t="s">
        <v>51</v>
      </c>
      <c r="G169" s="12"/>
      <c r="H169" s="13">
        <f t="shared" si="2"/>
        <v>0</v>
      </c>
    </row>
    <row r="170" spans="2:8" ht="13.5" thickBot="1" x14ac:dyDescent="0.35">
      <c r="B170" s="9">
        <f>COUNT($B$4:B169)+1</f>
        <v>123</v>
      </c>
      <c r="C170" s="10" t="s">
        <v>175</v>
      </c>
      <c r="D170" s="10" t="s">
        <v>93</v>
      </c>
      <c r="E170" s="11" t="s">
        <v>2</v>
      </c>
      <c r="F170" s="12" t="s">
        <v>51</v>
      </c>
      <c r="G170" s="12"/>
      <c r="H170" s="13">
        <f t="shared" si="2"/>
        <v>0</v>
      </c>
    </row>
    <row r="171" spans="2:8" ht="13.5" thickBot="1" x14ac:dyDescent="0.35">
      <c r="B171" s="9">
        <f>COUNT($B$4:B170)+1</f>
        <v>124</v>
      </c>
      <c r="C171" s="10" t="s">
        <v>176</v>
      </c>
      <c r="D171" s="10" t="s">
        <v>93</v>
      </c>
      <c r="E171" s="11" t="s">
        <v>2</v>
      </c>
      <c r="F171" s="12" t="s">
        <v>51</v>
      </c>
      <c r="G171" s="12"/>
      <c r="H171" s="13">
        <f t="shared" si="2"/>
        <v>0</v>
      </c>
    </row>
    <row r="172" spans="2:8" ht="13.5" thickBot="1" x14ac:dyDescent="0.35">
      <c r="B172" s="9">
        <f>COUNT($B$4:B171)+1</f>
        <v>125</v>
      </c>
      <c r="C172" s="10" t="s">
        <v>177</v>
      </c>
      <c r="D172" s="10" t="s">
        <v>93</v>
      </c>
      <c r="E172" s="11" t="s">
        <v>2</v>
      </c>
      <c r="F172" s="12" t="s">
        <v>51</v>
      </c>
      <c r="G172" s="12"/>
      <c r="H172" s="13">
        <f t="shared" si="2"/>
        <v>0</v>
      </c>
    </row>
    <row r="173" spans="2:8" ht="13.5" thickBot="1" x14ac:dyDescent="0.35">
      <c r="B173" s="9">
        <f>COUNT($B$4:B172)+1</f>
        <v>126</v>
      </c>
      <c r="C173" s="10" t="s">
        <v>178</v>
      </c>
      <c r="D173" s="10" t="s">
        <v>93</v>
      </c>
      <c r="E173" s="11" t="s">
        <v>2</v>
      </c>
      <c r="F173" s="12" t="s">
        <v>51</v>
      </c>
      <c r="G173" s="12"/>
      <c r="H173" s="13">
        <f t="shared" si="2"/>
        <v>0</v>
      </c>
    </row>
    <row r="174" spans="2:8" ht="13.5" thickBot="1" x14ac:dyDescent="0.35">
      <c r="B174" s="9">
        <f>COUNT($B$4:B173)+1</f>
        <v>127</v>
      </c>
      <c r="C174" s="10" t="s">
        <v>179</v>
      </c>
      <c r="D174" s="10" t="s">
        <v>93</v>
      </c>
      <c r="E174" s="11" t="s">
        <v>2</v>
      </c>
      <c r="F174" s="12" t="s">
        <v>51</v>
      </c>
      <c r="G174" s="12"/>
      <c r="H174" s="13">
        <f t="shared" si="2"/>
        <v>0</v>
      </c>
    </row>
    <row r="175" spans="2:8" ht="13.5" thickBot="1" x14ac:dyDescent="0.35">
      <c r="B175" s="9">
        <f>COUNT($B$4:B174)+1</f>
        <v>128</v>
      </c>
      <c r="C175" s="10" t="s">
        <v>180</v>
      </c>
      <c r="D175" s="10" t="s">
        <v>93</v>
      </c>
      <c r="E175" s="11" t="s">
        <v>2</v>
      </c>
      <c r="F175" s="12" t="s">
        <v>51</v>
      </c>
      <c r="G175" s="12"/>
      <c r="H175" s="13">
        <f t="shared" si="2"/>
        <v>0</v>
      </c>
    </row>
    <row r="176" spans="2:8" ht="13.5" thickBot="1" x14ac:dyDescent="0.35">
      <c r="B176" s="9">
        <f>COUNT($B$4:B175)+1</f>
        <v>129</v>
      </c>
      <c r="C176" s="10" t="s">
        <v>181</v>
      </c>
      <c r="D176" s="10" t="s">
        <v>93</v>
      </c>
      <c r="E176" s="11" t="s">
        <v>2</v>
      </c>
      <c r="F176" s="12" t="s">
        <v>51</v>
      </c>
      <c r="G176" s="12"/>
      <c r="H176" s="13">
        <f t="shared" si="2"/>
        <v>0</v>
      </c>
    </row>
    <row r="177" spans="2:8" ht="13.5" thickBot="1" x14ac:dyDescent="0.35">
      <c r="B177" s="9">
        <f>COUNT($B$4:B176)+1</f>
        <v>130</v>
      </c>
      <c r="C177" s="10" t="s">
        <v>182</v>
      </c>
      <c r="D177" s="10" t="s">
        <v>93</v>
      </c>
      <c r="E177" s="11" t="s">
        <v>2</v>
      </c>
      <c r="F177" s="12" t="s">
        <v>51</v>
      </c>
      <c r="G177" s="12"/>
      <c r="H177" s="13">
        <f t="shared" si="2"/>
        <v>0</v>
      </c>
    </row>
    <row r="178" spans="2:8" ht="13.5" thickBot="1" x14ac:dyDescent="0.35">
      <c r="B178" s="9">
        <f>COUNT($B$4:B177)+1</f>
        <v>131</v>
      </c>
      <c r="C178" s="10" t="s">
        <v>183</v>
      </c>
      <c r="D178" s="10" t="s">
        <v>93</v>
      </c>
      <c r="E178" s="11" t="s">
        <v>2</v>
      </c>
      <c r="F178" s="12" t="s">
        <v>51</v>
      </c>
      <c r="G178" s="12"/>
      <c r="H178" s="13">
        <f t="shared" si="2"/>
        <v>0</v>
      </c>
    </row>
    <row r="179" spans="2:8" ht="13.5" thickBot="1" x14ac:dyDescent="0.35">
      <c r="B179" s="9">
        <f>COUNT($B$4:B178)+1</f>
        <v>132</v>
      </c>
      <c r="C179" s="10" t="s">
        <v>184</v>
      </c>
      <c r="D179" s="10" t="s">
        <v>93</v>
      </c>
      <c r="E179" s="11" t="s">
        <v>2</v>
      </c>
      <c r="F179" s="12" t="s">
        <v>51</v>
      </c>
      <c r="G179" s="12"/>
      <c r="H179" s="13">
        <f t="shared" si="2"/>
        <v>0</v>
      </c>
    </row>
    <row r="180" spans="2:8" ht="13.5" thickBot="1" x14ac:dyDescent="0.35">
      <c r="B180" s="9">
        <f>COUNT($B$4:B179)+1</f>
        <v>133</v>
      </c>
      <c r="C180" s="10" t="s">
        <v>185</v>
      </c>
      <c r="D180" s="10" t="s">
        <v>93</v>
      </c>
      <c r="E180" s="11" t="s">
        <v>2</v>
      </c>
      <c r="F180" s="12" t="s">
        <v>51</v>
      </c>
      <c r="G180" s="12"/>
      <c r="H180" s="13">
        <f t="shared" si="2"/>
        <v>0</v>
      </c>
    </row>
    <row r="181" spans="2:8" ht="13.5" thickBot="1" x14ac:dyDescent="0.35">
      <c r="B181" s="9">
        <f>COUNT($B$4:B180)+1</f>
        <v>134</v>
      </c>
      <c r="C181" s="10" t="s">
        <v>186</v>
      </c>
      <c r="D181" s="10" t="s">
        <v>93</v>
      </c>
      <c r="E181" s="11" t="s">
        <v>2</v>
      </c>
      <c r="F181" s="12" t="s">
        <v>51</v>
      </c>
      <c r="G181" s="12"/>
      <c r="H181" s="13">
        <f t="shared" si="2"/>
        <v>0</v>
      </c>
    </row>
    <row r="182" spans="2:8" ht="13.5" thickBot="1" x14ac:dyDescent="0.35">
      <c r="B182" s="9">
        <f>COUNT($B$4:B181)+1</f>
        <v>135</v>
      </c>
      <c r="C182" s="10" t="s">
        <v>187</v>
      </c>
      <c r="D182" s="10" t="s">
        <v>93</v>
      </c>
      <c r="E182" s="11" t="s">
        <v>2</v>
      </c>
      <c r="F182" s="12" t="s">
        <v>51</v>
      </c>
      <c r="G182" s="12"/>
      <c r="H182" s="13">
        <f t="shared" si="2"/>
        <v>0</v>
      </c>
    </row>
    <row r="183" spans="2:8" ht="13.5" thickBot="1" x14ac:dyDescent="0.35">
      <c r="B183" s="9">
        <f>COUNT($B$4:B182)+1</f>
        <v>136</v>
      </c>
      <c r="C183" s="10" t="s">
        <v>188</v>
      </c>
      <c r="D183" s="10" t="s">
        <v>93</v>
      </c>
      <c r="E183" s="11" t="s">
        <v>2</v>
      </c>
      <c r="F183" s="12" t="s">
        <v>51</v>
      </c>
      <c r="G183" s="12"/>
      <c r="H183" s="13">
        <f t="shared" si="2"/>
        <v>0</v>
      </c>
    </row>
    <row r="184" spans="2:8" ht="13.5" thickBot="1" x14ac:dyDescent="0.35">
      <c r="B184" s="9">
        <f>COUNT($B$4:B183)+1</f>
        <v>137</v>
      </c>
      <c r="C184" s="10" t="s">
        <v>189</v>
      </c>
      <c r="D184" s="10" t="s">
        <v>93</v>
      </c>
      <c r="E184" s="11" t="s">
        <v>2</v>
      </c>
      <c r="F184" s="12" t="s">
        <v>51</v>
      </c>
      <c r="G184" s="12"/>
      <c r="H184" s="13">
        <f t="shared" si="2"/>
        <v>0</v>
      </c>
    </row>
    <row r="185" spans="2:8" ht="13.5" thickBot="1" x14ac:dyDescent="0.35">
      <c r="B185" s="9">
        <f>COUNT($B$4:B184)+1</f>
        <v>138</v>
      </c>
      <c r="C185" s="10" t="s">
        <v>190</v>
      </c>
      <c r="D185" s="10" t="s">
        <v>93</v>
      </c>
      <c r="E185" s="11" t="s">
        <v>2</v>
      </c>
      <c r="F185" s="12" t="s">
        <v>51</v>
      </c>
      <c r="G185" s="12"/>
      <c r="H185" s="13">
        <f t="shared" si="2"/>
        <v>0</v>
      </c>
    </row>
    <row r="186" spans="2:8" ht="13.5" thickBot="1" x14ac:dyDescent="0.35">
      <c r="B186" s="9">
        <f>COUNT($B$4:B185)+1</f>
        <v>139</v>
      </c>
      <c r="C186" s="10" t="s">
        <v>191</v>
      </c>
      <c r="D186" s="10" t="s">
        <v>93</v>
      </c>
      <c r="E186" s="11" t="s">
        <v>2</v>
      </c>
      <c r="F186" s="12" t="s">
        <v>51</v>
      </c>
      <c r="G186" s="12"/>
      <c r="H186" s="13">
        <f t="shared" si="2"/>
        <v>0</v>
      </c>
    </row>
    <row r="187" spans="2:8" ht="13.5" thickBot="1" x14ac:dyDescent="0.35">
      <c r="B187" s="9">
        <f>COUNT($B$4:B186)+1</f>
        <v>140</v>
      </c>
      <c r="C187" s="10" t="s">
        <v>192</v>
      </c>
      <c r="D187" s="10" t="s">
        <v>93</v>
      </c>
      <c r="E187" s="11" t="s">
        <v>2</v>
      </c>
      <c r="F187" s="12" t="s">
        <v>51</v>
      </c>
      <c r="G187" s="12"/>
      <c r="H187" s="13">
        <f t="shared" si="2"/>
        <v>0</v>
      </c>
    </row>
    <row r="188" spans="2:8" ht="13.5" thickBot="1" x14ac:dyDescent="0.35">
      <c r="B188" s="9">
        <f>COUNT($B$4:B187)+1</f>
        <v>141</v>
      </c>
      <c r="C188" s="10" t="s">
        <v>193</v>
      </c>
      <c r="D188" s="10" t="s">
        <v>93</v>
      </c>
      <c r="E188" s="11" t="s">
        <v>2</v>
      </c>
      <c r="F188" s="12" t="s">
        <v>51</v>
      </c>
      <c r="G188" s="12"/>
      <c r="H188" s="13">
        <f t="shared" si="2"/>
        <v>0</v>
      </c>
    </row>
    <row r="189" spans="2:8" ht="13.5" thickBot="1" x14ac:dyDescent="0.35">
      <c r="B189" s="9">
        <f>COUNT($B$4:B188)+1</f>
        <v>142</v>
      </c>
      <c r="C189" s="10" t="s">
        <v>194</v>
      </c>
      <c r="D189" s="10" t="s">
        <v>93</v>
      </c>
      <c r="E189" s="11" t="s">
        <v>2</v>
      </c>
      <c r="F189" s="12" t="s">
        <v>51</v>
      </c>
      <c r="G189" s="12"/>
      <c r="H189" s="13">
        <f t="shared" si="2"/>
        <v>0</v>
      </c>
    </row>
    <row r="190" spans="2:8" ht="13.5" thickBot="1" x14ac:dyDescent="0.35">
      <c r="B190" s="9">
        <f>COUNT($B$4:B189)+1</f>
        <v>143</v>
      </c>
      <c r="C190" s="10" t="s">
        <v>195</v>
      </c>
      <c r="D190" s="10" t="s">
        <v>93</v>
      </c>
      <c r="E190" s="11" t="s">
        <v>2</v>
      </c>
      <c r="F190" s="12" t="s">
        <v>51</v>
      </c>
      <c r="G190" s="12"/>
      <c r="H190" s="13">
        <f t="shared" si="2"/>
        <v>0</v>
      </c>
    </row>
    <row r="191" spans="2:8" ht="13.5" thickBot="1" x14ac:dyDescent="0.35">
      <c r="B191" s="9">
        <f>COUNT($B$4:B190)+1</f>
        <v>144</v>
      </c>
      <c r="C191" s="10" t="s">
        <v>196</v>
      </c>
      <c r="D191" s="10" t="s">
        <v>93</v>
      </c>
      <c r="E191" s="11" t="s">
        <v>2</v>
      </c>
      <c r="F191" s="12" t="s">
        <v>51</v>
      </c>
      <c r="G191" s="12"/>
      <c r="H191" s="13">
        <f t="shared" si="2"/>
        <v>0</v>
      </c>
    </row>
    <row r="192" spans="2:8" ht="13.5" thickBot="1" x14ac:dyDescent="0.35">
      <c r="B192" s="9">
        <f>COUNT($B$4:B191)+1</f>
        <v>145</v>
      </c>
      <c r="C192" s="10" t="s">
        <v>197</v>
      </c>
      <c r="D192" s="10" t="s">
        <v>93</v>
      </c>
      <c r="E192" s="11" t="s">
        <v>2</v>
      </c>
      <c r="F192" s="12" t="s">
        <v>51</v>
      </c>
      <c r="G192" s="12"/>
      <c r="H192" s="13">
        <f t="shared" si="2"/>
        <v>0</v>
      </c>
    </row>
    <row r="193" spans="2:8" ht="13.5" thickBot="1" x14ac:dyDescent="0.35">
      <c r="B193" s="9">
        <f>COUNT($B$4:B192)+1</f>
        <v>146</v>
      </c>
      <c r="C193" s="10" t="s">
        <v>198</v>
      </c>
      <c r="D193" s="10" t="s">
        <v>93</v>
      </c>
      <c r="E193" s="11" t="s">
        <v>2</v>
      </c>
      <c r="F193" s="12" t="s">
        <v>51</v>
      </c>
      <c r="G193" s="12"/>
      <c r="H193" s="13">
        <f t="shared" si="2"/>
        <v>0</v>
      </c>
    </row>
    <row r="194" spans="2:8" ht="13.5" thickBot="1" x14ac:dyDescent="0.35">
      <c r="B194" s="9">
        <f>COUNT($B$4:B193)+1</f>
        <v>147</v>
      </c>
      <c r="C194" s="10" t="s">
        <v>199</v>
      </c>
      <c r="D194" s="10" t="s">
        <v>93</v>
      </c>
      <c r="E194" s="11" t="s">
        <v>2</v>
      </c>
      <c r="F194" s="12" t="s">
        <v>51</v>
      </c>
      <c r="G194" s="12"/>
      <c r="H194" s="13">
        <f t="shared" si="2"/>
        <v>0</v>
      </c>
    </row>
    <row r="195" spans="2:8" ht="13.5" thickBot="1" x14ac:dyDescent="0.35">
      <c r="B195" s="9">
        <f>COUNT($B$4:B194)+1</f>
        <v>148</v>
      </c>
      <c r="C195" s="10" t="s">
        <v>200</v>
      </c>
      <c r="D195" s="10" t="s">
        <v>93</v>
      </c>
      <c r="E195" s="11" t="s">
        <v>2</v>
      </c>
      <c r="F195" s="12" t="s">
        <v>51</v>
      </c>
      <c r="G195" s="12"/>
      <c r="H195" s="13">
        <f t="shared" si="2"/>
        <v>0</v>
      </c>
    </row>
    <row r="196" spans="2:8" ht="13.5" thickBot="1" x14ac:dyDescent="0.35">
      <c r="B196" s="9">
        <f>COUNT($B$4:B195)+1</f>
        <v>149</v>
      </c>
      <c r="C196" s="10" t="s">
        <v>201</v>
      </c>
      <c r="D196" s="10" t="s">
        <v>93</v>
      </c>
      <c r="E196" s="11" t="s">
        <v>2</v>
      </c>
      <c r="F196" s="12" t="s">
        <v>51</v>
      </c>
      <c r="G196" s="12"/>
      <c r="H196" s="13">
        <f t="shared" si="2"/>
        <v>0</v>
      </c>
    </row>
    <row r="197" spans="2:8" ht="13.5" thickBot="1" x14ac:dyDescent="0.35">
      <c r="B197" s="9">
        <f>COUNT($B$4:B196)+1</f>
        <v>150</v>
      </c>
      <c r="C197" s="10" t="s">
        <v>202</v>
      </c>
      <c r="D197" s="10" t="s">
        <v>93</v>
      </c>
      <c r="E197" s="11" t="s">
        <v>2</v>
      </c>
      <c r="F197" s="12" t="s">
        <v>51</v>
      </c>
      <c r="G197" s="12"/>
      <c r="H197" s="13">
        <f t="shared" ref="H197:H260" si="3">SUM(G197:G197)</f>
        <v>0</v>
      </c>
    </row>
    <row r="198" spans="2:8" ht="13.5" thickBot="1" x14ac:dyDescent="0.35">
      <c r="B198" s="9">
        <f>COUNT($B$4:B197)+1</f>
        <v>151</v>
      </c>
      <c r="C198" s="10" t="s">
        <v>203</v>
      </c>
      <c r="D198" s="10" t="s">
        <v>93</v>
      </c>
      <c r="E198" s="11" t="s">
        <v>2</v>
      </c>
      <c r="F198" s="12" t="s">
        <v>51</v>
      </c>
      <c r="G198" s="12"/>
      <c r="H198" s="13">
        <f t="shared" si="3"/>
        <v>0</v>
      </c>
    </row>
    <row r="199" spans="2:8" ht="13.5" thickBot="1" x14ac:dyDescent="0.35">
      <c r="B199" s="9">
        <f>COUNT($B$4:B198)+1</f>
        <v>152</v>
      </c>
      <c r="C199" s="10" t="s">
        <v>204</v>
      </c>
      <c r="D199" s="10" t="s">
        <v>93</v>
      </c>
      <c r="E199" s="11" t="s">
        <v>2</v>
      </c>
      <c r="F199" s="12" t="s">
        <v>51</v>
      </c>
      <c r="G199" s="12"/>
      <c r="H199" s="13">
        <f t="shared" si="3"/>
        <v>0</v>
      </c>
    </row>
    <row r="200" spans="2:8" ht="13.5" thickBot="1" x14ac:dyDescent="0.35">
      <c r="B200" s="9">
        <f>COUNT($B$4:B199)+1</f>
        <v>153</v>
      </c>
      <c r="C200" s="10" t="s">
        <v>205</v>
      </c>
      <c r="D200" s="10" t="s">
        <v>93</v>
      </c>
      <c r="E200" s="11" t="s">
        <v>2</v>
      </c>
      <c r="F200" s="12" t="s">
        <v>51</v>
      </c>
      <c r="G200" s="12"/>
      <c r="H200" s="13">
        <f t="shared" si="3"/>
        <v>0</v>
      </c>
    </row>
    <row r="201" spans="2:8" ht="13.5" thickBot="1" x14ac:dyDescent="0.35">
      <c r="B201" s="9">
        <f>COUNT($B$4:B200)+1</f>
        <v>154</v>
      </c>
      <c r="C201" s="10" t="s">
        <v>206</v>
      </c>
      <c r="D201" s="10" t="s">
        <v>93</v>
      </c>
      <c r="E201" s="11" t="s">
        <v>2</v>
      </c>
      <c r="F201" s="12" t="s">
        <v>51</v>
      </c>
      <c r="G201" s="12"/>
      <c r="H201" s="13">
        <f t="shared" si="3"/>
        <v>0</v>
      </c>
    </row>
    <row r="202" spans="2:8" ht="13.5" thickBot="1" x14ac:dyDescent="0.35">
      <c r="B202" s="9">
        <f>COUNT($B$4:B201)+1</f>
        <v>155</v>
      </c>
      <c r="C202" s="10" t="s">
        <v>207</v>
      </c>
      <c r="D202" s="10" t="s">
        <v>93</v>
      </c>
      <c r="E202" s="11" t="s">
        <v>2</v>
      </c>
      <c r="F202" s="12" t="s">
        <v>51</v>
      </c>
      <c r="G202" s="12"/>
      <c r="H202" s="13">
        <f t="shared" si="3"/>
        <v>0</v>
      </c>
    </row>
    <row r="203" spans="2:8" ht="13.5" thickBot="1" x14ac:dyDescent="0.35">
      <c r="B203" s="9">
        <f>COUNT($B$4:B202)+1</f>
        <v>156</v>
      </c>
      <c r="C203" s="10" t="s">
        <v>208</v>
      </c>
      <c r="D203" s="10" t="s">
        <v>93</v>
      </c>
      <c r="E203" s="11" t="s">
        <v>2</v>
      </c>
      <c r="F203" s="12" t="s">
        <v>51</v>
      </c>
      <c r="G203" s="12"/>
      <c r="H203" s="13">
        <f t="shared" si="3"/>
        <v>0</v>
      </c>
    </row>
    <row r="204" spans="2:8" ht="13.5" thickBot="1" x14ac:dyDescent="0.35">
      <c r="B204" s="9">
        <f>COUNT($B$4:B203)+1</f>
        <v>157</v>
      </c>
      <c r="C204" s="10" t="s">
        <v>209</v>
      </c>
      <c r="D204" s="10" t="s">
        <v>93</v>
      </c>
      <c r="E204" s="11" t="s">
        <v>2</v>
      </c>
      <c r="F204" s="12" t="s">
        <v>51</v>
      </c>
      <c r="G204" s="12"/>
      <c r="H204" s="13">
        <f t="shared" si="3"/>
        <v>0</v>
      </c>
    </row>
    <row r="205" spans="2:8" ht="13.5" thickBot="1" x14ac:dyDescent="0.35">
      <c r="B205" s="9">
        <f>COUNT($B$4:B204)+1</f>
        <v>158</v>
      </c>
      <c r="C205" s="10" t="s">
        <v>210</v>
      </c>
      <c r="D205" s="10" t="s">
        <v>93</v>
      </c>
      <c r="E205" s="11" t="s">
        <v>2</v>
      </c>
      <c r="F205" s="12" t="s">
        <v>51</v>
      </c>
      <c r="G205" s="12"/>
      <c r="H205" s="13">
        <f t="shared" si="3"/>
        <v>0</v>
      </c>
    </row>
    <row r="206" spans="2:8" ht="13.5" thickBot="1" x14ac:dyDescent="0.35">
      <c r="B206" s="9">
        <f>COUNT($B$4:B205)+1</f>
        <v>159</v>
      </c>
      <c r="C206" s="10" t="s">
        <v>211</v>
      </c>
      <c r="D206" s="10" t="s">
        <v>93</v>
      </c>
      <c r="E206" s="11" t="s">
        <v>2</v>
      </c>
      <c r="F206" s="12" t="s">
        <v>51</v>
      </c>
      <c r="G206" s="12"/>
      <c r="H206" s="13">
        <f t="shared" si="3"/>
        <v>0</v>
      </c>
    </row>
    <row r="207" spans="2:8" ht="13.5" thickBot="1" x14ac:dyDescent="0.35">
      <c r="B207" s="9">
        <f>COUNT($B$4:B206)+1</f>
        <v>160</v>
      </c>
      <c r="C207" s="10" t="s">
        <v>212</v>
      </c>
      <c r="D207" s="10" t="s">
        <v>93</v>
      </c>
      <c r="E207" s="11" t="s">
        <v>2</v>
      </c>
      <c r="F207" s="12" t="s">
        <v>51</v>
      </c>
      <c r="G207" s="12"/>
      <c r="H207" s="13">
        <f t="shared" si="3"/>
        <v>0</v>
      </c>
    </row>
    <row r="208" spans="2:8" ht="13.5" thickBot="1" x14ac:dyDescent="0.35">
      <c r="B208" s="9">
        <f>COUNT($B$4:B207)+1</f>
        <v>161</v>
      </c>
      <c r="C208" s="10" t="s">
        <v>213</v>
      </c>
      <c r="D208" s="10" t="s">
        <v>93</v>
      </c>
      <c r="E208" s="11" t="s">
        <v>2</v>
      </c>
      <c r="F208" s="12" t="s">
        <v>51</v>
      </c>
      <c r="G208" s="12"/>
      <c r="H208" s="13">
        <f t="shared" si="3"/>
        <v>0</v>
      </c>
    </row>
    <row r="209" spans="2:8" ht="13.5" thickBot="1" x14ac:dyDescent="0.35">
      <c r="B209" s="9">
        <f>COUNT($B$4:B208)+1</f>
        <v>162</v>
      </c>
      <c r="C209" s="10" t="s">
        <v>214</v>
      </c>
      <c r="D209" s="10" t="s">
        <v>93</v>
      </c>
      <c r="E209" s="11" t="s">
        <v>2</v>
      </c>
      <c r="F209" s="12" t="s">
        <v>51</v>
      </c>
      <c r="G209" s="12"/>
      <c r="H209" s="13">
        <f t="shared" si="3"/>
        <v>0</v>
      </c>
    </row>
    <row r="210" spans="2:8" ht="13.5" thickBot="1" x14ac:dyDescent="0.35">
      <c r="B210" s="9">
        <f>COUNT($B$4:B209)+1</f>
        <v>163</v>
      </c>
      <c r="C210" s="10" t="s">
        <v>215</v>
      </c>
      <c r="D210" s="10" t="s">
        <v>93</v>
      </c>
      <c r="E210" s="11" t="s">
        <v>2</v>
      </c>
      <c r="F210" s="12" t="s">
        <v>51</v>
      </c>
      <c r="G210" s="12"/>
      <c r="H210" s="13">
        <f t="shared" si="3"/>
        <v>0</v>
      </c>
    </row>
    <row r="211" spans="2:8" ht="13.5" thickBot="1" x14ac:dyDescent="0.35">
      <c r="B211" s="9">
        <f>COUNT($B$4:B210)+1</f>
        <v>164</v>
      </c>
      <c r="C211" s="10" t="s">
        <v>216</v>
      </c>
      <c r="D211" s="10" t="s">
        <v>217</v>
      </c>
      <c r="E211" s="11" t="s">
        <v>4</v>
      </c>
      <c r="F211" s="12" t="s">
        <v>23</v>
      </c>
      <c r="G211" s="12"/>
      <c r="H211" s="13">
        <f t="shared" si="3"/>
        <v>0</v>
      </c>
    </row>
    <row r="212" spans="2:8" ht="13.5" thickBot="1" x14ac:dyDescent="0.35">
      <c r="B212" s="9">
        <f>COUNT($B$4:B211)+1</f>
        <v>165</v>
      </c>
      <c r="C212" s="10" t="s">
        <v>218</v>
      </c>
      <c r="D212" s="10" t="s">
        <v>217</v>
      </c>
      <c r="E212" s="11" t="s">
        <v>4</v>
      </c>
      <c r="F212" s="12" t="s">
        <v>23</v>
      </c>
      <c r="G212" s="12"/>
      <c r="H212" s="13">
        <f t="shared" si="3"/>
        <v>0</v>
      </c>
    </row>
    <row r="213" spans="2:8" ht="13.5" thickBot="1" x14ac:dyDescent="0.35">
      <c r="B213" s="9">
        <f>COUNT($B$4:B212)+1</f>
        <v>166</v>
      </c>
      <c r="C213" s="10" t="s">
        <v>219</v>
      </c>
      <c r="D213" s="10" t="s">
        <v>217</v>
      </c>
      <c r="E213" s="11" t="s">
        <v>4</v>
      </c>
      <c r="F213" s="12" t="s">
        <v>23</v>
      </c>
      <c r="G213" s="12"/>
      <c r="H213" s="13">
        <f t="shared" si="3"/>
        <v>0</v>
      </c>
    </row>
    <row r="214" spans="2:8" ht="13.5" thickBot="1" x14ac:dyDescent="0.35">
      <c r="B214" s="9">
        <f>COUNT($B$4:B213)+1</f>
        <v>167</v>
      </c>
      <c r="C214" s="10" t="s">
        <v>220</v>
      </c>
      <c r="D214" s="10" t="s">
        <v>217</v>
      </c>
      <c r="E214" s="11" t="s">
        <v>4</v>
      </c>
      <c r="F214" s="12" t="s">
        <v>23</v>
      </c>
      <c r="G214" s="12"/>
      <c r="H214" s="13">
        <f t="shared" si="3"/>
        <v>0</v>
      </c>
    </row>
    <row r="215" spans="2:8" s="2" customFormat="1" ht="13.5" thickBot="1" x14ac:dyDescent="0.35">
      <c r="B215" s="9">
        <f>COUNT($B$4:B214)+1</f>
        <v>168</v>
      </c>
      <c r="C215" s="10" t="s">
        <v>221</v>
      </c>
      <c r="D215" s="10" t="s">
        <v>217</v>
      </c>
      <c r="E215" s="11" t="s">
        <v>4</v>
      </c>
      <c r="F215" s="12" t="s">
        <v>23</v>
      </c>
      <c r="G215" s="12"/>
      <c r="H215" s="13">
        <f t="shared" si="3"/>
        <v>0</v>
      </c>
    </row>
    <row r="216" spans="2:8" s="2" customFormat="1" ht="13.5" thickBot="1" x14ac:dyDescent="0.35">
      <c r="B216" s="9">
        <f>COUNT($B$4:B215)+1</f>
        <v>169</v>
      </c>
      <c r="C216" s="10" t="s">
        <v>222</v>
      </c>
      <c r="D216" s="10" t="s">
        <v>217</v>
      </c>
      <c r="E216" s="11" t="s">
        <v>4</v>
      </c>
      <c r="F216" s="12" t="s">
        <v>23</v>
      </c>
      <c r="G216" s="12"/>
      <c r="H216" s="13">
        <f t="shared" si="3"/>
        <v>0</v>
      </c>
    </row>
    <row r="217" spans="2:8" s="2" customFormat="1" ht="13.5" thickBot="1" x14ac:dyDescent="0.35">
      <c r="B217" s="9">
        <f>COUNT($B$4:B216)+1</f>
        <v>170</v>
      </c>
      <c r="C217" s="10" t="s">
        <v>223</v>
      </c>
      <c r="D217" s="10" t="s">
        <v>217</v>
      </c>
      <c r="E217" s="11" t="s">
        <v>4</v>
      </c>
      <c r="F217" s="12" t="s">
        <v>23</v>
      </c>
      <c r="G217" s="12"/>
      <c r="H217" s="13">
        <f t="shared" si="3"/>
        <v>0</v>
      </c>
    </row>
    <row r="218" spans="2:8" s="2" customFormat="1" ht="13.5" thickBot="1" x14ac:dyDescent="0.35">
      <c r="B218" s="9">
        <f>COUNT($B$4:B217)+1</f>
        <v>171</v>
      </c>
      <c r="C218" s="10" t="s">
        <v>224</v>
      </c>
      <c r="D218" s="10" t="s">
        <v>217</v>
      </c>
      <c r="E218" s="11" t="s">
        <v>4</v>
      </c>
      <c r="F218" s="12" t="s">
        <v>23</v>
      </c>
      <c r="G218" s="12"/>
      <c r="H218" s="13">
        <f t="shared" si="3"/>
        <v>0</v>
      </c>
    </row>
    <row r="219" spans="2:8" ht="13.5" thickBot="1" x14ac:dyDescent="0.35">
      <c r="B219" s="9">
        <f>COUNT($B$4:B218)+1</f>
        <v>172</v>
      </c>
      <c r="C219" s="10" t="s">
        <v>225</v>
      </c>
      <c r="D219" s="10" t="s">
        <v>217</v>
      </c>
      <c r="E219" s="11" t="s">
        <v>4</v>
      </c>
      <c r="F219" s="12" t="s">
        <v>23</v>
      </c>
      <c r="G219" s="12"/>
      <c r="H219" s="13">
        <f t="shared" si="3"/>
        <v>0</v>
      </c>
    </row>
    <row r="220" spans="2:8" ht="13.5" thickBot="1" x14ac:dyDescent="0.35">
      <c r="B220" s="9">
        <f>COUNT($B$4:B219)+1</f>
        <v>173</v>
      </c>
      <c r="C220" s="10" t="s">
        <v>226</v>
      </c>
      <c r="D220" s="10" t="s">
        <v>217</v>
      </c>
      <c r="E220" s="11" t="s">
        <v>4</v>
      </c>
      <c r="F220" s="12" t="s">
        <v>23</v>
      </c>
      <c r="G220" s="12"/>
      <c r="H220" s="13">
        <f t="shared" si="3"/>
        <v>0</v>
      </c>
    </row>
    <row r="221" spans="2:8" s="2" customFormat="1" ht="13.5" thickBot="1" x14ac:dyDescent="0.35">
      <c r="B221" s="9">
        <f>COUNT($B$4:B220)+1</f>
        <v>174</v>
      </c>
      <c r="C221" s="10" t="s">
        <v>227</v>
      </c>
      <c r="D221" s="10" t="s">
        <v>217</v>
      </c>
      <c r="E221" s="11" t="s">
        <v>4</v>
      </c>
      <c r="F221" s="12" t="s">
        <v>23</v>
      </c>
      <c r="G221" s="12"/>
      <c r="H221" s="13">
        <f t="shared" si="3"/>
        <v>0</v>
      </c>
    </row>
    <row r="222" spans="2:8" s="2" customFormat="1" ht="13.5" thickBot="1" x14ac:dyDescent="0.35">
      <c r="B222" s="9">
        <f>COUNT($B$4:B221)+1</f>
        <v>175</v>
      </c>
      <c r="C222" s="10" t="s">
        <v>228</v>
      </c>
      <c r="D222" s="10" t="s">
        <v>217</v>
      </c>
      <c r="E222" s="11" t="s">
        <v>4</v>
      </c>
      <c r="F222" s="12" t="s">
        <v>23</v>
      </c>
      <c r="G222" s="12"/>
      <c r="H222" s="13">
        <f t="shared" si="3"/>
        <v>0</v>
      </c>
    </row>
    <row r="223" spans="2:8" ht="13.5" thickBot="1" x14ac:dyDescent="0.35">
      <c r="B223" s="9">
        <f>COUNT($B$4:B222)+1</f>
        <v>176</v>
      </c>
      <c r="C223" s="10" t="s">
        <v>229</v>
      </c>
      <c r="D223" s="10"/>
      <c r="E223" s="11" t="s">
        <v>6</v>
      </c>
      <c r="F223" s="12" t="s">
        <v>23</v>
      </c>
      <c r="G223" s="12"/>
      <c r="H223" s="13">
        <f t="shared" si="3"/>
        <v>0</v>
      </c>
    </row>
    <row r="224" spans="2:8" ht="13.5" thickBot="1" x14ac:dyDescent="0.35">
      <c r="B224" s="9"/>
      <c r="C224" s="14" t="s">
        <v>230</v>
      </c>
      <c r="D224" s="14" t="s">
        <v>49</v>
      </c>
      <c r="E224" s="18" t="s">
        <v>6</v>
      </c>
      <c r="F224" s="17" t="s">
        <v>23</v>
      </c>
      <c r="G224" s="17">
        <f>G223</f>
        <v>0</v>
      </c>
      <c r="H224" s="13">
        <f t="shared" si="3"/>
        <v>0</v>
      </c>
    </row>
    <row r="225" spans="2:8" ht="13.5" thickBot="1" x14ac:dyDescent="0.35">
      <c r="B225" s="9"/>
      <c r="C225" s="14" t="s">
        <v>231</v>
      </c>
      <c r="D225" s="14" t="s">
        <v>49</v>
      </c>
      <c r="E225" s="18" t="s">
        <v>6</v>
      </c>
      <c r="F225" s="17" t="s">
        <v>23</v>
      </c>
      <c r="G225" s="17">
        <f>G223</f>
        <v>0</v>
      </c>
      <c r="H225" s="13">
        <f t="shared" si="3"/>
        <v>0</v>
      </c>
    </row>
    <row r="226" spans="2:8" ht="13.5" thickBot="1" x14ac:dyDescent="0.35">
      <c r="B226" s="9">
        <f>COUNT($B$4:B225)+1</f>
        <v>177</v>
      </c>
      <c r="C226" s="10" t="s">
        <v>232</v>
      </c>
      <c r="D226" s="10"/>
      <c r="E226" s="11" t="s">
        <v>6</v>
      </c>
      <c r="F226" s="12" t="s">
        <v>23</v>
      </c>
      <c r="G226" s="12">
        <v>15</v>
      </c>
      <c r="H226" s="13">
        <f t="shared" si="3"/>
        <v>15</v>
      </c>
    </row>
    <row r="227" spans="2:8" ht="13.5" thickBot="1" x14ac:dyDescent="0.35">
      <c r="B227" s="9"/>
      <c r="C227" s="14" t="s">
        <v>230</v>
      </c>
      <c r="D227" s="14" t="s">
        <v>49</v>
      </c>
      <c r="E227" s="18" t="s">
        <v>6</v>
      </c>
      <c r="F227" s="17" t="s">
        <v>23</v>
      </c>
      <c r="G227" s="17">
        <f>G226</f>
        <v>15</v>
      </c>
      <c r="H227" s="13">
        <f t="shared" si="3"/>
        <v>15</v>
      </c>
    </row>
    <row r="228" spans="2:8" ht="13.5" thickBot="1" x14ac:dyDescent="0.35">
      <c r="B228" s="9"/>
      <c r="C228" s="14" t="s">
        <v>233</v>
      </c>
      <c r="D228" s="14" t="s">
        <v>49</v>
      </c>
      <c r="E228" s="18" t="s">
        <v>6</v>
      </c>
      <c r="F228" s="17" t="s">
        <v>23</v>
      </c>
      <c r="G228" s="17">
        <f>G226+G257</f>
        <v>15</v>
      </c>
      <c r="H228" s="13">
        <f t="shared" si="3"/>
        <v>15</v>
      </c>
    </row>
    <row r="229" spans="2:8" ht="13.5" thickBot="1" x14ac:dyDescent="0.35">
      <c r="B229" s="9"/>
      <c r="C229" s="14" t="s">
        <v>231</v>
      </c>
      <c r="D229" s="14" t="s">
        <v>49</v>
      </c>
      <c r="E229" s="18" t="s">
        <v>6</v>
      </c>
      <c r="F229" s="17" t="s">
        <v>23</v>
      </c>
      <c r="G229" s="17">
        <f>G226</f>
        <v>15</v>
      </c>
      <c r="H229" s="13">
        <f t="shared" si="3"/>
        <v>15</v>
      </c>
    </row>
    <row r="230" spans="2:8" ht="13.5" thickBot="1" x14ac:dyDescent="0.35">
      <c r="B230" s="9">
        <f>COUNT($B$4:B229)+1</f>
        <v>178</v>
      </c>
      <c r="C230" s="10" t="s">
        <v>24</v>
      </c>
      <c r="D230" s="10" t="s">
        <v>25</v>
      </c>
      <c r="E230" s="11" t="s">
        <v>9</v>
      </c>
      <c r="F230" s="12" t="s">
        <v>23</v>
      </c>
      <c r="G230" s="12"/>
      <c r="H230" s="13">
        <f t="shared" si="3"/>
        <v>0</v>
      </c>
    </row>
    <row r="231" spans="2:8" ht="13.5" thickBot="1" x14ac:dyDescent="0.35">
      <c r="B231" s="9">
        <f>COUNT($B$4:B230)+1</f>
        <v>179</v>
      </c>
      <c r="C231" s="10" t="s">
        <v>234</v>
      </c>
      <c r="D231" s="10" t="s">
        <v>25</v>
      </c>
      <c r="E231" s="11" t="s">
        <v>9</v>
      </c>
      <c r="F231" s="12" t="s">
        <v>23</v>
      </c>
      <c r="G231" s="12"/>
      <c r="H231" s="13">
        <f t="shared" si="3"/>
        <v>0</v>
      </c>
    </row>
    <row r="232" spans="2:8" ht="13.5" thickBot="1" x14ac:dyDescent="0.35">
      <c r="B232" s="9">
        <f>COUNT($B$4:B231)+1</f>
        <v>180</v>
      </c>
      <c r="C232" s="10" t="s">
        <v>235</v>
      </c>
      <c r="D232" s="10" t="s">
        <v>25</v>
      </c>
      <c r="E232" s="11" t="s">
        <v>9</v>
      </c>
      <c r="F232" s="12" t="s">
        <v>23</v>
      </c>
      <c r="G232" s="12"/>
      <c r="H232" s="13">
        <f t="shared" si="3"/>
        <v>0</v>
      </c>
    </row>
    <row r="233" spans="2:8" ht="13.5" thickBot="1" x14ac:dyDescent="0.35">
      <c r="B233" s="9">
        <f>COUNT($B$4:B232)+1</f>
        <v>181</v>
      </c>
      <c r="C233" s="10" t="s">
        <v>236</v>
      </c>
      <c r="D233" s="10" t="s">
        <v>237</v>
      </c>
      <c r="E233" s="11" t="s">
        <v>9</v>
      </c>
      <c r="F233" s="12" t="s">
        <v>23</v>
      </c>
      <c r="G233" s="12"/>
      <c r="H233" s="13">
        <f t="shared" si="3"/>
        <v>0</v>
      </c>
    </row>
    <row r="234" spans="2:8" ht="13.5" thickBot="1" x14ac:dyDescent="0.35">
      <c r="B234" s="9">
        <f>COUNT($B$4:B233)+1</f>
        <v>182</v>
      </c>
      <c r="C234" s="10" t="s">
        <v>238</v>
      </c>
      <c r="D234" s="10" t="s">
        <v>237</v>
      </c>
      <c r="E234" s="11" t="s">
        <v>9</v>
      </c>
      <c r="F234" s="12" t="s">
        <v>23</v>
      </c>
      <c r="G234" s="12"/>
      <c r="H234" s="13">
        <f t="shared" si="3"/>
        <v>0</v>
      </c>
    </row>
    <row r="235" spans="2:8" ht="13.5" thickBot="1" x14ac:dyDescent="0.35">
      <c r="B235" s="9">
        <f>COUNT($B$4:B234)+1</f>
        <v>183</v>
      </c>
      <c r="C235" s="10" t="s">
        <v>239</v>
      </c>
      <c r="D235" s="10" t="s">
        <v>237</v>
      </c>
      <c r="E235" s="11" t="s">
        <v>9</v>
      </c>
      <c r="F235" s="12" t="s">
        <v>23</v>
      </c>
      <c r="G235" s="12"/>
      <c r="H235" s="13">
        <f t="shared" si="3"/>
        <v>0</v>
      </c>
    </row>
    <row r="236" spans="2:8" ht="13.5" thickBot="1" x14ac:dyDescent="0.35">
      <c r="B236" s="9">
        <f>COUNT($B$4:B235)+1</f>
        <v>184</v>
      </c>
      <c r="C236" s="10" t="s">
        <v>240</v>
      </c>
      <c r="D236" s="10" t="s">
        <v>237</v>
      </c>
      <c r="E236" s="11" t="s">
        <v>9</v>
      </c>
      <c r="F236" s="12" t="s">
        <v>23</v>
      </c>
      <c r="G236" s="12"/>
      <c r="H236" s="13">
        <f t="shared" si="3"/>
        <v>0</v>
      </c>
    </row>
    <row r="237" spans="2:8" ht="13.5" thickBot="1" x14ac:dyDescent="0.35">
      <c r="B237" s="9">
        <f>COUNT($B$4:B236)+1</f>
        <v>185</v>
      </c>
      <c r="C237" s="10" t="s">
        <v>241</v>
      </c>
      <c r="D237" s="10" t="s">
        <v>237</v>
      </c>
      <c r="E237" s="11" t="s">
        <v>9</v>
      </c>
      <c r="F237" s="12" t="s">
        <v>23</v>
      </c>
      <c r="G237" s="12"/>
      <c r="H237" s="13">
        <f t="shared" si="3"/>
        <v>0</v>
      </c>
    </row>
    <row r="238" spans="2:8" ht="13.5" thickBot="1" x14ac:dyDescent="0.35">
      <c r="B238" s="9">
        <f>COUNT($B$4:B237)+1</f>
        <v>186</v>
      </c>
      <c r="C238" s="10" t="s">
        <v>242</v>
      </c>
      <c r="D238" s="10" t="s">
        <v>237</v>
      </c>
      <c r="E238" s="11" t="s">
        <v>9</v>
      </c>
      <c r="F238" s="12" t="s">
        <v>23</v>
      </c>
      <c r="G238" s="12"/>
      <c r="H238" s="13">
        <f t="shared" si="3"/>
        <v>0</v>
      </c>
    </row>
    <row r="239" spans="2:8" ht="13.5" thickBot="1" x14ac:dyDescent="0.35">
      <c r="B239" s="9">
        <f>COUNT($B$4:B238)+1</f>
        <v>187</v>
      </c>
      <c r="C239" s="10" t="s">
        <v>243</v>
      </c>
      <c r="D239" s="10" t="s">
        <v>237</v>
      </c>
      <c r="E239" s="11" t="s">
        <v>9</v>
      </c>
      <c r="F239" s="12" t="s">
        <v>23</v>
      </c>
      <c r="G239" s="12"/>
      <c r="H239" s="13">
        <f t="shared" si="3"/>
        <v>0</v>
      </c>
    </row>
    <row r="240" spans="2:8" ht="13.5" thickBot="1" x14ac:dyDescent="0.35">
      <c r="B240" s="9">
        <f>COUNT($B$4:B239)+1</f>
        <v>188</v>
      </c>
      <c r="C240" s="10" t="s">
        <v>244</v>
      </c>
      <c r="D240" s="10" t="s">
        <v>237</v>
      </c>
      <c r="E240" s="11" t="s">
        <v>9</v>
      </c>
      <c r="F240" s="12" t="s">
        <v>23</v>
      </c>
      <c r="G240" s="12"/>
      <c r="H240" s="13">
        <f t="shared" si="3"/>
        <v>0</v>
      </c>
    </row>
    <row r="241" spans="2:8" ht="13.5" thickBot="1" x14ac:dyDescent="0.35">
      <c r="B241" s="9">
        <f>COUNT($B$4:B240)+1</f>
        <v>189</v>
      </c>
      <c r="C241" s="10" t="s">
        <v>245</v>
      </c>
      <c r="D241" s="10" t="s">
        <v>237</v>
      </c>
      <c r="E241" s="11" t="s">
        <v>9</v>
      </c>
      <c r="F241" s="12" t="s">
        <v>23</v>
      </c>
      <c r="G241" s="12"/>
      <c r="H241" s="13">
        <f t="shared" si="3"/>
        <v>0</v>
      </c>
    </row>
    <row r="242" spans="2:8" ht="13.5" thickBot="1" x14ac:dyDescent="0.35">
      <c r="B242" s="9">
        <f>COUNT($B$4:B241)+1</f>
        <v>190</v>
      </c>
      <c r="C242" s="10" t="s">
        <v>246</v>
      </c>
      <c r="D242" s="10" t="s">
        <v>237</v>
      </c>
      <c r="E242" s="11" t="s">
        <v>9</v>
      </c>
      <c r="F242" s="12" t="s">
        <v>23</v>
      </c>
      <c r="G242" s="12"/>
      <c r="H242" s="13">
        <f t="shared" si="3"/>
        <v>0</v>
      </c>
    </row>
    <row r="243" spans="2:8" ht="13.5" thickBot="1" x14ac:dyDescent="0.35">
      <c r="B243" s="9">
        <f>COUNT($B$4:B242)+1</f>
        <v>191</v>
      </c>
      <c r="C243" s="10" t="s">
        <v>247</v>
      </c>
      <c r="D243" s="10" t="s">
        <v>237</v>
      </c>
      <c r="E243" s="11" t="s">
        <v>9</v>
      </c>
      <c r="F243" s="12" t="s">
        <v>23</v>
      </c>
      <c r="G243" s="12"/>
      <c r="H243" s="13">
        <f t="shared" si="3"/>
        <v>0</v>
      </c>
    </row>
    <row r="244" spans="2:8" ht="13.5" thickBot="1" x14ac:dyDescent="0.35">
      <c r="B244" s="9">
        <f>COUNT($B$4:B243)+1</f>
        <v>192</v>
      </c>
      <c r="C244" s="10" t="s">
        <v>248</v>
      </c>
      <c r="D244" s="10" t="s">
        <v>237</v>
      </c>
      <c r="E244" s="11" t="s">
        <v>9</v>
      </c>
      <c r="F244" s="12" t="s">
        <v>23</v>
      </c>
      <c r="G244" s="12"/>
      <c r="H244" s="13">
        <f t="shared" si="3"/>
        <v>0</v>
      </c>
    </row>
    <row r="245" spans="2:8" ht="13.5" thickBot="1" x14ac:dyDescent="0.35">
      <c r="B245" s="9">
        <f>COUNT($B$4:B244)+1</f>
        <v>193</v>
      </c>
      <c r="C245" s="10" t="s">
        <v>249</v>
      </c>
      <c r="D245" s="10" t="s">
        <v>237</v>
      </c>
      <c r="E245" s="11" t="s">
        <v>9</v>
      </c>
      <c r="F245" s="12" t="s">
        <v>23</v>
      </c>
      <c r="G245" s="12"/>
      <c r="H245" s="13">
        <f t="shared" si="3"/>
        <v>0</v>
      </c>
    </row>
    <row r="246" spans="2:8" ht="13.5" thickBot="1" x14ac:dyDescent="0.35">
      <c r="B246" s="9">
        <f>COUNT($B$4:B245)+1</f>
        <v>194</v>
      </c>
      <c r="C246" s="10" t="s">
        <v>250</v>
      </c>
      <c r="D246" s="10" t="s">
        <v>237</v>
      </c>
      <c r="E246" s="11" t="s">
        <v>9</v>
      </c>
      <c r="F246" s="12" t="s">
        <v>23</v>
      </c>
      <c r="G246" s="12"/>
      <c r="H246" s="13">
        <f t="shared" si="3"/>
        <v>0</v>
      </c>
    </row>
    <row r="247" spans="2:8" ht="13.5" thickBot="1" x14ac:dyDescent="0.35">
      <c r="B247" s="9">
        <f>COUNT($B$4:B246)+1</f>
        <v>195</v>
      </c>
      <c r="C247" s="10" t="s">
        <v>251</v>
      </c>
      <c r="D247" s="10" t="s">
        <v>237</v>
      </c>
      <c r="E247" s="11" t="s">
        <v>9</v>
      </c>
      <c r="F247" s="12" t="s">
        <v>23</v>
      </c>
      <c r="G247" s="12"/>
      <c r="H247" s="13">
        <f t="shared" si="3"/>
        <v>0</v>
      </c>
    </row>
    <row r="248" spans="2:8" ht="13.5" thickBot="1" x14ac:dyDescent="0.35">
      <c r="B248" s="9">
        <f>COUNT($B$4:B247)+1</f>
        <v>196</v>
      </c>
      <c r="C248" s="10" t="s">
        <v>252</v>
      </c>
      <c r="D248" s="10" t="s">
        <v>237</v>
      </c>
      <c r="E248" s="11" t="s">
        <v>9</v>
      </c>
      <c r="F248" s="12" t="s">
        <v>23</v>
      </c>
      <c r="G248" s="12"/>
      <c r="H248" s="13">
        <f t="shared" si="3"/>
        <v>0</v>
      </c>
    </row>
    <row r="249" spans="2:8" ht="13.5" thickBot="1" x14ac:dyDescent="0.35">
      <c r="B249" s="9">
        <f>COUNT($B$4:B248)+1</f>
        <v>197</v>
      </c>
      <c r="C249" s="10" t="s">
        <v>253</v>
      </c>
      <c r="D249" s="10"/>
      <c r="E249" s="11" t="s">
        <v>9</v>
      </c>
      <c r="F249" s="12" t="s">
        <v>23</v>
      </c>
      <c r="G249" s="12"/>
      <c r="H249" s="13">
        <f t="shared" si="3"/>
        <v>0</v>
      </c>
    </row>
    <row r="250" spans="2:8" ht="13.5" thickBot="1" x14ac:dyDescent="0.35">
      <c r="B250" s="9">
        <f>COUNT($B$4:B249)+1</f>
        <v>198</v>
      </c>
      <c r="C250" s="10" t="s">
        <v>254</v>
      </c>
      <c r="D250" s="10"/>
      <c r="E250" s="11" t="s">
        <v>9</v>
      </c>
      <c r="F250" s="12" t="s">
        <v>23</v>
      </c>
      <c r="G250" s="12">
        <v>0</v>
      </c>
      <c r="H250" s="13">
        <f t="shared" si="3"/>
        <v>0</v>
      </c>
    </row>
    <row r="251" spans="2:8" ht="13.5" thickBot="1" x14ac:dyDescent="0.35">
      <c r="B251" s="9">
        <f>COUNT($B$4:B250)+1</f>
        <v>199</v>
      </c>
      <c r="C251" s="10" t="s">
        <v>255</v>
      </c>
      <c r="D251" s="10"/>
      <c r="E251" s="11" t="s">
        <v>9</v>
      </c>
      <c r="F251" s="12" t="s">
        <v>23</v>
      </c>
      <c r="G251" s="12"/>
      <c r="H251" s="13">
        <f t="shared" si="3"/>
        <v>0</v>
      </c>
    </row>
    <row r="252" spans="2:8" s="28" customFormat="1" ht="13.5" thickBot="1" x14ac:dyDescent="0.35">
      <c r="B252" s="24">
        <f>COUNT($B$4:B251)+1</f>
        <v>200</v>
      </c>
      <c r="C252" s="25" t="s">
        <v>1681</v>
      </c>
      <c r="D252" s="25"/>
      <c r="E252" s="26" t="s">
        <v>9</v>
      </c>
      <c r="F252" s="27" t="s">
        <v>23</v>
      </c>
      <c r="G252" s="27">
        <v>2</v>
      </c>
      <c r="H252" s="27">
        <f t="shared" si="3"/>
        <v>2</v>
      </c>
    </row>
    <row r="253" spans="2:8" ht="13.5" thickBot="1" x14ac:dyDescent="0.35">
      <c r="B253" s="9">
        <f>COUNT($B$4:B252)+1</f>
        <v>201</v>
      </c>
      <c r="C253" s="10" t="s">
        <v>256</v>
      </c>
      <c r="D253" s="10"/>
      <c r="E253" s="11" t="s">
        <v>9</v>
      </c>
      <c r="F253" s="12" t="s">
        <v>23</v>
      </c>
      <c r="G253" s="12"/>
      <c r="H253" s="13">
        <f t="shared" si="3"/>
        <v>0</v>
      </c>
    </row>
    <row r="254" spans="2:8" ht="13.5" thickBot="1" x14ac:dyDescent="0.35">
      <c r="B254" s="9">
        <f>COUNT($B$4:B253)+1</f>
        <v>202</v>
      </c>
      <c r="C254" s="10" t="s">
        <v>257</v>
      </c>
      <c r="D254" s="10"/>
      <c r="E254" s="11" t="s">
        <v>9</v>
      </c>
      <c r="F254" s="12" t="s">
        <v>23</v>
      </c>
      <c r="G254" s="12">
        <v>0</v>
      </c>
      <c r="H254" s="13">
        <f t="shared" si="3"/>
        <v>0</v>
      </c>
    </row>
    <row r="255" spans="2:8" s="28" customFormat="1" ht="13.5" thickBot="1" x14ac:dyDescent="0.35">
      <c r="B255" s="24">
        <f>COUNT($B$4:B254)+1</f>
        <v>203</v>
      </c>
      <c r="C255" s="25" t="s">
        <v>258</v>
      </c>
      <c r="D255" s="25"/>
      <c r="E255" s="26" t="s">
        <v>9</v>
      </c>
      <c r="F255" s="27" t="s">
        <v>23</v>
      </c>
      <c r="G255" s="27">
        <v>0</v>
      </c>
      <c r="H255" s="27">
        <f t="shared" si="3"/>
        <v>0</v>
      </c>
    </row>
    <row r="256" spans="2:8" ht="13.5" thickBot="1" x14ac:dyDescent="0.35">
      <c r="B256" s="9"/>
      <c r="C256" s="14" t="s">
        <v>259</v>
      </c>
      <c r="D256" s="14"/>
      <c r="E256" s="18" t="s">
        <v>9</v>
      </c>
      <c r="F256" s="17" t="s">
        <v>23</v>
      </c>
      <c r="G256" s="17">
        <f>G255</f>
        <v>0</v>
      </c>
      <c r="H256" s="13">
        <f t="shared" si="3"/>
        <v>0</v>
      </c>
    </row>
    <row r="257" spans="2:8" ht="13.5" thickBot="1" x14ac:dyDescent="0.35">
      <c r="B257" s="9"/>
      <c r="C257" s="14" t="s">
        <v>233</v>
      </c>
      <c r="D257" s="14" t="s">
        <v>49</v>
      </c>
      <c r="E257" s="18" t="s">
        <v>6</v>
      </c>
      <c r="F257" s="17" t="s">
        <v>23</v>
      </c>
      <c r="G257" s="17">
        <v>0</v>
      </c>
      <c r="H257" s="13">
        <f t="shared" si="3"/>
        <v>0</v>
      </c>
    </row>
    <row r="258" spans="2:8" ht="13.5" thickBot="1" x14ac:dyDescent="0.35">
      <c r="B258" s="9">
        <f>COUNT($B$4:B257)+1</f>
        <v>204</v>
      </c>
      <c r="C258" s="10" t="s">
        <v>260</v>
      </c>
      <c r="D258" s="10"/>
      <c r="E258" s="11" t="s">
        <v>9</v>
      </c>
      <c r="F258" s="12" t="s">
        <v>23</v>
      </c>
      <c r="G258" s="12"/>
      <c r="H258" s="13">
        <f t="shared" si="3"/>
        <v>0</v>
      </c>
    </row>
    <row r="259" spans="2:8" ht="13.5" thickBot="1" x14ac:dyDescent="0.35">
      <c r="B259" s="9"/>
      <c r="C259" s="14" t="s">
        <v>261</v>
      </c>
      <c r="D259" s="14"/>
      <c r="E259" s="18" t="s">
        <v>9</v>
      </c>
      <c r="F259" s="17" t="s">
        <v>23</v>
      </c>
      <c r="G259" s="17">
        <f>G258</f>
        <v>0</v>
      </c>
      <c r="H259" s="13">
        <f t="shared" si="3"/>
        <v>0</v>
      </c>
    </row>
    <row r="260" spans="2:8" ht="13.5" thickBot="1" x14ac:dyDescent="0.35">
      <c r="B260" s="9"/>
      <c r="C260" s="14" t="s">
        <v>233</v>
      </c>
      <c r="D260" s="14" t="s">
        <v>49</v>
      </c>
      <c r="E260" s="18" t="s">
        <v>6</v>
      </c>
      <c r="F260" s="17" t="s">
        <v>23</v>
      </c>
      <c r="G260" s="17">
        <f>G258</f>
        <v>0</v>
      </c>
      <c r="H260" s="13">
        <f t="shared" si="3"/>
        <v>0</v>
      </c>
    </row>
    <row r="261" spans="2:8" ht="13.5" thickBot="1" x14ac:dyDescent="0.35">
      <c r="B261" s="9">
        <f>COUNT($B$4:B260)+1</f>
        <v>205</v>
      </c>
      <c r="C261" s="10" t="s">
        <v>262</v>
      </c>
      <c r="D261" s="10"/>
      <c r="E261" s="11" t="s">
        <v>9</v>
      </c>
      <c r="F261" s="12" t="s">
        <v>23</v>
      </c>
      <c r="G261" s="12"/>
      <c r="H261" s="13">
        <f t="shared" ref="H261:H324" si="4">SUM(G261:G261)</f>
        <v>0</v>
      </c>
    </row>
    <row r="262" spans="2:8" ht="13.5" thickBot="1" x14ac:dyDescent="0.35">
      <c r="B262" s="9"/>
      <c r="C262" s="14" t="s">
        <v>263</v>
      </c>
      <c r="D262" s="14"/>
      <c r="E262" s="18" t="s">
        <v>9</v>
      </c>
      <c r="F262" s="17" t="s">
        <v>23</v>
      </c>
      <c r="G262" s="17">
        <f>G261</f>
        <v>0</v>
      </c>
      <c r="H262" s="13">
        <f t="shared" si="4"/>
        <v>0</v>
      </c>
    </row>
    <row r="263" spans="2:8" ht="13.5" thickBot="1" x14ac:dyDescent="0.35">
      <c r="B263" s="9"/>
      <c r="C263" s="14" t="s">
        <v>233</v>
      </c>
      <c r="D263" s="14" t="s">
        <v>49</v>
      </c>
      <c r="E263" s="18" t="s">
        <v>6</v>
      </c>
      <c r="F263" s="17" t="s">
        <v>23</v>
      </c>
      <c r="G263" s="17">
        <f>G261</f>
        <v>0</v>
      </c>
      <c r="H263" s="13">
        <f t="shared" si="4"/>
        <v>0</v>
      </c>
    </row>
    <row r="264" spans="2:8" ht="13.5" thickBot="1" x14ac:dyDescent="0.35">
      <c r="B264" s="9">
        <f>COUNT($B$4:B263)+1</f>
        <v>206</v>
      </c>
      <c r="C264" s="10" t="s">
        <v>264</v>
      </c>
      <c r="D264" s="10"/>
      <c r="E264" s="11" t="s">
        <v>9</v>
      </c>
      <c r="F264" s="12" t="s">
        <v>23</v>
      </c>
      <c r="G264" s="12"/>
      <c r="H264" s="13">
        <f t="shared" si="4"/>
        <v>0</v>
      </c>
    </row>
    <row r="265" spans="2:8" ht="13.5" thickBot="1" x14ac:dyDescent="0.35">
      <c r="B265" s="9"/>
      <c r="C265" s="14" t="s">
        <v>265</v>
      </c>
      <c r="D265" s="14"/>
      <c r="E265" s="18" t="s">
        <v>9</v>
      </c>
      <c r="F265" s="17" t="s">
        <v>23</v>
      </c>
      <c r="G265" s="17">
        <f>G264</f>
        <v>0</v>
      </c>
      <c r="H265" s="13">
        <f t="shared" si="4"/>
        <v>0</v>
      </c>
    </row>
    <row r="266" spans="2:8" ht="13.5" thickBot="1" x14ac:dyDescent="0.35">
      <c r="B266" s="9"/>
      <c r="C266" s="14" t="s">
        <v>266</v>
      </c>
      <c r="D266" s="14"/>
      <c r="E266" s="18" t="s">
        <v>9</v>
      </c>
      <c r="F266" s="17" t="s">
        <v>23</v>
      </c>
      <c r="G266" s="17">
        <f>G264</f>
        <v>0</v>
      </c>
      <c r="H266" s="13">
        <f t="shared" si="4"/>
        <v>0</v>
      </c>
    </row>
    <row r="267" spans="2:8" s="28" customFormat="1" ht="13.5" thickBot="1" x14ac:dyDescent="0.35">
      <c r="B267" s="24">
        <f>COUNT($B$4:B266)+1</f>
        <v>207</v>
      </c>
      <c r="C267" s="25" t="s">
        <v>267</v>
      </c>
      <c r="D267" s="29"/>
      <c r="E267" s="26" t="s">
        <v>9</v>
      </c>
      <c r="F267" s="27" t="s">
        <v>23</v>
      </c>
      <c r="G267" s="27">
        <v>2</v>
      </c>
      <c r="H267" s="27">
        <f t="shared" si="4"/>
        <v>2</v>
      </c>
    </row>
    <row r="268" spans="2:8" ht="13.5" thickBot="1" x14ac:dyDescent="0.35">
      <c r="B268" s="9"/>
      <c r="C268" s="14" t="s">
        <v>268</v>
      </c>
      <c r="D268" s="14"/>
      <c r="E268" s="18" t="s">
        <v>9</v>
      </c>
      <c r="F268" s="17" t="s">
        <v>23</v>
      </c>
      <c r="G268" s="17">
        <f>G267</f>
        <v>2</v>
      </c>
      <c r="H268" s="13">
        <f t="shared" si="4"/>
        <v>2</v>
      </c>
    </row>
    <row r="269" spans="2:8" ht="13.5" thickBot="1" x14ac:dyDescent="0.35">
      <c r="B269" s="9"/>
      <c r="C269" s="14" t="s">
        <v>269</v>
      </c>
      <c r="D269" s="14"/>
      <c r="E269" s="18" t="s">
        <v>9</v>
      </c>
      <c r="F269" s="17" t="s">
        <v>23</v>
      </c>
      <c r="G269" s="17">
        <f>G267</f>
        <v>2</v>
      </c>
      <c r="H269" s="13">
        <f t="shared" si="4"/>
        <v>2</v>
      </c>
    </row>
    <row r="270" spans="2:8" ht="13.5" thickBot="1" x14ac:dyDescent="0.35">
      <c r="B270" s="9">
        <f>COUNT($B$4:B269)+1</f>
        <v>208</v>
      </c>
      <c r="C270" s="10" t="s">
        <v>270</v>
      </c>
      <c r="D270" s="14"/>
      <c r="E270" s="11" t="s">
        <v>9</v>
      </c>
      <c r="F270" s="12" t="s">
        <v>23</v>
      </c>
      <c r="G270" s="12"/>
      <c r="H270" s="13">
        <f t="shared" si="4"/>
        <v>0</v>
      </c>
    </row>
    <row r="271" spans="2:8" ht="13.5" thickBot="1" x14ac:dyDescent="0.35">
      <c r="B271" s="9"/>
      <c r="C271" s="14" t="s">
        <v>271</v>
      </c>
      <c r="D271" s="14"/>
      <c r="E271" s="18" t="s">
        <v>9</v>
      </c>
      <c r="F271" s="17" t="s">
        <v>23</v>
      </c>
      <c r="G271" s="17">
        <f>G270</f>
        <v>0</v>
      </c>
      <c r="H271" s="13">
        <f t="shared" si="4"/>
        <v>0</v>
      </c>
    </row>
    <row r="272" spans="2:8" ht="13.5" thickBot="1" x14ac:dyDescent="0.35">
      <c r="B272" s="9"/>
      <c r="C272" s="14" t="s">
        <v>272</v>
      </c>
      <c r="D272" s="14"/>
      <c r="E272" s="18" t="s">
        <v>9</v>
      </c>
      <c r="F272" s="17" t="s">
        <v>23</v>
      </c>
      <c r="G272" s="17">
        <f>G270</f>
        <v>0</v>
      </c>
      <c r="H272" s="13">
        <f t="shared" si="4"/>
        <v>0</v>
      </c>
    </row>
    <row r="273" spans="2:8" ht="13.5" thickBot="1" x14ac:dyDescent="0.35">
      <c r="B273" s="9">
        <f>COUNT($B$4:B272)+1</f>
        <v>209</v>
      </c>
      <c r="C273" s="10" t="s">
        <v>273</v>
      </c>
      <c r="D273" s="14"/>
      <c r="E273" s="11" t="s">
        <v>9</v>
      </c>
      <c r="F273" s="12" t="s">
        <v>23</v>
      </c>
      <c r="G273" s="12"/>
      <c r="H273" s="13">
        <f t="shared" si="4"/>
        <v>0</v>
      </c>
    </row>
    <row r="274" spans="2:8" ht="13.5" thickBot="1" x14ac:dyDescent="0.35">
      <c r="B274" s="9"/>
      <c r="C274" s="14" t="s">
        <v>274</v>
      </c>
      <c r="D274" s="14"/>
      <c r="E274" s="18" t="s">
        <v>9</v>
      </c>
      <c r="F274" s="17" t="s">
        <v>23</v>
      </c>
      <c r="G274" s="17">
        <f>G273</f>
        <v>0</v>
      </c>
      <c r="H274" s="13">
        <f t="shared" si="4"/>
        <v>0</v>
      </c>
    </row>
    <row r="275" spans="2:8" ht="13.5" thickBot="1" x14ac:dyDescent="0.35">
      <c r="B275" s="9"/>
      <c r="C275" s="14" t="s">
        <v>275</v>
      </c>
      <c r="D275" s="14"/>
      <c r="E275" s="18" t="s">
        <v>9</v>
      </c>
      <c r="F275" s="17" t="s">
        <v>23</v>
      </c>
      <c r="G275" s="17">
        <f>G273</f>
        <v>0</v>
      </c>
      <c r="H275" s="13">
        <f t="shared" si="4"/>
        <v>0</v>
      </c>
    </row>
    <row r="276" spans="2:8" ht="13.5" thickBot="1" x14ac:dyDescent="0.35">
      <c r="B276" s="9">
        <f>COUNT($B$4:B275)+1</f>
        <v>210</v>
      </c>
      <c r="C276" s="10" t="s">
        <v>276</v>
      </c>
      <c r="D276" s="10"/>
      <c r="E276" s="11" t="s">
        <v>7</v>
      </c>
      <c r="F276" s="12" t="s">
        <v>23</v>
      </c>
      <c r="G276" s="12"/>
      <c r="H276" s="13">
        <f t="shared" si="4"/>
        <v>0</v>
      </c>
    </row>
    <row r="277" spans="2:8" ht="13.5" thickBot="1" x14ac:dyDescent="0.35">
      <c r="B277" s="9"/>
      <c r="C277" s="14" t="s">
        <v>277</v>
      </c>
      <c r="D277" s="14" t="s">
        <v>278</v>
      </c>
      <c r="E277" s="18" t="s">
        <v>9</v>
      </c>
      <c r="F277" s="17" t="s">
        <v>23</v>
      </c>
      <c r="G277" s="17">
        <f>G276</f>
        <v>0</v>
      </c>
      <c r="H277" s="13">
        <f t="shared" si="4"/>
        <v>0</v>
      </c>
    </row>
    <row r="278" spans="2:8" ht="13.5" thickBot="1" x14ac:dyDescent="0.35">
      <c r="B278" s="9"/>
      <c r="C278" s="14" t="s">
        <v>279</v>
      </c>
      <c r="D278" s="14" t="s">
        <v>278</v>
      </c>
      <c r="E278" s="18" t="s">
        <v>9</v>
      </c>
      <c r="F278" s="17" t="s">
        <v>23</v>
      </c>
      <c r="G278" s="17">
        <f>G276</f>
        <v>0</v>
      </c>
      <c r="H278" s="13">
        <f t="shared" si="4"/>
        <v>0</v>
      </c>
    </row>
    <row r="279" spans="2:8" ht="13.5" thickBot="1" x14ac:dyDescent="0.35">
      <c r="B279" s="9">
        <f>COUNT($B$4:B278)+1</f>
        <v>211</v>
      </c>
      <c r="C279" s="10" t="s">
        <v>280</v>
      </c>
      <c r="D279" s="10"/>
      <c r="E279" s="11" t="s">
        <v>7</v>
      </c>
      <c r="F279" s="12" t="s">
        <v>23</v>
      </c>
      <c r="G279" s="12"/>
      <c r="H279" s="13">
        <f t="shared" si="4"/>
        <v>0</v>
      </c>
    </row>
    <row r="280" spans="2:8" ht="13.5" thickBot="1" x14ac:dyDescent="0.35">
      <c r="B280" s="9"/>
      <c r="C280" s="14" t="s">
        <v>281</v>
      </c>
      <c r="D280" s="14" t="s">
        <v>278</v>
      </c>
      <c r="E280" s="18" t="s">
        <v>9</v>
      </c>
      <c r="F280" s="17" t="s">
        <v>23</v>
      </c>
      <c r="G280" s="17">
        <f>G279</f>
        <v>0</v>
      </c>
      <c r="H280" s="13">
        <f t="shared" si="4"/>
        <v>0</v>
      </c>
    </row>
    <row r="281" spans="2:8" ht="13.5" thickBot="1" x14ac:dyDescent="0.35">
      <c r="B281" s="9"/>
      <c r="C281" s="14" t="s">
        <v>282</v>
      </c>
      <c r="D281" s="14" t="s">
        <v>278</v>
      </c>
      <c r="E281" s="18" t="s">
        <v>9</v>
      </c>
      <c r="F281" s="17" t="s">
        <v>23</v>
      </c>
      <c r="G281" s="17">
        <f>G279</f>
        <v>0</v>
      </c>
      <c r="H281" s="13">
        <f t="shared" si="4"/>
        <v>0</v>
      </c>
    </row>
    <row r="282" spans="2:8" ht="13.5" thickBot="1" x14ac:dyDescent="0.35">
      <c r="B282" s="9">
        <f>COUNT($B$4:B281)+1</f>
        <v>212</v>
      </c>
      <c r="C282" s="10" t="s">
        <v>283</v>
      </c>
      <c r="D282" s="10"/>
      <c r="E282" s="11" t="s">
        <v>7</v>
      </c>
      <c r="F282" s="12" t="s">
        <v>23</v>
      </c>
      <c r="G282" s="12"/>
      <c r="H282" s="13">
        <f t="shared" si="4"/>
        <v>0</v>
      </c>
    </row>
    <row r="283" spans="2:8" ht="13.5" thickBot="1" x14ac:dyDescent="0.35">
      <c r="B283" s="9"/>
      <c r="C283" s="14" t="s">
        <v>284</v>
      </c>
      <c r="D283" s="14" t="s">
        <v>278</v>
      </c>
      <c r="E283" s="18" t="s">
        <v>9</v>
      </c>
      <c r="F283" s="17" t="s">
        <v>23</v>
      </c>
      <c r="G283" s="17">
        <f>G282</f>
        <v>0</v>
      </c>
      <c r="H283" s="13">
        <f t="shared" si="4"/>
        <v>0</v>
      </c>
    </row>
    <row r="284" spans="2:8" ht="13.5" thickBot="1" x14ac:dyDescent="0.35">
      <c r="B284" s="9"/>
      <c r="C284" s="14" t="s">
        <v>285</v>
      </c>
      <c r="D284" s="14" t="s">
        <v>278</v>
      </c>
      <c r="E284" s="18" t="s">
        <v>9</v>
      </c>
      <c r="F284" s="17" t="s">
        <v>23</v>
      </c>
      <c r="G284" s="17">
        <f>G282</f>
        <v>0</v>
      </c>
      <c r="H284" s="13">
        <f t="shared" si="4"/>
        <v>0</v>
      </c>
    </row>
    <row r="285" spans="2:8" ht="13.5" thickBot="1" x14ac:dyDescent="0.35">
      <c r="B285" s="9">
        <f>COUNT($B$4:B284)+1</f>
        <v>213</v>
      </c>
      <c r="C285" s="10" t="s">
        <v>286</v>
      </c>
      <c r="D285" s="10"/>
      <c r="E285" s="11" t="s">
        <v>7</v>
      </c>
      <c r="F285" s="12" t="s">
        <v>23</v>
      </c>
      <c r="G285" s="12"/>
      <c r="H285" s="13">
        <f t="shared" si="4"/>
        <v>0</v>
      </c>
    </row>
    <row r="286" spans="2:8" ht="13.5" thickBot="1" x14ac:dyDescent="0.35">
      <c r="B286" s="9"/>
      <c r="C286" s="14" t="s">
        <v>287</v>
      </c>
      <c r="D286" s="14" t="s">
        <v>278</v>
      </c>
      <c r="E286" s="18" t="s">
        <v>9</v>
      </c>
      <c r="F286" s="17" t="s">
        <v>23</v>
      </c>
      <c r="G286" s="17">
        <f>G285</f>
        <v>0</v>
      </c>
      <c r="H286" s="13">
        <f t="shared" si="4"/>
        <v>0</v>
      </c>
    </row>
    <row r="287" spans="2:8" ht="13.5" thickBot="1" x14ac:dyDescent="0.35">
      <c r="B287" s="9"/>
      <c r="C287" s="14" t="s">
        <v>288</v>
      </c>
      <c r="D287" s="14" t="s">
        <v>278</v>
      </c>
      <c r="E287" s="18" t="s">
        <v>9</v>
      </c>
      <c r="F287" s="17" t="s">
        <v>23</v>
      </c>
      <c r="G287" s="17">
        <f>G285</f>
        <v>0</v>
      </c>
      <c r="H287" s="13">
        <f t="shared" si="4"/>
        <v>0</v>
      </c>
    </row>
    <row r="288" spans="2:8" ht="13.5" thickBot="1" x14ac:dyDescent="0.35">
      <c r="B288" s="9">
        <f>COUNT($B$4:B287)+1</f>
        <v>214</v>
      </c>
      <c r="C288" s="10" t="s">
        <v>289</v>
      </c>
      <c r="D288" s="10"/>
      <c r="E288" s="11" t="s">
        <v>7</v>
      </c>
      <c r="F288" s="12" t="s">
        <v>23</v>
      </c>
      <c r="G288" s="12"/>
      <c r="H288" s="13">
        <f t="shared" si="4"/>
        <v>0</v>
      </c>
    </row>
    <row r="289" spans="2:8" ht="13.5" thickBot="1" x14ac:dyDescent="0.35">
      <c r="B289" s="9"/>
      <c r="C289" s="14" t="s">
        <v>290</v>
      </c>
      <c r="D289" s="14" t="s">
        <v>278</v>
      </c>
      <c r="E289" s="18" t="s">
        <v>9</v>
      </c>
      <c r="F289" s="17" t="s">
        <v>23</v>
      </c>
      <c r="G289" s="17">
        <f>G288</f>
        <v>0</v>
      </c>
      <c r="H289" s="13">
        <f t="shared" si="4"/>
        <v>0</v>
      </c>
    </row>
    <row r="290" spans="2:8" ht="13.5" thickBot="1" x14ac:dyDescent="0.35">
      <c r="B290" s="9"/>
      <c r="C290" s="14" t="s">
        <v>291</v>
      </c>
      <c r="D290" s="14" t="s">
        <v>278</v>
      </c>
      <c r="E290" s="18" t="s">
        <v>9</v>
      </c>
      <c r="F290" s="17" t="s">
        <v>23</v>
      </c>
      <c r="G290" s="17">
        <f>G288</f>
        <v>0</v>
      </c>
      <c r="H290" s="13">
        <f t="shared" si="4"/>
        <v>0</v>
      </c>
    </row>
    <row r="291" spans="2:8" ht="13.5" thickBot="1" x14ac:dyDescent="0.35">
      <c r="B291" s="9">
        <f>COUNT($B$4:B290)+1</f>
        <v>215</v>
      </c>
      <c r="C291" s="10" t="s">
        <v>289</v>
      </c>
      <c r="D291" s="10"/>
      <c r="E291" s="11" t="s">
        <v>7</v>
      </c>
      <c r="F291" s="12" t="s">
        <v>23</v>
      </c>
      <c r="G291" s="12"/>
      <c r="H291" s="13">
        <f t="shared" si="4"/>
        <v>0</v>
      </c>
    </row>
    <row r="292" spans="2:8" ht="13.5" thickBot="1" x14ac:dyDescent="0.35">
      <c r="B292" s="9"/>
      <c r="C292" s="14" t="s">
        <v>292</v>
      </c>
      <c r="D292" s="14" t="s">
        <v>278</v>
      </c>
      <c r="E292" s="18" t="s">
        <v>9</v>
      </c>
      <c r="F292" s="17" t="s">
        <v>23</v>
      </c>
      <c r="G292" s="17">
        <f>G291</f>
        <v>0</v>
      </c>
      <c r="H292" s="13">
        <f t="shared" si="4"/>
        <v>0</v>
      </c>
    </row>
    <row r="293" spans="2:8" ht="13.5" thickBot="1" x14ac:dyDescent="0.35">
      <c r="B293" s="9"/>
      <c r="C293" s="14" t="s">
        <v>291</v>
      </c>
      <c r="D293" s="14" t="s">
        <v>278</v>
      </c>
      <c r="E293" s="18" t="s">
        <v>9</v>
      </c>
      <c r="F293" s="17" t="s">
        <v>23</v>
      </c>
      <c r="G293" s="17">
        <f>G291</f>
        <v>0</v>
      </c>
      <c r="H293" s="13">
        <f t="shared" si="4"/>
        <v>0</v>
      </c>
    </row>
    <row r="294" spans="2:8" ht="13.5" thickBot="1" x14ac:dyDescent="0.35">
      <c r="B294" s="9">
        <f>COUNT($B$4:B293)+1</f>
        <v>216</v>
      </c>
      <c r="C294" s="10" t="s">
        <v>289</v>
      </c>
      <c r="D294" s="10"/>
      <c r="E294" s="11" t="s">
        <v>7</v>
      </c>
      <c r="F294" s="12" t="s">
        <v>23</v>
      </c>
      <c r="G294" s="12"/>
      <c r="H294" s="13">
        <f t="shared" si="4"/>
        <v>0</v>
      </c>
    </row>
    <row r="295" spans="2:8" ht="13.5" thickBot="1" x14ac:dyDescent="0.35">
      <c r="B295" s="9"/>
      <c r="C295" s="14" t="s">
        <v>293</v>
      </c>
      <c r="D295" s="14" t="s">
        <v>278</v>
      </c>
      <c r="E295" s="18" t="s">
        <v>9</v>
      </c>
      <c r="F295" s="17" t="s">
        <v>23</v>
      </c>
      <c r="G295" s="17">
        <f>G294</f>
        <v>0</v>
      </c>
      <c r="H295" s="13">
        <f t="shared" si="4"/>
        <v>0</v>
      </c>
    </row>
    <row r="296" spans="2:8" ht="13.5" thickBot="1" x14ac:dyDescent="0.35">
      <c r="B296" s="9"/>
      <c r="C296" s="14" t="s">
        <v>291</v>
      </c>
      <c r="D296" s="14" t="s">
        <v>278</v>
      </c>
      <c r="E296" s="18" t="s">
        <v>9</v>
      </c>
      <c r="F296" s="17" t="s">
        <v>23</v>
      </c>
      <c r="G296" s="17">
        <f>G294</f>
        <v>0</v>
      </c>
      <c r="H296" s="13">
        <f t="shared" si="4"/>
        <v>0</v>
      </c>
    </row>
    <row r="297" spans="2:8" ht="13.5" thickBot="1" x14ac:dyDescent="0.35">
      <c r="B297" s="9">
        <f>COUNT($B$4:B296)+1</f>
        <v>217</v>
      </c>
      <c r="C297" s="10" t="s">
        <v>289</v>
      </c>
      <c r="D297" s="10"/>
      <c r="E297" s="11" t="s">
        <v>7</v>
      </c>
      <c r="F297" s="12" t="s">
        <v>23</v>
      </c>
      <c r="G297" s="12"/>
      <c r="H297" s="13">
        <f t="shared" si="4"/>
        <v>0</v>
      </c>
    </row>
    <row r="298" spans="2:8" ht="13.5" thickBot="1" x14ac:dyDescent="0.35">
      <c r="B298" s="9"/>
      <c r="C298" s="14" t="s">
        <v>294</v>
      </c>
      <c r="D298" s="14" t="s">
        <v>278</v>
      </c>
      <c r="E298" s="18" t="s">
        <v>9</v>
      </c>
      <c r="F298" s="17" t="s">
        <v>23</v>
      </c>
      <c r="G298" s="17">
        <f>G297</f>
        <v>0</v>
      </c>
      <c r="H298" s="13">
        <f t="shared" si="4"/>
        <v>0</v>
      </c>
    </row>
    <row r="299" spans="2:8" ht="13.5" thickBot="1" x14ac:dyDescent="0.35">
      <c r="B299" s="9"/>
      <c r="C299" s="14" t="s">
        <v>291</v>
      </c>
      <c r="D299" s="14" t="s">
        <v>278</v>
      </c>
      <c r="E299" s="18" t="s">
        <v>9</v>
      </c>
      <c r="F299" s="17" t="s">
        <v>23</v>
      </c>
      <c r="G299" s="17">
        <f>G297</f>
        <v>0</v>
      </c>
      <c r="H299" s="13">
        <f t="shared" si="4"/>
        <v>0</v>
      </c>
    </row>
    <row r="300" spans="2:8" ht="13.5" thickBot="1" x14ac:dyDescent="0.35">
      <c r="B300" s="9">
        <f>COUNT($B$4:B299)+1</f>
        <v>218</v>
      </c>
      <c r="C300" s="10" t="s">
        <v>295</v>
      </c>
      <c r="D300" s="10"/>
      <c r="E300" s="11" t="s">
        <v>7</v>
      </c>
      <c r="F300" s="12" t="s">
        <v>23</v>
      </c>
      <c r="G300" s="12"/>
      <c r="H300" s="13">
        <f t="shared" si="4"/>
        <v>0</v>
      </c>
    </row>
    <row r="301" spans="2:8" ht="13.5" thickBot="1" x14ac:dyDescent="0.35">
      <c r="B301" s="9"/>
      <c r="C301" s="14" t="s">
        <v>296</v>
      </c>
      <c r="D301" s="14" t="s">
        <v>278</v>
      </c>
      <c r="E301" s="18" t="s">
        <v>9</v>
      </c>
      <c r="F301" s="17" t="s">
        <v>23</v>
      </c>
      <c r="G301" s="17">
        <f>G300</f>
        <v>0</v>
      </c>
      <c r="H301" s="13">
        <f t="shared" si="4"/>
        <v>0</v>
      </c>
    </row>
    <row r="302" spans="2:8" ht="13.5" thickBot="1" x14ac:dyDescent="0.35">
      <c r="B302" s="9"/>
      <c r="C302" s="14" t="s">
        <v>297</v>
      </c>
      <c r="D302" s="14" t="s">
        <v>278</v>
      </c>
      <c r="E302" s="18" t="s">
        <v>9</v>
      </c>
      <c r="F302" s="17" t="s">
        <v>23</v>
      </c>
      <c r="G302" s="17">
        <f>G300</f>
        <v>0</v>
      </c>
      <c r="H302" s="13">
        <f t="shared" si="4"/>
        <v>0</v>
      </c>
    </row>
    <row r="303" spans="2:8" ht="13.5" thickBot="1" x14ac:dyDescent="0.35">
      <c r="B303" s="9">
        <f>COUNT($B$4:B302)+1</f>
        <v>219</v>
      </c>
      <c r="C303" s="10" t="s">
        <v>295</v>
      </c>
      <c r="D303" s="10"/>
      <c r="E303" s="11" t="s">
        <v>7</v>
      </c>
      <c r="F303" s="12" t="s">
        <v>23</v>
      </c>
      <c r="G303" s="12"/>
      <c r="H303" s="13">
        <f t="shared" si="4"/>
        <v>0</v>
      </c>
    </row>
    <row r="304" spans="2:8" ht="13.5" thickBot="1" x14ac:dyDescent="0.35">
      <c r="B304" s="9"/>
      <c r="C304" s="14" t="s">
        <v>298</v>
      </c>
      <c r="D304" s="14" t="s">
        <v>278</v>
      </c>
      <c r="E304" s="18" t="s">
        <v>9</v>
      </c>
      <c r="F304" s="17" t="s">
        <v>23</v>
      </c>
      <c r="G304" s="17">
        <f>G303</f>
        <v>0</v>
      </c>
      <c r="H304" s="13">
        <f t="shared" si="4"/>
        <v>0</v>
      </c>
    </row>
    <row r="305" spans="2:8" ht="13.5" thickBot="1" x14ac:dyDescent="0.35">
      <c r="B305" s="9"/>
      <c r="C305" s="14" t="s">
        <v>297</v>
      </c>
      <c r="D305" s="14" t="s">
        <v>278</v>
      </c>
      <c r="E305" s="18" t="s">
        <v>9</v>
      </c>
      <c r="F305" s="17" t="s">
        <v>23</v>
      </c>
      <c r="G305" s="17">
        <f>G303</f>
        <v>0</v>
      </c>
      <c r="H305" s="13">
        <f t="shared" si="4"/>
        <v>0</v>
      </c>
    </row>
    <row r="306" spans="2:8" ht="13.5" thickBot="1" x14ac:dyDescent="0.35">
      <c r="B306" s="9">
        <f>COUNT($B$4:B305)+1</f>
        <v>220</v>
      </c>
      <c r="C306" s="10" t="s">
        <v>295</v>
      </c>
      <c r="D306" s="10"/>
      <c r="E306" s="11" t="s">
        <v>7</v>
      </c>
      <c r="F306" s="12" t="s">
        <v>23</v>
      </c>
      <c r="G306" s="12"/>
      <c r="H306" s="13">
        <f t="shared" si="4"/>
        <v>0</v>
      </c>
    </row>
    <row r="307" spans="2:8" ht="13.5" thickBot="1" x14ac:dyDescent="0.35">
      <c r="B307" s="9"/>
      <c r="C307" s="14" t="s">
        <v>299</v>
      </c>
      <c r="D307" s="14" t="s">
        <v>278</v>
      </c>
      <c r="E307" s="18" t="s">
        <v>9</v>
      </c>
      <c r="F307" s="17" t="s">
        <v>23</v>
      </c>
      <c r="G307" s="17">
        <f>G306</f>
        <v>0</v>
      </c>
      <c r="H307" s="13">
        <f t="shared" si="4"/>
        <v>0</v>
      </c>
    </row>
    <row r="308" spans="2:8" ht="13.5" thickBot="1" x14ac:dyDescent="0.35">
      <c r="B308" s="9"/>
      <c r="C308" s="14" t="s">
        <v>297</v>
      </c>
      <c r="D308" s="14" t="s">
        <v>278</v>
      </c>
      <c r="E308" s="18" t="s">
        <v>9</v>
      </c>
      <c r="F308" s="17" t="s">
        <v>23</v>
      </c>
      <c r="G308" s="17">
        <f>G306</f>
        <v>0</v>
      </c>
      <c r="H308" s="13">
        <f t="shared" si="4"/>
        <v>0</v>
      </c>
    </row>
    <row r="309" spans="2:8" ht="13.5" thickBot="1" x14ac:dyDescent="0.35">
      <c r="B309" s="9">
        <f>COUNT($B$4:B308)+1</f>
        <v>221</v>
      </c>
      <c r="C309" s="10" t="s">
        <v>300</v>
      </c>
      <c r="D309" s="10" t="s">
        <v>217</v>
      </c>
      <c r="E309" s="11" t="s">
        <v>7</v>
      </c>
      <c r="F309" s="12" t="s">
        <v>23</v>
      </c>
      <c r="G309" s="12"/>
      <c r="H309" s="13">
        <f t="shared" si="4"/>
        <v>0</v>
      </c>
    </row>
    <row r="310" spans="2:8" ht="13.5" thickBot="1" x14ac:dyDescent="0.35">
      <c r="B310" s="9">
        <f>COUNT($B$4:B309)+1</f>
        <v>222</v>
      </c>
      <c r="C310" s="10" t="s">
        <v>301</v>
      </c>
      <c r="D310" s="10"/>
      <c r="E310" s="11" t="s">
        <v>3</v>
      </c>
      <c r="F310" s="12" t="s">
        <v>23</v>
      </c>
      <c r="G310" s="12"/>
      <c r="H310" s="13">
        <f t="shared" si="4"/>
        <v>0</v>
      </c>
    </row>
    <row r="311" spans="2:8" ht="13.5" thickBot="1" x14ac:dyDescent="0.35">
      <c r="B311" s="9"/>
      <c r="C311" s="14" t="s">
        <v>24</v>
      </c>
      <c r="D311" s="15" t="s">
        <v>25</v>
      </c>
      <c r="E311" s="16" t="s">
        <v>9</v>
      </c>
      <c r="F311" s="17" t="s">
        <v>23</v>
      </c>
      <c r="G311" s="19">
        <f>G310</f>
        <v>0</v>
      </c>
      <c r="H311" s="13">
        <f t="shared" si="4"/>
        <v>0</v>
      </c>
    </row>
    <row r="312" spans="2:8" ht="13.5" thickBot="1" x14ac:dyDescent="0.35">
      <c r="B312" s="9"/>
      <c r="C312" s="14" t="s">
        <v>301</v>
      </c>
      <c r="D312" s="15" t="s">
        <v>302</v>
      </c>
      <c r="E312" s="16" t="s">
        <v>3</v>
      </c>
      <c r="F312" s="17" t="s">
        <v>23</v>
      </c>
      <c r="G312" s="19">
        <f>G310</f>
        <v>0</v>
      </c>
      <c r="H312" s="13">
        <f t="shared" si="4"/>
        <v>0</v>
      </c>
    </row>
    <row r="313" spans="2:8" ht="13.5" thickBot="1" x14ac:dyDescent="0.35">
      <c r="B313" s="9">
        <f>COUNT($B$4:B312)+1</f>
        <v>223</v>
      </c>
      <c r="C313" s="10" t="s">
        <v>303</v>
      </c>
      <c r="D313" s="10"/>
      <c r="E313" s="11" t="s">
        <v>3</v>
      </c>
      <c r="F313" s="12" t="s">
        <v>51</v>
      </c>
      <c r="G313" s="12"/>
      <c r="H313" s="13">
        <f t="shared" si="4"/>
        <v>0</v>
      </c>
    </row>
    <row r="314" spans="2:8" ht="13.5" thickBot="1" x14ac:dyDescent="0.35">
      <c r="B314" s="9"/>
      <c r="C314" s="14" t="s">
        <v>303</v>
      </c>
      <c r="D314" s="14" t="s">
        <v>278</v>
      </c>
      <c r="E314" s="18" t="s">
        <v>9</v>
      </c>
      <c r="F314" s="17" t="s">
        <v>51</v>
      </c>
      <c r="G314" s="17">
        <f>ROUNDUP(G313/4,0)</f>
        <v>0</v>
      </c>
      <c r="H314" s="13">
        <f t="shared" si="4"/>
        <v>0</v>
      </c>
    </row>
    <row r="315" spans="2:8" ht="13.5" thickBot="1" x14ac:dyDescent="0.35">
      <c r="B315" s="9"/>
      <c r="C315" s="14" t="s">
        <v>304</v>
      </c>
      <c r="D315" s="14" t="s">
        <v>278</v>
      </c>
      <c r="E315" s="18" t="s">
        <v>9</v>
      </c>
      <c r="F315" s="17" t="s">
        <v>23</v>
      </c>
      <c r="G315" s="17">
        <f>ROUNDUP(G313/4,0)</f>
        <v>0</v>
      </c>
      <c r="H315" s="13">
        <f t="shared" si="4"/>
        <v>0</v>
      </c>
    </row>
    <row r="316" spans="2:8" ht="13.5" thickBot="1" x14ac:dyDescent="0.35">
      <c r="B316" s="9"/>
      <c r="C316" s="14" t="s">
        <v>305</v>
      </c>
      <c r="D316" s="14" t="s">
        <v>278</v>
      </c>
      <c r="E316" s="18" t="s">
        <v>9</v>
      </c>
      <c r="F316" s="17" t="s">
        <v>23</v>
      </c>
      <c r="G316" s="17">
        <f>ROUNDUP(G313/1.5,0)</f>
        <v>0</v>
      </c>
      <c r="H316" s="13">
        <f t="shared" si="4"/>
        <v>0</v>
      </c>
    </row>
    <row r="317" spans="2:8" ht="13.5" thickBot="1" x14ac:dyDescent="0.35">
      <c r="B317" s="9">
        <f>COUNT($B$4:B316)+1</f>
        <v>224</v>
      </c>
      <c r="C317" s="10" t="s">
        <v>306</v>
      </c>
      <c r="D317" s="10"/>
      <c r="E317" s="11" t="s">
        <v>3</v>
      </c>
      <c r="F317" s="12" t="s">
        <v>51</v>
      </c>
      <c r="G317" s="12"/>
      <c r="H317" s="13">
        <f t="shared" si="4"/>
        <v>0</v>
      </c>
    </row>
    <row r="318" spans="2:8" ht="13.5" thickBot="1" x14ac:dyDescent="0.35">
      <c r="B318" s="9"/>
      <c r="C318" s="14" t="s">
        <v>306</v>
      </c>
      <c r="D318" s="14" t="s">
        <v>278</v>
      </c>
      <c r="E318" s="18" t="s">
        <v>9</v>
      </c>
      <c r="F318" s="17" t="s">
        <v>51</v>
      </c>
      <c r="G318" s="17">
        <f>ROUNDUP(G317/4,0)</f>
        <v>0</v>
      </c>
      <c r="H318" s="13">
        <f t="shared" si="4"/>
        <v>0</v>
      </c>
    </row>
    <row r="319" spans="2:8" ht="13.5" thickBot="1" x14ac:dyDescent="0.35">
      <c r="B319" s="9"/>
      <c r="C319" s="14" t="s">
        <v>307</v>
      </c>
      <c r="D319" s="14" t="s">
        <v>278</v>
      </c>
      <c r="E319" s="18" t="s">
        <v>9</v>
      </c>
      <c r="F319" s="17" t="s">
        <v>23</v>
      </c>
      <c r="G319" s="17">
        <f>ROUNDUP(G317/4,0)</f>
        <v>0</v>
      </c>
      <c r="H319" s="13">
        <f t="shared" si="4"/>
        <v>0</v>
      </c>
    </row>
    <row r="320" spans="2:8" ht="13.5" thickBot="1" x14ac:dyDescent="0.35">
      <c r="B320" s="9"/>
      <c r="C320" s="14" t="s">
        <v>308</v>
      </c>
      <c r="D320" s="14" t="s">
        <v>278</v>
      </c>
      <c r="E320" s="18" t="s">
        <v>9</v>
      </c>
      <c r="F320" s="17" t="s">
        <v>23</v>
      </c>
      <c r="G320" s="17">
        <f>ROUNDUP(G317/1.5,0)</f>
        <v>0</v>
      </c>
      <c r="H320" s="13">
        <f t="shared" si="4"/>
        <v>0</v>
      </c>
    </row>
    <row r="321" spans="2:8" ht="13.5" thickBot="1" x14ac:dyDescent="0.35">
      <c r="B321" s="9">
        <f>COUNT($B$4:B316)+1</f>
        <v>224</v>
      </c>
      <c r="C321" s="10" t="s">
        <v>309</v>
      </c>
      <c r="D321" s="10"/>
      <c r="E321" s="11" t="s">
        <v>3</v>
      </c>
      <c r="F321" s="12" t="s">
        <v>51</v>
      </c>
      <c r="G321" s="12"/>
      <c r="H321" s="13">
        <f t="shared" si="4"/>
        <v>0</v>
      </c>
    </row>
    <row r="322" spans="2:8" ht="13.5" thickBot="1" x14ac:dyDescent="0.35">
      <c r="B322" s="9"/>
      <c r="C322" s="14" t="s">
        <v>303</v>
      </c>
      <c r="D322" s="14" t="s">
        <v>278</v>
      </c>
      <c r="E322" s="18" t="s">
        <v>9</v>
      </c>
      <c r="F322" s="17" t="s">
        <v>51</v>
      </c>
      <c r="G322" s="17">
        <f>ROUNDUP(G321/4*2,0)</f>
        <v>0</v>
      </c>
      <c r="H322" s="13">
        <f t="shared" si="4"/>
        <v>0</v>
      </c>
    </row>
    <row r="323" spans="2:8" ht="13.5" thickBot="1" x14ac:dyDescent="0.35">
      <c r="B323" s="9"/>
      <c r="C323" s="14" t="s">
        <v>304</v>
      </c>
      <c r="D323" s="14" t="s">
        <v>278</v>
      </c>
      <c r="E323" s="18" t="s">
        <v>9</v>
      </c>
      <c r="F323" s="17" t="s">
        <v>23</v>
      </c>
      <c r="G323" s="17">
        <f>ROUNDUP(G321/4*2,0)</f>
        <v>0</v>
      </c>
      <c r="H323" s="13">
        <f t="shared" si="4"/>
        <v>0</v>
      </c>
    </row>
    <row r="324" spans="2:8" ht="13.5" thickBot="1" x14ac:dyDescent="0.35">
      <c r="B324" s="9"/>
      <c r="C324" s="14" t="s">
        <v>308</v>
      </c>
      <c r="D324" s="14" t="s">
        <v>278</v>
      </c>
      <c r="E324" s="18" t="s">
        <v>9</v>
      </c>
      <c r="F324" s="17" t="s">
        <v>23</v>
      </c>
      <c r="G324" s="17">
        <f>ROUNDUP(G321/1.5,0)</f>
        <v>0</v>
      </c>
      <c r="H324" s="13">
        <f t="shared" si="4"/>
        <v>0</v>
      </c>
    </row>
    <row r="325" spans="2:8" ht="13.5" thickBot="1" x14ac:dyDescent="0.35">
      <c r="B325" s="9">
        <f>COUNT($B$4:B320)+1</f>
        <v>225</v>
      </c>
      <c r="C325" s="10" t="s">
        <v>310</v>
      </c>
      <c r="D325" s="10"/>
      <c r="E325" s="11" t="s">
        <v>3</v>
      </c>
      <c r="F325" s="12" t="s">
        <v>51</v>
      </c>
      <c r="G325" s="12"/>
      <c r="H325" s="13">
        <f t="shared" ref="H325:H388" si="5">SUM(G325:G325)</f>
        <v>0</v>
      </c>
    </row>
    <row r="326" spans="2:8" ht="13.5" thickBot="1" x14ac:dyDescent="0.35">
      <c r="B326" s="9"/>
      <c r="C326" s="14" t="s">
        <v>306</v>
      </c>
      <c r="D326" s="14" t="s">
        <v>278</v>
      </c>
      <c r="E326" s="18" t="s">
        <v>9</v>
      </c>
      <c r="F326" s="17" t="s">
        <v>51</v>
      </c>
      <c r="G326" s="17">
        <f>ROUNDUP(G325/4*2,0)</f>
        <v>0</v>
      </c>
      <c r="H326" s="13">
        <f t="shared" si="5"/>
        <v>0</v>
      </c>
    </row>
    <row r="327" spans="2:8" ht="13.5" thickBot="1" x14ac:dyDescent="0.35">
      <c r="B327" s="9"/>
      <c r="C327" s="14" t="s">
        <v>307</v>
      </c>
      <c r="D327" s="14" t="s">
        <v>278</v>
      </c>
      <c r="E327" s="18" t="s">
        <v>9</v>
      </c>
      <c r="F327" s="17" t="s">
        <v>23</v>
      </c>
      <c r="G327" s="17">
        <f>ROUNDUP(G325/4*2,0)</f>
        <v>0</v>
      </c>
      <c r="H327" s="13">
        <f t="shared" si="5"/>
        <v>0</v>
      </c>
    </row>
    <row r="328" spans="2:8" ht="13.5" thickBot="1" x14ac:dyDescent="0.35">
      <c r="B328" s="9"/>
      <c r="C328" s="14" t="s">
        <v>311</v>
      </c>
      <c r="D328" s="14" t="s">
        <v>278</v>
      </c>
      <c r="E328" s="18" t="s">
        <v>9</v>
      </c>
      <c r="F328" s="17" t="s">
        <v>23</v>
      </c>
      <c r="G328" s="17">
        <f>ROUNDUP(G325/1.5,0)</f>
        <v>0</v>
      </c>
      <c r="H328" s="13">
        <f t="shared" si="5"/>
        <v>0</v>
      </c>
    </row>
    <row r="329" spans="2:8" ht="13.5" thickBot="1" x14ac:dyDescent="0.35">
      <c r="B329" s="9">
        <f>COUNT($B$4:B316)+1</f>
        <v>224</v>
      </c>
      <c r="C329" s="10" t="s">
        <v>312</v>
      </c>
      <c r="D329" s="10"/>
      <c r="E329" s="11" t="s">
        <v>3</v>
      </c>
      <c r="F329" s="12" t="s">
        <v>51</v>
      </c>
      <c r="G329" s="12"/>
      <c r="H329" s="13">
        <f t="shared" si="5"/>
        <v>0</v>
      </c>
    </row>
    <row r="330" spans="2:8" ht="13.5" thickBot="1" x14ac:dyDescent="0.35">
      <c r="B330" s="9"/>
      <c r="C330" s="14" t="s">
        <v>313</v>
      </c>
      <c r="D330" s="14" t="s">
        <v>302</v>
      </c>
      <c r="E330" s="18" t="s">
        <v>9</v>
      </c>
      <c r="F330" s="17" t="s">
        <v>51</v>
      </c>
      <c r="G330" s="17">
        <f>G329</f>
        <v>0</v>
      </c>
      <c r="H330" s="13">
        <f t="shared" si="5"/>
        <v>0</v>
      </c>
    </row>
    <row r="331" spans="2:8" ht="13.5" thickBot="1" x14ac:dyDescent="0.35">
      <c r="B331" s="9"/>
      <c r="C331" s="14" t="s">
        <v>314</v>
      </c>
      <c r="D331" s="14" t="s">
        <v>302</v>
      </c>
      <c r="E331" s="18" t="s">
        <v>9</v>
      </c>
      <c r="F331" s="17" t="s">
        <v>51</v>
      </c>
      <c r="G331" s="17">
        <f>ROUNDUP(G329/1.5,0)</f>
        <v>0</v>
      </c>
      <c r="H331" s="13">
        <f t="shared" si="5"/>
        <v>0</v>
      </c>
    </row>
    <row r="332" spans="2:8" ht="13.5" thickBot="1" x14ac:dyDescent="0.35">
      <c r="B332" s="9"/>
      <c r="C332" s="14" t="s">
        <v>315</v>
      </c>
      <c r="D332" s="14" t="s">
        <v>302</v>
      </c>
      <c r="E332" s="18" t="s">
        <v>9</v>
      </c>
      <c r="F332" s="17" t="s">
        <v>23</v>
      </c>
      <c r="G332" s="17">
        <f>ROUNDUP(G329/3,0)</f>
        <v>0</v>
      </c>
      <c r="H332" s="13">
        <f t="shared" si="5"/>
        <v>0</v>
      </c>
    </row>
    <row r="333" spans="2:8" ht="13.5" thickBot="1" x14ac:dyDescent="0.35">
      <c r="B333" s="9"/>
      <c r="C333" s="14" t="s">
        <v>316</v>
      </c>
      <c r="D333" s="14" t="s">
        <v>302</v>
      </c>
      <c r="E333" s="18" t="s">
        <v>9</v>
      </c>
      <c r="F333" s="17" t="s">
        <v>23</v>
      </c>
      <c r="G333" s="17">
        <f>ROUNDUP(G329/3,0)</f>
        <v>0</v>
      </c>
      <c r="H333" s="13">
        <f t="shared" si="5"/>
        <v>0</v>
      </c>
    </row>
    <row r="334" spans="2:8" ht="13.5" thickBot="1" x14ac:dyDescent="0.35">
      <c r="B334" s="9"/>
      <c r="C334" s="14" t="s">
        <v>317</v>
      </c>
      <c r="D334" s="14" t="s">
        <v>302</v>
      </c>
      <c r="E334" s="18" t="s">
        <v>9</v>
      </c>
      <c r="F334" s="17" t="s">
        <v>51</v>
      </c>
      <c r="G334" s="17">
        <f>G329</f>
        <v>0</v>
      </c>
      <c r="H334" s="13">
        <f t="shared" si="5"/>
        <v>0</v>
      </c>
    </row>
    <row r="335" spans="2:8" ht="13.5" thickBot="1" x14ac:dyDescent="0.35">
      <c r="B335" s="9">
        <f>COUNT($B$4:B334)+1</f>
        <v>228</v>
      </c>
      <c r="C335" s="10" t="s">
        <v>318</v>
      </c>
      <c r="D335" s="10"/>
      <c r="E335" s="11" t="s">
        <v>6</v>
      </c>
      <c r="F335" s="12" t="s">
        <v>23</v>
      </c>
      <c r="G335" s="12"/>
      <c r="H335" s="13">
        <f t="shared" si="5"/>
        <v>0</v>
      </c>
    </row>
    <row r="336" spans="2:8" ht="13.5" thickBot="1" x14ac:dyDescent="0.35">
      <c r="B336" s="9"/>
      <c r="C336" s="14" t="s">
        <v>319</v>
      </c>
      <c r="D336" s="14" t="s">
        <v>49</v>
      </c>
      <c r="E336" s="18" t="s">
        <v>6</v>
      </c>
      <c r="F336" s="17" t="s">
        <v>23</v>
      </c>
      <c r="G336" s="17">
        <f>G335</f>
        <v>0</v>
      </c>
      <c r="H336" s="13">
        <f t="shared" si="5"/>
        <v>0</v>
      </c>
    </row>
    <row r="337" spans="2:8" ht="13.5" thickBot="1" x14ac:dyDescent="0.35">
      <c r="B337" s="9"/>
      <c r="C337" s="14" t="s">
        <v>320</v>
      </c>
      <c r="D337" s="14" t="s">
        <v>49</v>
      </c>
      <c r="E337" s="18" t="s">
        <v>6</v>
      </c>
      <c r="F337" s="17" t="s">
        <v>23</v>
      </c>
      <c r="G337" s="17">
        <f>G335</f>
        <v>0</v>
      </c>
      <c r="H337" s="13">
        <f t="shared" si="5"/>
        <v>0</v>
      </c>
    </row>
    <row r="338" spans="2:8" ht="13.5" thickBot="1" x14ac:dyDescent="0.35">
      <c r="B338" s="9"/>
      <c r="C338" s="14" t="s">
        <v>321</v>
      </c>
      <c r="D338" s="14" t="s">
        <v>49</v>
      </c>
      <c r="E338" s="18" t="s">
        <v>6</v>
      </c>
      <c r="F338" s="17" t="s">
        <v>23</v>
      </c>
      <c r="G338" s="17">
        <f>G335</f>
        <v>0</v>
      </c>
      <c r="H338" s="13">
        <f t="shared" si="5"/>
        <v>0</v>
      </c>
    </row>
    <row r="339" spans="2:8" ht="13.5" thickBot="1" x14ac:dyDescent="0.35">
      <c r="B339" s="9"/>
      <c r="C339" s="14" t="s">
        <v>322</v>
      </c>
      <c r="D339" s="14" t="s">
        <v>49</v>
      </c>
      <c r="E339" s="18" t="s">
        <v>6</v>
      </c>
      <c r="F339" s="17" t="s">
        <v>23</v>
      </c>
      <c r="G339" s="17">
        <f>G335</f>
        <v>0</v>
      </c>
      <c r="H339" s="13">
        <f t="shared" si="5"/>
        <v>0</v>
      </c>
    </row>
    <row r="340" spans="2:8" ht="13.5" thickBot="1" x14ac:dyDescent="0.35">
      <c r="B340" s="9"/>
      <c r="C340" s="14" t="s">
        <v>26</v>
      </c>
      <c r="D340" s="14" t="s">
        <v>27</v>
      </c>
      <c r="E340" s="18" t="s">
        <v>8</v>
      </c>
      <c r="F340" s="17" t="s">
        <v>23</v>
      </c>
      <c r="G340" s="17">
        <f>G335*2</f>
        <v>0</v>
      </c>
      <c r="H340" s="13">
        <f t="shared" si="5"/>
        <v>0</v>
      </c>
    </row>
    <row r="341" spans="2:8" ht="13.5" thickBot="1" x14ac:dyDescent="0.35">
      <c r="B341" s="9"/>
      <c r="C341" s="14" t="s">
        <v>323</v>
      </c>
      <c r="D341" s="14" t="s">
        <v>49</v>
      </c>
      <c r="E341" s="18" t="s">
        <v>6</v>
      </c>
      <c r="F341" s="17" t="s">
        <v>23</v>
      </c>
      <c r="G341" s="17">
        <f>G335</f>
        <v>0</v>
      </c>
      <c r="H341" s="13">
        <f t="shared" si="5"/>
        <v>0</v>
      </c>
    </row>
    <row r="342" spans="2:8" ht="13.5" thickBot="1" x14ac:dyDescent="0.35">
      <c r="B342" s="9"/>
      <c r="C342" s="14" t="s">
        <v>324</v>
      </c>
      <c r="D342" s="14" t="s">
        <v>49</v>
      </c>
      <c r="E342" s="18" t="s">
        <v>0</v>
      </c>
      <c r="F342" s="17" t="s">
        <v>23</v>
      </c>
      <c r="G342" s="17">
        <f>G335*4</f>
        <v>0</v>
      </c>
      <c r="H342" s="13">
        <f t="shared" si="5"/>
        <v>0</v>
      </c>
    </row>
    <row r="343" spans="2:8" ht="13.5" thickBot="1" x14ac:dyDescent="0.35">
      <c r="B343" s="9"/>
      <c r="C343" s="14" t="s">
        <v>325</v>
      </c>
      <c r="D343" s="14" t="s">
        <v>49</v>
      </c>
      <c r="E343" s="18" t="s">
        <v>6</v>
      </c>
      <c r="F343" s="17" t="s">
        <v>23</v>
      </c>
      <c r="G343" s="17">
        <f>G335</f>
        <v>0</v>
      </c>
      <c r="H343" s="13">
        <f t="shared" si="5"/>
        <v>0</v>
      </c>
    </row>
    <row r="344" spans="2:8" ht="13.5" thickBot="1" x14ac:dyDescent="0.35">
      <c r="B344" s="9"/>
      <c r="C344" s="14" t="s">
        <v>326</v>
      </c>
      <c r="D344" s="14" t="s">
        <v>49</v>
      </c>
      <c r="E344" s="18" t="s">
        <v>6</v>
      </c>
      <c r="F344" s="17" t="s">
        <v>23</v>
      </c>
      <c r="G344" s="17">
        <f>G335</f>
        <v>0</v>
      </c>
      <c r="H344" s="13">
        <f t="shared" si="5"/>
        <v>0</v>
      </c>
    </row>
    <row r="345" spans="2:8" ht="13.5" thickBot="1" x14ac:dyDescent="0.35">
      <c r="B345" s="9">
        <f>COUNT($B$4:B344)+1</f>
        <v>229</v>
      </c>
      <c r="C345" s="10" t="s">
        <v>327</v>
      </c>
      <c r="D345" s="10"/>
      <c r="E345" s="11" t="s">
        <v>6</v>
      </c>
      <c r="F345" s="12" t="s">
        <v>23</v>
      </c>
      <c r="G345" s="12"/>
      <c r="H345" s="13">
        <f t="shared" si="5"/>
        <v>0</v>
      </c>
    </row>
    <row r="346" spans="2:8" ht="13.5" thickBot="1" x14ac:dyDescent="0.35">
      <c r="B346" s="9"/>
      <c r="C346" s="14" t="s">
        <v>328</v>
      </c>
      <c r="D346" s="14" t="s">
        <v>49</v>
      </c>
      <c r="E346" s="18" t="s">
        <v>6</v>
      </c>
      <c r="F346" s="17" t="s">
        <v>23</v>
      </c>
      <c r="G346" s="17">
        <f>G345</f>
        <v>0</v>
      </c>
      <c r="H346" s="13">
        <f t="shared" si="5"/>
        <v>0</v>
      </c>
    </row>
    <row r="347" spans="2:8" ht="13.5" thickBot="1" x14ac:dyDescent="0.35">
      <c r="B347" s="9"/>
      <c r="C347" s="14" t="s">
        <v>329</v>
      </c>
      <c r="D347" s="14" t="s">
        <v>49</v>
      </c>
      <c r="E347" s="18" t="s">
        <v>6</v>
      </c>
      <c r="F347" s="17" t="s">
        <v>23</v>
      </c>
      <c r="G347" s="17">
        <f>G345</f>
        <v>0</v>
      </c>
      <c r="H347" s="13">
        <f t="shared" si="5"/>
        <v>0</v>
      </c>
    </row>
    <row r="348" spans="2:8" ht="13.5" thickBot="1" x14ac:dyDescent="0.35">
      <c r="B348" s="9"/>
      <c r="C348" s="14" t="s">
        <v>321</v>
      </c>
      <c r="D348" s="14" t="s">
        <v>49</v>
      </c>
      <c r="E348" s="18" t="s">
        <v>6</v>
      </c>
      <c r="F348" s="17" t="s">
        <v>23</v>
      </c>
      <c r="G348" s="17">
        <f>G345</f>
        <v>0</v>
      </c>
      <c r="H348" s="13">
        <f t="shared" si="5"/>
        <v>0</v>
      </c>
    </row>
    <row r="349" spans="2:8" ht="13.5" thickBot="1" x14ac:dyDescent="0.35">
      <c r="B349" s="9"/>
      <c r="C349" s="14" t="s">
        <v>26</v>
      </c>
      <c r="D349" s="14" t="s">
        <v>27</v>
      </c>
      <c r="E349" s="18" t="s">
        <v>8</v>
      </c>
      <c r="F349" s="17" t="s">
        <v>23</v>
      </c>
      <c r="G349" s="17">
        <f>G345*2</f>
        <v>0</v>
      </c>
      <c r="H349" s="13">
        <f t="shared" si="5"/>
        <v>0</v>
      </c>
    </row>
    <row r="350" spans="2:8" ht="13.5" thickBot="1" x14ac:dyDescent="0.35">
      <c r="B350" s="9"/>
      <c r="C350" s="14" t="s">
        <v>323</v>
      </c>
      <c r="D350" s="14" t="s">
        <v>49</v>
      </c>
      <c r="E350" s="18" t="s">
        <v>6</v>
      </c>
      <c r="F350" s="17" t="s">
        <v>23</v>
      </c>
      <c r="G350" s="17">
        <f>G345</f>
        <v>0</v>
      </c>
      <c r="H350" s="13">
        <f t="shared" si="5"/>
        <v>0</v>
      </c>
    </row>
    <row r="351" spans="2:8" ht="13.5" thickBot="1" x14ac:dyDescent="0.35">
      <c r="B351" s="9"/>
      <c r="C351" s="14" t="s">
        <v>324</v>
      </c>
      <c r="D351" s="14" t="s">
        <v>49</v>
      </c>
      <c r="E351" s="18" t="s">
        <v>0</v>
      </c>
      <c r="F351" s="17" t="s">
        <v>23</v>
      </c>
      <c r="G351" s="17">
        <f>G345*2</f>
        <v>0</v>
      </c>
      <c r="H351" s="13">
        <f t="shared" si="5"/>
        <v>0</v>
      </c>
    </row>
    <row r="352" spans="2:8" ht="13.5" thickBot="1" x14ac:dyDescent="0.35">
      <c r="B352" s="9"/>
      <c r="C352" s="14" t="s">
        <v>325</v>
      </c>
      <c r="D352" s="14" t="s">
        <v>49</v>
      </c>
      <c r="E352" s="18" t="s">
        <v>6</v>
      </c>
      <c r="F352" s="17" t="s">
        <v>23</v>
      </c>
      <c r="G352" s="17">
        <f>G345</f>
        <v>0</v>
      </c>
      <c r="H352" s="13">
        <f t="shared" si="5"/>
        <v>0</v>
      </c>
    </row>
    <row r="353" spans="2:8" ht="13.5" thickBot="1" x14ac:dyDescent="0.35">
      <c r="B353" s="9"/>
      <c r="C353" s="14" t="s">
        <v>326</v>
      </c>
      <c r="D353" s="14" t="s">
        <v>49</v>
      </c>
      <c r="E353" s="18" t="s">
        <v>6</v>
      </c>
      <c r="F353" s="17" t="s">
        <v>23</v>
      </c>
      <c r="G353" s="17">
        <f>G345</f>
        <v>0</v>
      </c>
      <c r="H353" s="13">
        <f t="shared" si="5"/>
        <v>0</v>
      </c>
    </row>
    <row r="354" spans="2:8" ht="13.5" thickBot="1" x14ac:dyDescent="0.35">
      <c r="B354" s="9">
        <f>COUNT($B$4:B353)+1</f>
        <v>230</v>
      </c>
      <c r="C354" s="10" t="s">
        <v>330</v>
      </c>
      <c r="D354" s="10"/>
      <c r="E354" s="11" t="s">
        <v>4</v>
      </c>
      <c r="F354" s="12" t="s">
        <v>23</v>
      </c>
      <c r="G354" s="12"/>
      <c r="H354" s="13">
        <f t="shared" si="5"/>
        <v>0</v>
      </c>
    </row>
    <row r="355" spans="2:8" ht="13.5" thickBot="1" x14ac:dyDescent="0.35">
      <c r="B355" s="9"/>
      <c r="C355" s="14" t="s">
        <v>234</v>
      </c>
      <c r="D355" s="15" t="s">
        <v>25</v>
      </c>
      <c r="E355" s="16" t="s">
        <v>9</v>
      </c>
      <c r="F355" s="17" t="s">
        <v>23</v>
      </c>
      <c r="G355" s="17">
        <f>G354</f>
        <v>0</v>
      </c>
      <c r="H355" s="13">
        <f t="shared" si="5"/>
        <v>0</v>
      </c>
    </row>
    <row r="356" spans="2:8" ht="13.5" thickBot="1" x14ac:dyDescent="0.35">
      <c r="B356" s="9"/>
      <c r="C356" s="14" t="s">
        <v>330</v>
      </c>
      <c r="D356" s="14" t="s">
        <v>331</v>
      </c>
      <c r="E356" s="16" t="s">
        <v>4</v>
      </c>
      <c r="F356" s="17" t="s">
        <v>23</v>
      </c>
      <c r="G356" s="17">
        <f>G354</f>
        <v>0</v>
      </c>
      <c r="H356" s="13">
        <f t="shared" si="5"/>
        <v>0</v>
      </c>
    </row>
    <row r="357" spans="2:8" ht="13.5" thickBot="1" x14ac:dyDescent="0.35">
      <c r="B357" s="9">
        <f>COUNT($B$4:B356)+1</f>
        <v>231</v>
      </c>
      <c r="C357" s="10" t="s">
        <v>332</v>
      </c>
      <c r="D357" s="10"/>
      <c r="E357" s="11" t="s">
        <v>5</v>
      </c>
      <c r="F357" s="12" t="s">
        <v>23</v>
      </c>
      <c r="G357" s="12"/>
      <c r="H357" s="13">
        <f t="shared" si="5"/>
        <v>0</v>
      </c>
    </row>
    <row r="358" spans="2:8" ht="13.5" thickBot="1" x14ac:dyDescent="0.35">
      <c r="B358" s="9">
        <f>COUNT($B$4:B357)+1</f>
        <v>232</v>
      </c>
      <c r="C358" s="10" t="s">
        <v>41</v>
      </c>
      <c r="D358" s="10" t="s">
        <v>42</v>
      </c>
      <c r="E358" s="20" t="s">
        <v>9</v>
      </c>
      <c r="F358" s="12" t="s">
        <v>23</v>
      </c>
      <c r="G358" s="12"/>
      <c r="H358" s="13">
        <f t="shared" si="5"/>
        <v>0</v>
      </c>
    </row>
    <row r="359" spans="2:8" ht="13.5" thickBot="1" x14ac:dyDescent="0.35">
      <c r="B359" s="9">
        <f>COUNT($B$4:B358)+1</f>
        <v>233</v>
      </c>
      <c r="C359" s="10" t="s">
        <v>333</v>
      </c>
      <c r="D359" s="10" t="s">
        <v>42</v>
      </c>
      <c r="E359" s="20" t="s">
        <v>9</v>
      </c>
      <c r="F359" s="12" t="s">
        <v>23</v>
      </c>
      <c r="G359" s="12"/>
      <c r="H359" s="13">
        <f t="shared" si="5"/>
        <v>0</v>
      </c>
    </row>
    <row r="360" spans="2:8" ht="13.5" thickBot="1" x14ac:dyDescent="0.35">
      <c r="B360" s="9">
        <f>COUNT($B$4:B359)+1</f>
        <v>234</v>
      </c>
      <c r="C360" s="10" t="s">
        <v>65</v>
      </c>
      <c r="D360" s="10" t="s">
        <v>42</v>
      </c>
      <c r="E360" s="20" t="s">
        <v>5</v>
      </c>
      <c r="F360" s="12" t="s">
        <v>23</v>
      </c>
      <c r="G360" s="12"/>
      <c r="H360" s="13">
        <f t="shared" si="5"/>
        <v>0</v>
      </c>
    </row>
    <row r="361" spans="2:8" ht="13.5" thickBot="1" x14ac:dyDescent="0.35">
      <c r="B361" s="9">
        <f>COUNT($B$4:B360)+1</f>
        <v>235</v>
      </c>
      <c r="C361" s="10" t="s">
        <v>334</v>
      </c>
      <c r="D361" s="10" t="s">
        <v>42</v>
      </c>
      <c r="E361" s="20" t="s">
        <v>9</v>
      </c>
      <c r="F361" s="12" t="s">
        <v>23</v>
      </c>
      <c r="G361" s="12"/>
      <c r="H361" s="13">
        <f t="shared" si="5"/>
        <v>0</v>
      </c>
    </row>
    <row r="362" spans="2:8" ht="13.5" thickBot="1" x14ac:dyDescent="0.35">
      <c r="B362" s="9">
        <f>COUNT($B$4:B361)+1</f>
        <v>236</v>
      </c>
      <c r="C362" s="10" t="s">
        <v>335</v>
      </c>
      <c r="D362" s="10" t="s">
        <v>42</v>
      </c>
      <c r="E362" s="20" t="s">
        <v>9</v>
      </c>
      <c r="F362" s="12" t="s">
        <v>23</v>
      </c>
      <c r="G362" s="12"/>
      <c r="H362" s="13">
        <f t="shared" si="5"/>
        <v>0</v>
      </c>
    </row>
    <row r="363" spans="2:8" ht="13.5" thickBot="1" x14ac:dyDescent="0.35">
      <c r="B363" s="9">
        <f>COUNT($B$4:B362)+1</f>
        <v>237</v>
      </c>
      <c r="C363" s="10" t="s">
        <v>336</v>
      </c>
      <c r="D363" s="10" t="s">
        <v>42</v>
      </c>
      <c r="E363" s="20" t="s">
        <v>9</v>
      </c>
      <c r="F363" s="12" t="s">
        <v>23</v>
      </c>
      <c r="G363" s="12"/>
      <c r="H363" s="13">
        <f t="shared" si="5"/>
        <v>0</v>
      </c>
    </row>
    <row r="364" spans="2:8" ht="13.5" thickBot="1" x14ac:dyDescent="0.35">
      <c r="B364" s="9">
        <f>COUNT($B$4:B363)+1</f>
        <v>238</v>
      </c>
      <c r="C364" s="10" t="s">
        <v>337</v>
      </c>
      <c r="D364" s="10" t="s">
        <v>42</v>
      </c>
      <c r="E364" s="20" t="s">
        <v>9</v>
      </c>
      <c r="F364" s="12" t="s">
        <v>23</v>
      </c>
      <c r="G364" s="12"/>
      <c r="H364" s="13">
        <f t="shared" si="5"/>
        <v>0</v>
      </c>
    </row>
    <row r="365" spans="2:8" ht="13.5" thickBot="1" x14ac:dyDescent="0.35">
      <c r="B365" s="9">
        <f>COUNT($B$4:B364)+1</f>
        <v>239</v>
      </c>
      <c r="C365" s="10" t="s">
        <v>338</v>
      </c>
      <c r="D365" s="10" t="s">
        <v>42</v>
      </c>
      <c r="E365" s="20" t="s">
        <v>9</v>
      </c>
      <c r="F365" s="12" t="s">
        <v>23</v>
      </c>
      <c r="G365" s="12"/>
      <c r="H365" s="13">
        <f t="shared" si="5"/>
        <v>0</v>
      </c>
    </row>
    <row r="366" spans="2:8" ht="13.5" thickBot="1" x14ac:dyDescent="0.35">
      <c r="B366" s="9">
        <f>COUNT($B$4:B365)+1</f>
        <v>240</v>
      </c>
      <c r="C366" s="10" t="s">
        <v>339</v>
      </c>
      <c r="D366" s="10" t="s">
        <v>42</v>
      </c>
      <c r="E366" s="20" t="s">
        <v>9</v>
      </c>
      <c r="F366" s="12" t="s">
        <v>23</v>
      </c>
      <c r="G366" s="12"/>
      <c r="H366" s="13">
        <f t="shared" si="5"/>
        <v>0</v>
      </c>
    </row>
    <row r="367" spans="2:8" ht="13.5" thickBot="1" x14ac:dyDescent="0.35">
      <c r="B367" s="9">
        <f>COUNT($B$4:B366)+1</f>
        <v>241</v>
      </c>
      <c r="C367" s="10" t="s">
        <v>340</v>
      </c>
      <c r="D367" s="10" t="s">
        <v>93</v>
      </c>
      <c r="E367" s="11" t="s">
        <v>2</v>
      </c>
      <c r="F367" s="12" t="s">
        <v>51</v>
      </c>
      <c r="G367" s="12"/>
      <c r="H367" s="13">
        <f t="shared" si="5"/>
        <v>0</v>
      </c>
    </row>
    <row r="368" spans="2:8" ht="13.5" thickBot="1" x14ac:dyDescent="0.35">
      <c r="B368" s="9">
        <f>COUNT($B$4:B367)+1</f>
        <v>242</v>
      </c>
      <c r="C368" s="10" t="s">
        <v>341</v>
      </c>
      <c r="D368" s="10" t="s">
        <v>93</v>
      </c>
      <c r="E368" s="11" t="s">
        <v>2</v>
      </c>
      <c r="F368" s="12" t="s">
        <v>51</v>
      </c>
      <c r="G368" s="12"/>
      <c r="H368" s="13">
        <f t="shared" si="5"/>
        <v>0</v>
      </c>
    </row>
    <row r="369" spans="1:8" ht="13.5" thickBot="1" x14ac:dyDescent="0.35">
      <c r="B369" s="9">
        <f>COUNT($B$4:B368)+1</f>
        <v>243</v>
      </c>
      <c r="C369" s="10" t="s">
        <v>342</v>
      </c>
      <c r="D369" s="10" t="s">
        <v>93</v>
      </c>
      <c r="E369" s="11" t="s">
        <v>2</v>
      </c>
      <c r="F369" s="12" t="s">
        <v>51</v>
      </c>
      <c r="G369" s="12"/>
      <c r="H369" s="13">
        <f t="shared" si="5"/>
        <v>0</v>
      </c>
    </row>
    <row r="370" spans="1:8" ht="13.5" thickBot="1" x14ac:dyDescent="0.35">
      <c r="B370" s="9">
        <f>COUNT($B$4:B369)+1</f>
        <v>244</v>
      </c>
      <c r="C370" s="10" t="s">
        <v>343</v>
      </c>
      <c r="D370" s="10" t="s">
        <v>93</v>
      </c>
      <c r="E370" s="11" t="s">
        <v>2</v>
      </c>
      <c r="F370" s="12" t="s">
        <v>51</v>
      </c>
      <c r="G370" s="12"/>
      <c r="H370" s="13">
        <f t="shared" si="5"/>
        <v>0</v>
      </c>
    </row>
    <row r="371" spans="1:8" ht="13.5" thickBot="1" x14ac:dyDescent="0.35">
      <c r="B371" s="9">
        <f>COUNT($B$4:B370)+1</f>
        <v>245</v>
      </c>
      <c r="C371" s="10" t="s">
        <v>344</v>
      </c>
      <c r="D371" s="10" t="s">
        <v>93</v>
      </c>
      <c r="E371" s="11" t="s">
        <v>2</v>
      </c>
      <c r="F371" s="12" t="s">
        <v>51</v>
      </c>
      <c r="G371" s="12">
        <v>1000</v>
      </c>
      <c r="H371" s="13">
        <f t="shared" si="5"/>
        <v>1000</v>
      </c>
    </row>
    <row r="372" spans="1:8" ht="13.5" thickBot="1" x14ac:dyDescent="0.35">
      <c r="B372" s="9">
        <f>COUNT($B$4:B371)+1</f>
        <v>246</v>
      </c>
      <c r="C372" s="10" t="s">
        <v>345</v>
      </c>
      <c r="D372" s="10" t="s">
        <v>93</v>
      </c>
      <c r="E372" s="11" t="s">
        <v>2</v>
      </c>
      <c r="F372" s="12" t="s">
        <v>51</v>
      </c>
      <c r="G372" s="12">
        <v>1000</v>
      </c>
      <c r="H372" s="13">
        <f t="shared" si="5"/>
        <v>1000</v>
      </c>
    </row>
    <row r="373" spans="1:8" ht="13.5" thickBot="1" x14ac:dyDescent="0.35">
      <c r="A373" s="1">
        <v>300</v>
      </c>
      <c r="B373" s="9">
        <f>COUNT($B$4:B372)+1</f>
        <v>247</v>
      </c>
      <c r="C373" s="10" t="s">
        <v>346</v>
      </c>
      <c r="D373" s="10" t="s">
        <v>93</v>
      </c>
      <c r="E373" s="11" t="s">
        <v>2</v>
      </c>
      <c r="F373" s="12" t="s">
        <v>51</v>
      </c>
      <c r="G373" s="12">
        <v>1000</v>
      </c>
      <c r="H373" s="13">
        <f t="shared" si="5"/>
        <v>1000</v>
      </c>
    </row>
    <row r="374" spans="1:8" ht="13.5" thickBot="1" x14ac:dyDescent="0.35">
      <c r="B374" s="9">
        <f>COUNT($B$4:B373)+1</f>
        <v>248</v>
      </c>
      <c r="C374" s="10" t="s">
        <v>347</v>
      </c>
      <c r="D374" s="10" t="s">
        <v>93</v>
      </c>
      <c r="E374" s="11" t="s">
        <v>2</v>
      </c>
      <c r="F374" s="12" t="s">
        <v>51</v>
      </c>
      <c r="G374" s="12">
        <v>0</v>
      </c>
      <c r="H374" s="13">
        <f t="shared" si="5"/>
        <v>0</v>
      </c>
    </row>
    <row r="375" spans="1:8" ht="13.5" thickBot="1" x14ac:dyDescent="0.35">
      <c r="B375" s="9">
        <f>COUNT($B$4:B374)+1</f>
        <v>249</v>
      </c>
      <c r="C375" s="10" t="s">
        <v>348</v>
      </c>
      <c r="D375" s="10" t="s">
        <v>93</v>
      </c>
      <c r="E375" s="11" t="s">
        <v>2</v>
      </c>
      <c r="F375" s="12" t="s">
        <v>51</v>
      </c>
      <c r="G375" s="12">
        <v>63</v>
      </c>
      <c r="H375" s="13">
        <f t="shared" si="5"/>
        <v>63</v>
      </c>
    </row>
    <row r="376" spans="1:8" ht="13.5" thickBot="1" x14ac:dyDescent="0.35">
      <c r="B376" s="9">
        <f>COUNT($B$4:B375)+1</f>
        <v>250</v>
      </c>
      <c r="C376" s="10" t="s">
        <v>349</v>
      </c>
      <c r="D376" s="10" t="s">
        <v>93</v>
      </c>
      <c r="E376" s="11" t="s">
        <v>2</v>
      </c>
      <c r="F376" s="12" t="s">
        <v>51</v>
      </c>
      <c r="G376" s="12">
        <v>21</v>
      </c>
      <c r="H376" s="13">
        <f t="shared" si="5"/>
        <v>21</v>
      </c>
    </row>
    <row r="377" spans="1:8" ht="13.5" thickBot="1" x14ac:dyDescent="0.35">
      <c r="B377" s="9">
        <f>COUNT($B$4:B376)+1</f>
        <v>251</v>
      </c>
      <c r="C377" s="10" t="s">
        <v>350</v>
      </c>
      <c r="D377" s="10" t="s">
        <v>93</v>
      </c>
      <c r="E377" s="11" t="s">
        <v>2</v>
      </c>
      <c r="F377" s="12" t="s">
        <v>51</v>
      </c>
      <c r="G377" s="12">
        <v>21</v>
      </c>
      <c r="H377" s="13">
        <f t="shared" si="5"/>
        <v>21</v>
      </c>
    </row>
    <row r="378" spans="1:8" ht="13.5" thickBot="1" x14ac:dyDescent="0.35">
      <c r="B378" s="9">
        <f>COUNT($B$4:B377)+1</f>
        <v>252</v>
      </c>
      <c r="C378" s="10" t="s">
        <v>354</v>
      </c>
      <c r="D378" s="10" t="s">
        <v>93</v>
      </c>
      <c r="E378" s="11" t="s">
        <v>2</v>
      </c>
      <c r="F378" s="12" t="s">
        <v>51</v>
      </c>
      <c r="G378" s="12">
        <v>15</v>
      </c>
      <c r="H378" s="13">
        <f t="shared" si="5"/>
        <v>15</v>
      </c>
    </row>
    <row r="379" spans="1:8" ht="13.5" thickBot="1" x14ac:dyDescent="0.35">
      <c r="B379" s="9">
        <f>COUNT($B$4:B378)+1</f>
        <v>253</v>
      </c>
      <c r="C379" s="10" t="s">
        <v>351</v>
      </c>
      <c r="D379" s="10" t="s">
        <v>93</v>
      </c>
      <c r="E379" s="11" t="s">
        <v>2</v>
      </c>
      <c r="F379" s="12" t="s">
        <v>51</v>
      </c>
      <c r="G379" s="12">
        <v>5</v>
      </c>
      <c r="H379" s="13">
        <f t="shared" si="5"/>
        <v>5</v>
      </c>
    </row>
    <row r="380" spans="1:8" ht="13.5" thickBot="1" x14ac:dyDescent="0.35">
      <c r="B380" s="9">
        <f>COUNT($B$4:B379)+1</f>
        <v>254</v>
      </c>
      <c r="C380" s="10" t="s">
        <v>352</v>
      </c>
      <c r="D380" s="10" t="s">
        <v>93</v>
      </c>
      <c r="E380" s="11" t="s">
        <v>2</v>
      </c>
      <c r="F380" s="12" t="s">
        <v>51</v>
      </c>
      <c r="G380" s="12">
        <v>5</v>
      </c>
      <c r="H380" s="13">
        <f t="shared" si="5"/>
        <v>5</v>
      </c>
    </row>
    <row r="381" spans="1:8" ht="13.5" thickBot="1" x14ac:dyDescent="0.35">
      <c r="B381" s="9">
        <f>COUNT($B$4:B380)+1</f>
        <v>255</v>
      </c>
      <c r="C381" s="10" t="s">
        <v>353</v>
      </c>
      <c r="D381" s="10" t="s">
        <v>93</v>
      </c>
      <c r="E381" s="11" t="s">
        <v>2</v>
      </c>
      <c r="F381" s="12" t="s">
        <v>51</v>
      </c>
      <c r="G381" s="12">
        <v>0</v>
      </c>
      <c r="H381" s="13">
        <f t="shared" si="5"/>
        <v>0</v>
      </c>
    </row>
    <row r="382" spans="1:8" ht="13.5" thickBot="1" x14ac:dyDescent="0.35">
      <c r="B382" s="9">
        <f>COUNT($B$4:B381)+1</f>
        <v>256</v>
      </c>
      <c r="C382" s="10" t="s">
        <v>354</v>
      </c>
      <c r="D382" s="10" t="s">
        <v>93</v>
      </c>
      <c r="E382" s="11" t="s">
        <v>2</v>
      </c>
      <c r="F382" s="12" t="s">
        <v>51</v>
      </c>
      <c r="G382" s="12"/>
      <c r="H382" s="13">
        <f t="shared" si="5"/>
        <v>0</v>
      </c>
    </row>
    <row r="383" spans="1:8" ht="13.5" thickBot="1" x14ac:dyDescent="0.35">
      <c r="B383" s="9">
        <f>COUNT($B$4:B382)+1</f>
        <v>257</v>
      </c>
      <c r="C383" s="10" t="s">
        <v>355</v>
      </c>
      <c r="D383" s="10" t="s">
        <v>93</v>
      </c>
      <c r="E383" s="11" t="s">
        <v>2</v>
      </c>
      <c r="F383" s="12" t="s">
        <v>51</v>
      </c>
      <c r="G383" s="12">
        <v>66</v>
      </c>
      <c r="H383" s="13">
        <f t="shared" si="5"/>
        <v>66</v>
      </c>
    </row>
    <row r="384" spans="1:8" ht="13.5" thickBot="1" x14ac:dyDescent="0.35">
      <c r="B384" s="9">
        <f>COUNT($B$4:B383)+1</f>
        <v>258</v>
      </c>
      <c r="C384" s="10" t="s">
        <v>356</v>
      </c>
      <c r="D384" s="10" t="s">
        <v>93</v>
      </c>
      <c r="E384" s="11" t="s">
        <v>2</v>
      </c>
      <c r="F384" s="12" t="s">
        <v>51</v>
      </c>
      <c r="G384" s="12">
        <v>22</v>
      </c>
      <c r="H384" s="13">
        <f t="shared" si="5"/>
        <v>22</v>
      </c>
    </row>
    <row r="385" spans="2:8" ht="13.5" thickBot="1" x14ac:dyDescent="0.35">
      <c r="B385" s="9">
        <f>COUNT($B$4:B384)+1</f>
        <v>259</v>
      </c>
      <c r="C385" s="10" t="s">
        <v>357</v>
      </c>
      <c r="D385" s="10" t="s">
        <v>93</v>
      </c>
      <c r="E385" s="11" t="s">
        <v>2</v>
      </c>
      <c r="F385" s="12" t="s">
        <v>51</v>
      </c>
      <c r="G385" s="12">
        <v>22</v>
      </c>
      <c r="H385" s="13">
        <f t="shared" si="5"/>
        <v>22</v>
      </c>
    </row>
    <row r="386" spans="2:8" ht="13.5" thickBot="1" x14ac:dyDescent="0.35">
      <c r="B386" s="9">
        <f>COUNT($B$4:B385)+1</f>
        <v>260</v>
      </c>
      <c r="C386" s="10" t="s">
        <v>358</v>
      </c>
      <c r="D386" s="10" t="s">
        <v>93</v>
      </c>
      <c r="E386" s="11" t="s">
        <v>2</v>
      </c>
      <c r="F386" s="12" t="s">
        <v>51</v>
      </c>
      <c r="G386" s="12"/>
      <c r="H386" s="13">
        <f t="shared" si="5"/>
        <v>0</v>
      </c>
    </row>
    <row r="387" spans="2:8" ht="13.5" thickBot="1" x14ac:dyDescent="0.35">
      <c r="B387" s="9">
        <f>COUNT($B$4:B386)+1</f>
        <v>261</v>
      </c>
      <c r="C387" s="10" t="s">
        <v>359</v>
      </c>
      <c r="D387" s="10" t="s">
        <v>93</v>
      </c>
      <c r="E387" s="11" t="s">
        <v>2</v>
      </c>
      <c r="F387" s="12" t="s">
        <v>51</v>
      </c>
      <c r="G387" s="12">
        <v>54</v>
      </c>
      <c r="H387" s="13">
        <f t="shared" si="5"/>
        <v>54</v>
      </c>
    </row>
    <row r="388" spans="2:8" ht="13.5" thickBot="1" x14ac:dyDescent="0.35">
      <c r="B388" s="9">
        <f>COUNT($B$4:B387)+1</f>
        <v>262</v>
      </c>
      <c r="C388" s="10" t="s">
        <v>360</v>
      </c>
      <c r="D388" s="10" t="s">
        <v>93</v>
      </c>
      <c r="E388" s="11" t="s">
        <v>2</v>
      </c>
      <c r="F388" s="12" t="s">
        <v>51</v>
      </c>
      <c r="G388" s="12">
        <v>18</v>
      </c>
      <c r="H388" s="13">
        <f t="shared" si="5"/>
        <v>18</v>
      </c>
    </row>
    <row r="389" spans="2:8" ht="13.5" thickBot="1" x14ac:dyDescent="0.35">
      <c r="B389" s="9">
        <f>COUNT($B$4:B388)+1</f>
        <v>263</v>
      </c>
      <c r="C389" s="10" t="s">
        <v>361</v>
      </c>
      <c r="D389" s="10" t="s">
        <v>93</v>
      </c>
      <c r="E389" s="11" t="s">
        <v>2</v>
      </c>
      <c r="F389" s="12" t="s">
        <v>51</v>
      </c>
      <c r="G389" s="12">
        <v>18</v>
      </c>
      <c r="H389" s="13">
        <f t="shared" ref="H389:H452" si="6">SUM(G389:G389)</f>
        <v>18</v>
      </c>
    </row>
    <row r="390" spans="2:8" ht="13.5" thickBot="1" x14ac:dyDescent="0.35">
      <c r="B390" s="9">
        <f>COUNT($B$4:B389)+1</f>
        <v>264</v>
      </c>
      <c r="C390" s="10" t="s">
        <v>362</v>
      </c>
      <c r="D390" s="10" t="s">
        <v>93</v>
      </c>
      <c r="E390" s="11" t="s">
        <v>2</v>
      </c>
      <c r="F390" s="12" t="s">
        <v>51</v>
      </c>
      <c r="G390" s="12"/>
      <c r="H390" s="13">
        <f t="shared" si="6"/>
        <v>0</v>
      </c>
    </row>
    <row r="391" spans="2:8" ht="13.5" thickBot="1" x14ac:dyDescent="0.35">
      <c r="B391" s="9">
        <f>COUNT($B$4:B390)+1</f>
        <v>265</v>
      </c>
      <c r="C391" s="10" t="s">
        <v>363</v>
      </c>
      <c r="D391" s="10" t="s">
        <v>93</v>
      </c>
      <c r="E391" s="11" t="s">
        <v>2</v>
      </c>
      <c r="F391" s="12" t="s">
        <v>51</v>
      </c>
      <c r="G391" s="12"/>
      <c r="H391" s="13">
        <f t="shared" si="6"/>
        <v>0</v>
      </c>
    </row>
    <row r="392" spans="2:8" ht="13.5" thickBot="1" x14ac:dyDescent="0.35">
      <c r="B392" s="9">
        <f>COUNT($B$4:B391)+1</f>
        <v>266</v>
      </c>
      <c r="C392" s="10" t="s">
        <v>364</v>
      </c>
      <c r="D392" s="10" t="s">
        <v>93</v>
      </c>
      <c r="E392" s="11" t="s">
        <v>2</v>
      </c>
      <c r="F392" s="12" t="s">
        <v>51</v>
      </c>
      <c r="G392" s="12"/>
      <c r="H392" s="13">
        <f t="shared" si="6"/>
        <v>0</v>
      </c>
    </row>
    <row r="393" spans="2:8" ht="13.5" thickBot="1" x14ac:dyDescent="0.35">
      <c r="B393" s="9">
        <f>COUNT($B$4:B392)+1</f>
        <v>267</v>
      </c>
      <c r="C393" s="10" t="s">
        <v>365</v>
      </c>
      <c r="D393" s="10" t="s">
        <v>93</v>
      </c>
      <c r="E393" s="11" t="s">
        <v>2</v>
      </c>
      <c r="F393" s="12" t="s">
        <v>51</v>
      </c>
      <c r="G393" s="12"/>
      <c r="H393" s="13">
        <f t="shared" si="6"/>
        <v>0</v>
      </c>
    </row>
    <row r="394" spans="2:8" ht="13.5" thickBot="1" x14ac:dyDescent="0.35">
      <c r="B394" s="9">
        <f>COUNT($B$4:B393)+1</f>
        <v>268</v>
      </c>
      <c r="C394" s="10" t="s">
        <v>366</v>
      </c>
      <c r="D394" s="10" t="s">
        <v>93</v>
      </c>
      <c r="E394" s="11" t="s">
        <v>2</v>
      </c>
      <c r="F394" s="12" t="s">
        <v>51</v>
      </c>
      <c r="G394" s="12"/>
      <c r="H394" s="13">
        <f t="shared" si="6"/>
        <v>0</v>
      </c>
    </row>
    <row r="395" spans="2:8" ht="13.5" thickBot="1" x14ac:dyDescent="0.35">
      <c r="B395" s="9">
        <f>COUNT($B$4:B394)+1</f>
        <v>269</v>
      </c>
      <c r="C395" s="10" t="s">
        <v>367</v>
      </c>
      <c r="D395" s="10" t="s">
        <v>93</v>
      </c>
      <c r="E395" s="11" t="s">
        <v>2</v>
      </c>
      <c r="F395" s="12" t="s">
        <v>51</v>
      </c>
      <c r="G395" s="12"/>
      <c r="H395" s="13">
        <f t="shared" si="6"/>
        <v>0</v>
      </c>
    </row>
    <row r="396" spans="2:8" ht="13.5" thickBot="1" x14ac:dyDescent="0.35">
      <c r="B396" s="9">
        <f>COUNT($B$4:B395)+1</f>
        <v>270</v>
      </c>
      <c r="C396" s="10" t="s">
        <v>368</v>
      </c>
      <c r="D396" s="10" t="s">
        <v>93</v>
      </c>
      <c r="E396" s="11" t="s">
        <v>2</v>
      </c>
      <c r="F396" s="12" t="s">
        <v>51</v>
      </c>
      <c r="G396" s="12"/>
      <c r="H396" s="13">
        <f t="shared" si="6"/>
        <v>0</v>
      </c>
    </row>
    <row r="397" spans="2:8" ht="13.5" thickBot="1" x14ac:dyDescent="0.35">
      <c r="B397" s="9">
        <f>COUNT($B$4:B396)+1</f>
        <v>271</v>
      </c>
      <c r="C397" s="10" t="s">
        <v>369</v>
      </c>
      <c r="D397" s="10" t="s">
        <v>93</v>
      </c>
      <c r="E397" s="11" t="s">
        <v>2</v>
      </c>
      <c r="F397" s="12" t="s">
        <v>51</v>
      </c>
      <c r="G397" s="12"/>
      <c r="H397" s="13">
        <f t="shared" si="6"/>
        <v>0</v>
      </c>
    </row>
    <row r="398" spans="2:8" ht="13.5" thickBot="1" x14ac:dyDescent="0.35">
      <c r="B398" s="9">
        <f>COUNT($B$4:B397)+1</f>
        <v>272</v>
      </c>
      <c r="C398" s="10" t="s">
        <v>370</v>
      </c>
      <c r="D398" s="10" t="s">
        <v>93</v>
      </c>
      <c r="E398" s="11" t="s">
        <v>2</v>
      </c>
      <c r="F398" s="12" t="s">
        <v>51</v>
      </c>
      <c r="G398" s="12"/>
      <c r="H398" s="13">
        <f t="shared" si="6"/>
        <v>0</v>
      </c>
    </row>
    <row r="399" spans="2:8" ht="13.5" thickBot="1" x14ac:dyDescent="0.35">
      <c r="B399" s="9">
        <f>COUNT($B$4:B398)+1</f>
        <v>273</v>
      </c>
      <c r="C399" s="10" t="s">
        <v>371</v>
      </c>
      <c r="D399" s="10" t="s">
        <v>93</v>
      </c>
      <c r="E399" s="11" t="s">
        <v>2</v>
      </c>
      <c r="F399" s="12" t="s">
        <v>51</v>
      </c>
      <c r="G399" s="12"/>
      <c r="H399" s="13">
        <f t="shared" si="6"/>
        <v>0</v>
      </c>
    </row>
    <row r="400" spans="2:8" ht="13.5" thickBot="1" x14ac:dyDescent="0.35">
      <c r="B400" s="9">
        <f>COUNT($B$4:B399)+1</f>
        <v>274</v>
      </c>
      <c r="C400" s="10" t="s">
        <v>372</v>
      </c>
      <c r="D400" s="10" t="s">
        <v>93</v>
      </c>
      <c r="E400" s="11" t="s">
        <v>2</v>
      </c>
      <c r="F400" s="12" t="s">
        <v>51</v>
      </c>
      <c r="G400" s="12"/>
      <c r="H400" s="13">
        <f t="shared" si="6"/>
        <v>0</v>
      </c>
    </row>
    <row r="401" spans="2:8" ht="13.5" thickBot="1" x14ac:dyDescent="0.35">
      <c r="B401" s="9">
        <f>COUNT($B$4:B400)+1</f>
        <v>275</v>
      </c>
      <c r="C401" s="10" t="s">
        <v>373</v>
      </c>
      <c r="D401" s="10" t="s">
        <v>93</v>
      </c>
      <c r="E401" s="11" t="s">
        <v>2</v>
      </c>
      <c r="F401" s="12" t="s">
        <v>51</v>
      </c>
      <c r="G401" s="12"/>
      <c r="H401" s="13">
        <f t="shared" si="6"/>
        <v>0</v>
      </c>
    </row>
    <row r="402" spans="2:8" ht="13.5" thickBot="1" x14ac:dyDescent="0.35">
      <c r="B402" s="9">
        <f>COUNT($B$4:B401)+1</f>
        <v>276</v>
      </c>
      <c r="C402" s="10" t="s">
        <v>374</v>
      </c>
      <c r="D402" s="10" t="s">
        <v>93</v>
      </c>
      <c r="E402" s="11" t="s">
        <v>2</v>
      </c>
      <c r="F402" s="12" t="s">
        <v>51</v>
      </c>
      <c r="G402" s="12"/>
      <c r="H402" s="13">
        <f t="shared" si="6"/>
        <v>0</v>
      </c>
    </row>
    <row r="403" spans="2:8" ht="13.5" thickBot="1" x14ac:dyDescent="0.35">
      <c r="B403" s="9">
        <f>COUNT($B$4:B402)+1</f>
        <v>277</v>
      </c>
      <c r="C403" s="10" t="s">
        <v>375</v>
      </c>
      <c r="D403" s="10" t="s">
        <v>93</v>
      </c>
      <c r="E403" s="11" t="s">
        <v>2</v>
      </c>
      <c r="F403" s="12" t="s">
        <v>51</v>
      </c>
      <c r="G403" s="12"/>
      <c r="H403" s="13">
        <f t="shared" si="6"/>
        <v>0</v>
      </c>
    </row>
    <row r="404" spans="2:8" ht="13.5" thickBot="1" x14ac:dyDescent="0.35">
      <c r="B404" s="9">
        <f>COUNT($B$4:B403)+1</f>
        <v>278</v>
      </c>
      <c r="C404" s="10" t="s">
        <v>376</v>
      </c>
      <c r="D404" s="10" t="s">
        <v>93</v>
      </c>
      <c r="E404" s="11" t="s">
        <v>2</v>
      </c>
      <c r="F404" s="12" t="s">
        <v>51</v>
      </c>
      <c r="G404" s="12"/>
      <c r="H404" s="13">
        <f t="shared" si="6"/>
        <v>0</v>
      </c>
    </row>
    <row r="405" spans="2:8" ht="13.5" thickBot="1" x14ac:dyDescent="0.35">
      <c r="B405" s="9">
        <f>COUNT($B$4:B404)+1</f>
        <v>279</v>
      </c>
      <c r="C405" s="10" t="s">
        <v>377</v>
      </c>
      <c r="D405" s="10" t="s">
        <v>93</v>
      </c>
      <c r="E405" s="11" t="s">
        <v>2</v>
      </c>
      <c r="F405" s="12" t="s">
        <v>51</v>
      </c>
      <c r="G405" s="12"/>
      <c r="H405" s="13">
        <f t="shared" si="6"/>
        <v>0</v>
      </c>
    </row>
    <row r="406" spans="2:8" ht="13.5" thickBot="1" x14ac:dyDescent="0.35">
      <c r="B406" s="9">
        <f>COUNT($B$4:B405)+1</f>
        <v>280</v>
      </c>
      <c r="C406" s="10" t="s">
        <v>378</v>
      </c>
      <c r="D406" s="10" t="s">
        <v>93</v>
      </c>
      <c r="E406" s="11" t="s">
        <v>2</v>
      </c>
      <c r="F406" s="12" t="s">
        <v>51</v>
      </c>
      <c r="G406" s="12"/>
      <c r="H406" s="13">
        <f t="shared" si="6"/>
        <v>0</v>
      </c>
    </row>
    <row r="407" spans="2:8" ht="13.5" thickBot="1" x14ac:dyDescent="0.35">
      <c r="B407" s="9">
        <f>COUNT($B$4:B406)+1</f>
        <v>281</v>
      </c>
      <c r="C407" s="10" t="s">
        <v>379</v>
      </c>
      <c r="D407" s="10" t="s">
        <v>93</v>
      </c>
      <c r="E407" s="11" t="s">
        <v>2</v>
      </c>
      <c r="F407" s="12" t="s">
        <v>51</v>
      </c>
      <c r="G407" s="12"/>
      <c r="H407" s="13">
        <f t="shared" si="6"/>
        <v>0</v>
      </c>
    </row>
    <row r="408" spans="2:8" ht="13.5" thickBot="1" x14ac:dyDescent="0.35">
      <c r="B408" s="9">
        <f>COUNT($B$4:B407)+1</f>
        <v>282</v>
      </c>
      <c r="C408" s="10" t="s">
        <v>380</v>
      </c>
      <c r="D408" s="10" t="s">
        <v>93</v>
      </c>
      <c r="E408" s="11" t="s">
        <v>2</v>
      </c>
      <c r="F408" s="12" t="s">
        <v>51</v>
      </c>
      <c r="G408" s="12"/>
      <c r="H408" s="13">
        <f t="shared" si="6"/>
        <v>0</v>
      </c>
    </row>
    <row r="409" spans="2:8" ht="13.5" thickBot="1" x14ac:dyDescent="0.35">
      <c r="B409" s="9">
        <f>COUNT($B$4:B408)+1</f>
        <v>283</v>
      </c>
      <c r="C409" s="10" t="s">
        <v>381</v>
      </c>
      <c r="D409" s="10" t="s">
        <v>93</v>
      </c>
      <c r="E409" s="11" t="s">
        <v>2</v>
      </c>
      <c r="F409" s="12" t="s">
        <v>51</v>
      </c>
      <c r="G409" s="12"/>
      <c r="H409" s="13">
        <f t="shared" si="6"/>
        <v>0</v>
      </c>
    </row>
    <row r="410" spans="2:8" ht="13.5" thickBot="1" x14ac:dyDescent="0.35">
      <c r="B410" s="9">
        <f>COUNT($B$4:B409)+1</f>
        <v>284</v>
      </c>
      <c r="C410" s="10" t="s">
        <v>382</v>
      </c>
      <c r="D410" s="10" t="s">
        <v>93</v>
      </c>
      <c r="E410" s="11" t="s">
        <v>2</v>
      </c>
      <c r="F410" s="12" t="s">
        <v>51</v>
      </c>
      <c r="G410" s="12"/>
      <c r="H410" s="13">
        <f t="shared" si="6"/>
        <v>0</v>
      </c>
    </row>
    <row r="411" spans="2:8" ht="13.5" thickBot="1" x14ac:dyDescent="0.35">
      <c r="B411" s="9">
        <f>COUNT($B$4:B410)+1</f>
        <v>285</v>
      </c>
      <c r="C411" s="10" t="s">
        <v>383</v>
      </c>
      <c r="D411" s="10" t="s">
        <v>93</v>
      </c>
      <c r="E411" s="11" t="s">
        <v>2</v>
      </c>
      <c r="F411" s="12" t="s">
        <v>51</v>
      </c>
      <c r="G411" s="12"/>
      <c r="H411" s="13">
        <f t="shared" si="6"/>
        <v>0</v>
      </c>
    </row>
    <row r="412" spans="2:8" ht="13.5" thickBot="1" x14ac:dyDescent="0.35">
      <c r="B412" s="9">
        <f>COUNT($B$4:B411)+1</f>
        <v>286</v>
      </c>
      <c r="C412" s="10" t="s">
        <v>384</v>
      </c>
      <c r="D412" s="10" t="s">
        <v>93</v>
      </c>
      <c r="E412" s="11" t="s">
        <v>2</v>
      </c>
      <c r="F412" s="12" t="s">
        <v>51</v>
      </c>
      <c r="G412" s="12">
        <v>0</v>
      </c>
      <c r="H412" s="13">
        <f t="shared" si="6"/>
        <v>0</v>
      </c>
    </row>
    <row r="413" spans="2:8" ht="13.5" thickBot="1" x14ac:dyDescent="0.35">
      <c r="B413" s="9">
        <f>COUNT($B$4:B412)+1</f>
        <v>287</v>
      </c>
      <c r="C413" s="10" t="s">
        <v>385</v>
      </c>
      <c r="D413" s="10" t="s">
        <v>93</v>
      </c>
      <c r="E413" s="11" t="s">
        <v>2</v>
      </c>
      <c r="F413" s="12" t="s">
        <v>51</v>
      </c>
      <c r="G413" s="12">
        <v>0</v>
      </c>
      <c r="H413" s="13">
        <f t="shared" si="6"/>
        <v>0</v>
      </c>
    </row>
    <row r="414" spans="2:8" ht="13.5" thickBot="1" x14ac:dyDescent="0.35">
      <c r="B414" s="9">
        <f>COUNT($B$4:B413)+1</f>
        <v>288</v>
      </c>
      <c r="C414" s="10" t="s">
        <v>386</v>
      </c>
      <c r="D414" s="10" t="s">
        <v>93</v>
      </c>
      <c r="E414" s="11" t="s">
        <v>2</v>
      </c>
      <c r="F414" s="12" t="s">
        <v>51</v>
      </c>
      <c r="G414" s="12"/>
      <c r="H414" s="13">
        <f t="shared" si="6"/>
        <v>0</v>
      </c>
    </row>
    <row r="415" spans="2:8" ht="13.5" thickBot="1" x14ac:dyDescent="0.35">
      <c r="B415" s="9">
        <f>COUNT($B$4:B414)+1</f>
        <v>289</v>
      </c>
      <c r="C415" s="10" t="s">
        <v>387</v>
      </c>
      <c r="D415" s="10" t="s">
        <v>93</v>
      </c>
      <c r="E415" s="11" t="s">
        <v>2</v>
      </c>
      <c r="F415" s="12" t="s">
        <v>51</v>
      </c>
      <c r="G415" s="12"/>
      <c r="H415" s="13">
        <f t="shared" si="6"/>
        <v>0</v>
      </c>
    </row>
    <row r="416" spans="2:8" ht="13.5" thickBot="1" x14ac:dyDescent="0.35">
      <c r="B416" s="9">
        <f>COUNT($B$4:B415)+1</f>
        <v>290</v>
      </c>
      <c r="C416" s="10" t="s">
        <v>388</v>
      </c>
      <c r="D416" s="10" t="s">
        <v>93</v>
      </c>
      <c r="E416" s="11" t="s">
        <v>2</v>
      </c>
      <c r="F416" s="12" t="s">
        <v>51</v>
      </c>
      <c r="G416" s="12"/>
      <c r="H416" s="13">
        <f t="shared" si="6"/>
        <v>0</v>
      </c>
    </row>
    <row r="417" spans="2:8" ht="13.5" thickBot="1" x14ac:dyDescent="0.35">
      <c r="B417" s="9">
        <f>COUNT($B$4:B416)+1</f>
        <v>291</v>
      </c>
      <c r="C417" s="10" t="s">
        <v>389</v>
      </c>
      <c r="D417" s="10" t="s">
        <v>93</v>
      </c>
      <c r="E417" s="11" t="s">
        <v>2</v>
      </c>
      <c r="F417" s="12" t="s">
        <v>51</v>
      </c>
      <c r="G417" s="12"/>
      <c r="H417" s="13">
        <f t="shared" si="6"/>
        <v>0</v>
      </c>
    </row>
    <row r="418" spans="2:8" ht="13.5" thickBot="1" x14ac:dyDescent="0.35">
      <c r="B418" s="9">
        <f>COUNT($B$4:B417)+1</f>
        <v>292</v>
      </c>
      <c r="C418" s="10" t="s">
        <v>390</v>
      </c>
      <c r="D418" s="10" t="s">
        <v>93</v>
      </c>
      <c r="E418" s="11" t="s">
        <v>2</v>
      </c>
      <c r="F418" s="12" t="s">
        <v>51</v>
      </c>
      <c r="G418" s="12"/>
      <c r="H418" s="13">
        <f t="shared" si="6"/>
        <v>0</v>
      </c>
    </row>
    <row r="419" spans="2:8" ht="13.5" thickBot="1" x14ac:dyDescent="0.35">
      <c r="B419" s="9">
        <f>COUNT($B$4:B418)+1</f>
        <v>293</v>
      </c>
      <c r="C419" s="10" t="s">
        <v>391</v>
      </c>
      <c r="D419" s="10" t="s">
        <v>93</v>
      </c>
      <c r="E419" s="11" t="s">
        <v>2</v>
      </c>
      <c r="F419" s="12" t="s">
        <v>51</v>
      </c>
      <c r="G419" s="12"/>
      <c r="H419" s="13">
        <f t="shared" si="6"/>
        <v>0</v>
      </c>
    </row>
    <row r="420" spans="2:8" ht="13.5" thickBot="1" x14ac:dyDescent="0.35">
      <c r="B420" s="9">
        <f>COUNT($B$4:B419)+1</f>
        <v>294</v>
      </c>
      <c r="C420" s="10" t="s">
        <v>392</v>
      </c>
      <c r="D420" s="10" t="s">
        <v>93</v>
      </c>
      <c r="E420" s="11" t="s">
        <v>2</v>
      </c>
      <c r="F420" s="12" t="s">
        <v>51</v>
      </c>
      <c r="G420" s="12"/>
      <c r="H420" s="13">
        <f t="shared" si="6"/>
        <v>0</v>
      </c>
    </row>
    <row r="421" spans="2:8" ht="13.5" thickBot="1" x14ac:dyDescent="0.35">
      <c r="B421" s="9">
        <f>COUNT($B$4:B420)+1</f>
        <v>295</v>
      </c>
      <c r="C421" s="10" t="s">
        <v>393</v>
      </c>
      <c r="D421" s="10" t="s">
        <v>93</v>
      </c>
      <c r="E421" s="11" t="s">
        <v>2</v>
      </c>
      <c r="F421" s="12" t="s">
        <v>51</v>
      </c>
      <c r="G421" s="12"/>
      <c r="H421" s="13">
        <f t="shared" si="6"/>
        <v>0</v>
      </c>
    </row>
    <row r="422" spans="2:8" ht="13.5" thickBot="1" x14ac:dyDescent="0.35">
      <c r="B422" s="9">
        <f>COUNT($B$4:B421)+1</f>
        <v>296</v>
      </c>
      <c r="C422" s="10" t="s">
        <v>394</v>
      </c>
      <c r="D422" s="10" t="s">
        <v>93</v>
      </c>
      <c r="E422" s="11" t="s">
        <v>2</v>
      </c>
      <c r="F422" s="12" t="s">
        <v>51</v>
      </c>
      <c r="G422" s="12"/>
      <c r="H422" s="13">
        <f t="shared" si="6"/>
        <v>0</v>
      </c>
    </row>
    <row r="423" spans="2:8" ht="13.5" thickBot="1" x14ac:dyDescent="0.35">
      <c r="B423" s="9">
        <f>COUNT($B$4:B422)+1</f>
        <v>297</v>
      </c>
      <c r="C423" s="10" t="s">
        <v>395</v>
      </c>
      <c r="D423" s="10" t="s">
        <v>93</v>
      </c>
      <c r="E423" s="11" t="s">
        <v>2</v>
      </c>
      <c r="F423" s="12" t="s">
        <v>51</v>
      </c>
      <c r="G423" s="12">
        <v>0</v>
      </c>
      <c r="H423" s="13">
        <f t="shared" si="6"/>
        <v>0</v>
      </c>
    </row>
    <row r="424" spans="2:8" ht="13.5" thickBot="1" x14ac:dyDescent="0.35">
      <c r="B424" s="9">
        <f>COUNT($B$4:B423)+1</f>
        <v>298</v>
      </c>
      <c r="C424" s="10" t="s">
        <v>396</v>
      </c>
      <c r="D424" s="10" t="s">
        <v>93</v>
      </c>
      <c r="E424" s="11" t="s">
        <v>2</v>
      </c>
      <c r="F424" s="12" t="s">
        <v>51</v>
      </c>
      <c r="G424" s="12">
        <v>60</v>
      </c>
      <c r="H424" s="13">
        <f t="shared" si="6"/>
        <v>60</v>
      </c>
    </row>
    <row r="425" spans="2:8" ht="13.5" thickBot="1" x14ac:dyDescent="0.35">
      <c r="B425" s="9">
        <f>COUNT($B$4:B424)+1</f>
        <v>299</v>
      </c>
      <c r="C425" s="10" t="s">
        <v>397</v>
      </c>
      <c r="D425" s="10" t="s">
        <v>93</v>
      </c>
      <c r="E425" s="11" t="s">
        <v>2</v>
      </c>
      <c r="F425" s="12" t="s">
        <v>51</v>
      </c>
      <c r="G425" s="12">
        <v>20</v>
      </c>
      <c r="H425" s="13">
        <f t="shared" si="6"/>
        <v>20</v>
      </c>
    </row>
    <row r="426" spans="2:8" ht="13.5" thickBot="1" x14ac:dyDescent="0.35">
      <c r="B426" s="9">
        <f>COUNT($B$4:B425)+1</f>
        <v>300</v>
      </c>
      <c r="C426" s="10" t="s">
        <v>398</v>
      </c>
      <c r="D426" s="10" t="s">
        <v>93</v>
      </c>
      <c r="E426" s="11" t="s">
        <v>2</v>
      </c>
      <c r="F426" s="12" t="s">
        <v>51</v>
      </c>
      <c r="G426" s="12">
        <v>20</v>
      </c>
      <c r="H426" s="13">
        <f t="shared" si="6"/>
        <v>20</v>
      </c>
    </row>
    <row r="427" spans="2:8" ht="13.5" thickBot="1" x14ac:dyDescent="0.35">
      <c r="B427" s="9">
        <f>COUNT($B$4:B426)+1</f>
        <v>301</v>
      </c>
      <c r="C427" s="10" t="s">
        <v>399</v>
      </c>
      <c r="D427" s="10" t="s">
        <v>49</v>
      </c>
      <c r="E427" s="11" t="s">
        <v>6</v>
      </c>
      <c r="F427" s="12" t="s">
        <v>23</v>
      </c>
      <c r="G427" s="12"/>
      <c r="H427" s="13">
        <f t="shared" si="6"/>
        <v>0</v>
      </c>
    </row>
    <row r="428" spans="2:8" ht="13.5" thickBot="1" x14ac:dyDescent="0.35">
      <c r="B428" s="9">
        <f>COUNT($B$4:B427)+1</f>
        <v>302</v>
      </c>
      <c r="C428" s="10" t="s">
        <v>400</v>
      </c>
      <c r="D428" s="10" t="s">
        <v>49</v>
      </c>
      <c r="E428" s="11" t="s">
        <v>6</v>
      </c>
      <c r="F428" s="12" t="s">
        <v>23</v>
      </c>
      <c r="G428" s="12"/>
      <c r="H428" s="13">
        <f t="shared" si="6"/>
        <v>0</v>
      </c>
    </row>
    <row r="429" spans="2:8" ht="13.5" thickBot="1" x14ac:dyDescent="0.35">
      <c r="B429" s="9">
        <f>COUNT($B$4:B428)+1</f>
        <v>303</v>
      </c>
      <c r="C429" s="10" t="s">
        <v>401</v>
      </c>
      <c r="D429" s="10" t="s">
        <v>49</v>
      </c>
      <c r="E429" s="11" t="s">
        <v>6</v>
      </c>
      <c r="F429" s="12" t="s">
        <v>23</v>
      </c>
      <c r="G429" s="12"/>
      <c r="H429" s="13">
        <f t="shared" si="6"/>
        <v>0</v>
      </c>
    </row>
    <row r="430" spans="2:8" ht="13.5" thickBot="1" x14ac:dyDescent="0.35">
      <c r="B430" s="9">
        <f>COUNT($B$4:B429)+1</f>
        <v>304</v>
      </c>
      <c r="C430" s="10" t="s">
        <v>402</v>
      </c>
      <c r="D430" s="10"/>
      <c r="E430" s="11" t="s">
        <v>3</v>
      </c>
      <c r="F430" s="12" t="s">
        <v>23</v>
      </c>
      <c r="G430" s="12"/>
      <c r="H430" s="13">
        <f t="shared" si="6"/>
        <v>0</v>
      </c>
    </row>
    <row r="431" spans="2:8" ht="13.5" thickBot="1" x14ac:dyDescent="0.35">
      <c r="B431" s="9"/>
      <c r="C431" s="14" t="s">
        <v>24</v>
      </c>
      <c r="D431" s="15" t="s">
        <v>25</v>
      </c>
      <c r="E431" s="16" t="s">
        <v>9</v>
      </c>
      <c r="F431" s="17" t="s">
        <v>23</v>
      </c>
      <c r="G431" s="17">
        <f>G430</f>
        <v>0</v>
      </c>
      <c r="H431" s="13">
        <f t="shared" si="6"/>
        <v>0</v>
      </c>
    </row>
    <row r="432" spans="2:8" ht="13.5" thickBot="1" x14ac:dyDescent="0.35">
      <c r="B432" s="9"/>
      <c r="C432" s="14" t="s">
        <v>403</v>
      </c>
      <c r="D432" s="14" t="s">
        <v>302</v>
      </c>
      <c r="E432" s="16" t="s">
        <v>9</v>
      </c>
      <c r="F432" s="17" t="s">
        <v>23</v>
      </c>
      <c r="G432" s="17">
        <f>G430</f>
        <v>0</v>
      </c>
      <c r="H432" s="13">
        <f t="shared" si="6"/>
        <v>0</v>
      </c>
    </row>
    <row r="433" spans="2:8" ht="13.5" thickBot="1" x14ac:dyDescent="0.35">
      <c r="B433" s="9"/>
      <c r="C433" s="14" t="s">
        <v>404</v>
      </c>
      <c r="D433" s="14" t="s">
        <v>302</v>
      </c>
      <c r="E433" s="18" t="s">
        <v>3</v>
      </c>
      <c r="F433" s="17" t="s">
        <v>23</v>
      </c>
      <c r="G433" s="17">
        <f>G430</f>
        <v>0</v>
      </c>
      <c r="H433" s="13">
        <f t="shared" si="6"/>
        <v>0</v>
      </c>
    </row>
    <row r="434" spans="2:8" ht="13.5" thickBot="1" x14ac:dyDescent="0.35">
      <c r="B434" s="9"/>
      <c r="C434" s="14" t="s">
        <v>405</v>
      </c>
      <c r="D434" s="14" t="s">
        <v>302</v>
      </c>
      <c r="E434" s="18" t="s">
        <v>3</v>
      </c>
      <c r="F434" s="17" t="s">
        <v>23</v>
      </c>
      <c r="G434" s="17">
        <f>G432</f>
        <v>0</v>
      </c>
      <c r="H434" s="13">
        <f t="shared" si="6"/>
        <v>0</v>
      </c>
    </row>
    <row r="435" spans="2:8" ht="13.5" thickBot="1" x14ac:dyDescent="0.35">
      <c r="B435" s="9"/>
      <c r="C435" s="14" t="s">
        <v>406</v>
      </c>
      <c r="D435" s="14" t="s">
        <v>302</v>
      </c>
      <c r="E435" s="16" t="s">
        <v>9</v>
      </c>
      <c r="F435" s="17" t="s">
        <v>23</v>
      </c>
      <c r="G435" s="17">
        <f>G430</f>
        <v>0</v>
      </c>
      <c r="H435" s="13">
        <f t="shared" si="6"/>
        <v>0</v>
      </c>
    </row>
    <row r="436" spans="2:8" ht="13.5" thickBot="1" x14ac:dyDescent="0.35">
      <c r="B436" s="9">
        <f>COUNT($B$4:B435)+1</f>
        <v>305</v>
      </c>
      <c r="C436" s="10" t="s">
        <v>407</v>
      </c>
      <c r="D436" s="10"/>
      <c r="E436" s="11" t="s">
        <v>3</v>
      </c>
      <c r="F436" s="12" t="s">
        <v>23</v>
      </c>
      <c r="G436" s="12"/>
      <c r="H436" s="13">
        <f t="shared" si="6"/>
        <v>0</v>
      </c>
    </row>
    <row r="437" spans="2:8" ht="13.5" thickBot="1" x14ac:dyDescent="0.35">
      <c r="B437" s="9"/>
      <c r="C437" s="14" t="s">
        <v>24</v>
      </c>
      <c r="D437" s="15" t="s">
        <v>25</v>
      </c>
      <c r="E437" s="16" t="s">
        <v>9</v>
      </c>
      <c r="F437" s="17" t="s">
        <v>23</v>
      </c>
      <c r="G437" s="17">
        <f>G436</f>
        <v>0</v>
      </c>
      <c r="H437" s="13">
        <f t="shared" si="6"/>
        <v>0</v>
      </c>
    </row>
    <row r="438" spans="2:8" ht="13.5" thickBot="1" x14ac:dyDescent="0.35">
      <c r="B438" s="9"/>
      <c r="C438" s="14" t="s">
        <v>403</v>
      </c>
      <c r="D438" s="14" t="s">
        <v>302</v>
      </c>
      <c r="E438" s="16" t="s">
        <v>9</v>
      </c>
      <c r="F438" s="17" t="s">
        <v>23</v>
      </c>
      <c r="G438" s="17">
        <f>G436</f>
        <v>0</v>
      </c>
      <c r="H438" s="13">
        <f t="shared" si="6"/>
        <v>0</v>
      </c>
    </row>
    <row r="439" spans="2:8" ht="13.5" thickBot="1" x14ac:dyDescent="0.35">
      <c r="B439" s="9"/>
      <c r="C439" s="14" t="s">
        <v>408</v>
      </c>
      <c r="D439" s="14" t="s">
        <v>302</v>
      </c>
      <c r="E439" s="18" t="s">
        <v>3</v>
      </c>
      <c r="F439" s="17" t="s">
        <v>23</v>
      </c>
      <c r="G439" s="17">
        <f>G436</f>
        <v>0</v>
      </c>
      <c r="H439" s="13">
        <f t="shared" si="6"/>
        <v>0</v>
      </c>
    </row>
    <row r="440" spans="2:8" ht="13.5" thickBot="1" x14ac:dyDescent="0.35">
      <c r="B440" s="9"/>
      <c r="C440" s="14" t="s">
        <v>409</v>
      </c>
      <c r="D440" s="14" t="s">
        <v>302</v>
      </c>
      <c r="E440" s="18" t="s">
        <v>3</v>
      </c>
      <c r="F440" s="17" t="s">
        <v>23</v>
      </c>
      <c r="G440" s="17">
        <f>G436</f>
        <v>0</v>
      </c>
      <c r="H440" s="13">
        <f t="shared" si="6"/>
        <v>0</v>
      </c>
    </row>
    <row r="441" spans="2:8" ht="13.5" thickBot="1" x14ac:dyDescent="0.35">
      <c r="B441" s="9"/>
      <c r="C441" s="14" t="s">
        <v>406</v>
      </c>
      <c r="D441" s="14" t="s">
        <v>302</v>
      </c>
      <c r="E441" s="16" t="s">
        <v>9</v>
      </c>
      <c r="F441" s="17" t="s">
        <v>23</v>
      </c>
      <c r="G441" s="17">
        <f>G436</f>
        <v>0</v>
      </c>
      <c r="H441" s="13">
        <f t="shared" si="6"/>
        <v>0</v>
      </c>
    </row>
    <row r="442" spans="2:8" ht="13.5" thickBot="1" x14ac:dyDescent="0.35">
      <c r="B442" s="9">
        <f>COUNT($B$4:B441)+1</f>
        <v>306</v>
      </c>
      <c r="C442" s="10" t="s">
        <v>410</v>
      </c>
      <c r="D442" s="10"/>
      <c r="E442" s="11" t="s">
        <v>3</v>
      </c>
      <c r="F442" s="12" t="s">
        <v>23</v>
      </c>
      <c r="G442" s="12"/>
      <c r="H442" s="13">
        <f t="shared" si="6"/>
        <v>0</v>
      </c>
    </row>
    <row r="443" spans="2:8" ht="13.5" thickBot="1" x14ac:dyDescent="0.35">
      <c r="B443" s="9"/>
      <c r="C443" s="14" t="s">
        <v>24</v>
      </c>
      <c r="D443" s="15" t="s">
        <v>25</v>
      </c>
      <c r="E443" s="16" t="s">
        <v>9</v>
      </c>
      <c r="F443" s="17" t="s">
        <v>23</v>
      </c>
      <c r="G443" s="17">
        <f>G442</f>
        <v>0</v>
      </c>
      <c r="H443" s="13">
        <f t="shared" si="6"/>
        <v>0</v>
      </c>
    </row>
    <row r="444" spans="2:8" ht="13.5" thickBot="1" x14ac:dyDescent="0.35">
      <c r="B444" s="9"/>
      <c r="C444" s="14" t="s">
        <v>403</v>
      </c>
      <c r="D444" s="14" t="s">
        <v>302</v>
      </c>
      <c r="E444" s="16" t="s">
        <v>9</v>
      </c>
      <c r="F444" s="17" t="s">
        <v>23</v>
      </c>
      <c r="G444" s="17">
        <f>G442</f>
        <v>0</v>
      </c>
      <c r="H444" s="13">
        <f t="shared" si="6"/>
        <v>0</v>
      </c>
    </row>
    <row r="445" spans="2:8" ht="13.5" thickBot="1" x14ac:dyDescent="0.35">
      <c r="B445" s="9"/>
      <c r="C445" s="14" t="s">
        <v>411</v>
      </c>
      <c r="D445" s="14" t="s">
        <v>302</v>
      </c>
      <c r="E445" s="18" t="s">
        <v>3</v>
      </c>
      <c r="F445" s="17" t="s">
        <v>23</v>
      </c>
      <c r="G445" s="17">
        <f>G442</f>
        <v>0</v>
      </c>
      <c r="H445" s="13">
        <f t="shared" si="6"/>
        <v>0</v>
      </c>
    </row>
    <row r="446" spans="2:8" ht="13.5" thickBot="1" x14ac:dyDescent="0.35">
      <c r="B446" s="9"/>
      <c r="C446" s="14" t="s">
        <v>408</v>
      </c>
      <c r="D446" s="14" t="s">
        <v>302</v>
      </c>
      <c r="E446" s="18" t="s">
        <v>3</v>
      </c>
      <c r="F446" s="17" t="s">
        <v>23</v>
      </c>
      <c r="G446" s="17">
        <f>G442</f>
        <v>0</v>
      </c>
      <c r="H446" s="13">
        <f t="shared" si="6"/>
        <v>0</v>
      </c>
    </row>
    <row r="447" spans="2:8" ht="13.5" thickBot="1" x14ac:dyDescent="0.35">
      <c r="B447" s="9"/>
      <c r="C447" s="14" t="s">
        <v>406</v>
      </c>
      <c r="D447" s="14" t="s">
        <v>302</v>
      </c>
      <c r="E447" s="16" t="s">
        <v>9</v>
      </c>
      <c r="F447" s="17" t="s">
        <v>23</v>
      </c>
      <c r="G447" s="17">
        <f>G442</f>
        <v>0</v>
      </c>
      <c r="H447" s="13">
        <f t="shared" si="6"/>
        <v>0</v>
      </c>
    </row>
    <row r="448" spans="2:8" ht="13.5" thickBot="1" x14ac:dyDescent="0.35">
      <c r="B448" s="9">
        <f>COUNT($B$4:B447)+1</f>
        <v>307</v>
      </c>
      <c r="C448" s="10" t="s">
        <v>412</v>
      </c>
      <c r="D448" s="10"/>
      <c r="E448" s="11" t="s">
        <v>3</v>
      </c>
      <c r="F448" s="12" t="s">
        <v>23</v>
      </c>
      <c r="G448" s="12"/>
      <c r="H448" s="13">
        <f t="shared" si="6"/>
        <v>0</v>
      </c>
    </row>
    <row r="449" spans="2:8" ht="13.5" thickBot="1" x14ac:dyDescent="0.35">
      <c r="B449" s="9"/>
      <c r="C449" s="14" t="s">
        <v>24</v>
      </c>
      <c r="D449" s="15" t="s">
        <v>25</v>
      </c>
      <c r="E449" s="16" t="s">
        <v>9</v>
      </c>
      <c r="F449" s="17" t="s">
        <v>23</v>
      </c>
      <c r="G449" s="17">
        <f>G448</f>
        <v>0</v>
      </c>
      <c r="H449" s="13">
        <f t="shared" si="6"/>
        <v>0</v>
      </c>
    </row>
    <row r="450" spans="2:8" ht="13.5" thickBot="1" x14ac:dyDescent="0.35">
      <c r="B450" s="9"/>
      <c r="C450" s="14" t="s">
        <v>403</v>
      </c>
      <c r="D450" s="14" t="s">
        <v>302</v>
      </c>
      <c r="E450" s="16" t="s">
        <v>9</v>
      </c>
      <c r="F450" s="17" t="s">
        <v>23</v>
      </c>
      <c r="G450" s="17">
        <f>G448</f>
        <v>0</v>
      </c>
      <c r="H450" s="13">
        <f t="shared" si="6"/>
        <v>0</v>
      </c>
    </row>
    <row r="451" spans="2:8" ht="13.5" thickBot="1" x14ac:dyDescent="0.35">
      <c r="B451" s="9"/>
      <c r="C451" s="14" t="s">
        <v>405</v>
      </c>
      <c r="D451" s="14" t="s">
        <v>302</v>
      </c>
      <c r="E451" s="18" t="s">
        <v>3</v>
      </c>
      <c r="F451" s="17" t="s">
        <v>23</v>
      </c>
      <c r="G451" s="17">
        <f>G448</f>
        <v>0</v>
      </c>
      <c r="H451" s="13">
        <f t="shared" si="6"/>
        <v>0</v>
      </c>
    </row>
    <row r="452" spans="2:8" ht="13.5" thickBot="1" x14ac:dyDescent="0.35">
      <c r="B452" s="9"/>
      <c r="C452" s="14" t="s">
        <v>413</v>
      </c>
      <c r="D452" s="14" t="s">
        <v>302</v>
      </c>
      <c r="E452" s="18" t="s">
        <v>3</v>
      </c>
      <c r="F452" s="17" t="s">
        <v>23</v>
      </c>
      <c r="G452" s="17">
        <f>G448</f>
        <v>0</v>
      </c>
      <c r="H452" s="13">
        <f t="shared" si="6"/>
        <v>0</v>
      </c>
    </row>
    <row r="453" spans="2:8" ht="13.5" thickBot="1" x14ac:dyDescent="0.35">
      <c r="B453" s="9"/>
      <c r="C453" s="14" t="s">
        <v>406</v>
      </c>
      <c r="D453" s="14" t="s">
        <v>302</v>
      </c>
      <c r="E453" s="16" t="s">
        <v>9</v>
      </c>
      <c r="F453" s="17" t="s">
        <v>23</v>
      </c>
      <c r="G453" s="17">
        <f>G448</f>
        <v>0</v>
      </c>
      <c r="H453" s="13">
        <f t="shared" ref="H453:H516" si="7">SUM(G453:G453)</f>
        <v>0</v>
      </c>
    </row>
    <row r="454" spans="2:8" ht="13.5" thickBot="1" x14ac:dyDescent="0.35">
      <c r="B454" s="9">
        <f>COUNT($B$4:B453)+1</f>
        <v>308</v>
      </c>
      <c r="C454" s="10" t="s">
        <v>414</v>
      </c>
      <c r="D454" s="10"/>
      <c r="E454" s="11" t="s">
        <v>3</v>
      </c>
      <c r="F454" s="12" t="s">
        <v>23</v>
      </c>
      <c r="G454" s="12"/>
      <c r="H454" s="13">
        <f t="shared" si="7"/>
        <v>0</v>
      </c>
    </row>
    <row r="455" spans="2:8" ht="13.5" thickBot="1" x14ac:dyDescent="0.35">
      <c r="B455" s="9"/>
      <c r="C455" s="14" t="s">
        <v>41</v>
      </c>
      <c r="D455" s="14" t="s">
        <v>42</v>
      </c>
      <c r="E455" s="16" t="s">
        <v>9</v>
      </c>
      <c r="F455" s="17" t="s">
        <v>23</v>
      </c>
      <c r="G455" s="17">
        <f>G454</f>
        <v>0</v>
      </c>
      <c r="H455" s="13">
        <f t="shared" si="7"/>
        <v>0</v>
      </c>
    </row>
    <row r="456" spans="2:8" ht="13.5" thickBot="1" x14ac:dyDescent="0.35">
      <c r="B456" s="9"/>
      <c r="C456" s="14" t="s">
        <v>415</v>
      </c>
      <c r="D456" s="14" t="s">
        <v>42</v>
      </c>
      <c r="E456" s="16" t="s">
        <v>9</v>
      </c>
      <c r="F456" s="17" t="s">
        <v>23</v>
      </c>
      <c r="G456" s="17">
        <f>G454</f>
        <v>0</v>
      </c>
      <c r="H456" s="13">
        <f t="shared" si="7"/>
        <v>0</v>
      </c>
    </row>
    <row r="457" spans="2:8" ht="13.5" thickBot="1" x14ac:dyDescent="0.35">
      <c r="B457" s="9"/>
      <c r="C457" s="14" t="s">
        <v>416</v>
      </c>
      <c r="D457" s="14" t="s">
        <v>42</v>
      </c>
      <c r="E457" s="18" t="s">
        <v>3</v>
      </c>
      <c r="F457" s="17" t="s">
        <v>23</v>
      </c>
      <c r="G457" s="17">
        <f>G454</f>
        <v>0</v>
      </c>
      <c r="H457" s="13">
        <f t="shared" si="7"/>
        <v>0</v>
      </c>
    </row>
    <row r="458" spans="2:8" ht="13.5" thickBot="1" x14ac:dyDescent="0.35">
      <c r="B458" s="9"/>
      <c r="C458" s="14" t="s">
        <v>417</v>
      </c>
      <c r="D458" s="14" t="s">
        <v>42</v>
      </c>
      <c r="E458" s="18" t="s">
        <v>3</v>
      </c>
      <c r="F458" s="17" t="s">
        <v>23</v>
      </c>
      <c r="G458" s="17">
        <f>G454</f>
        <v>0</v>
      </c>
      <c r="H458" s="13">
        <f t="shared" si="7"/>
        <v>0</v>
      </c>
    </row>
    <row r="459" spans="2:8" ht="13.5" thickBot="1" x14ac:dyDescent="0.35">
      <c r="B459" s="9"/>
      <c r="C459" s="14" t="s">
        <v>418</v>
      </c>
      <c r="D459" s="14" t="s">
        <v>42</v>
      </c>
      <c r="E459" s="16" t="s">
        <v>9</v>
      </c>
      <c r="F459" s="17" t="s">
        <v>23</v>
      </c>
      <c r="G459" s="17">
        <f>G454</f>
        <v>0</v>
      </c>
      <c r="H459" s="13">
        <f t="shared" si="7"/>
        <v>0</v>
      </c>
    </row>
    <row r="460" spans="2:8" ht="13.5" thickBot="1" x14ac:dyDescent="0.35">
      <c r="B460" s="9">
        <f>COUNT($B$4:B459)+1</f>
        <v>309</v>
      </c>
      <c r="C460" s="10" t="s">
        <v>419</v>
      </c>
      <c r="D460" s="10"/>
      <c r="E460" s="11" t="s">
        <v>3</v>
      </c>
      <c r="F460" s="12" t="s">
        <v>23</v>
      </c>
      <c r="G460" s="12"/>
      <c r="H460" s="13">
        <f t="shared" si="7"/>
        <v>0</v>
      </c>
    </row>
    <row r="461" spans="2:8" ht="13.5" thickBot="1" x14ac:dyDescent="0.35">
      <c r="B461" s="9"/>
      <c r="C461" s="14" t="s">
        <v>24</v>
      </c>
      <c r="D461" s="15" t="s">
        <v>25</v>
      </c>
      <c r="E461" s="16" t="s">
        <v>9</v>
      </c>
      <c r="F461" s="17" t="s">
        <v>23</v>
      </c>
      <c r="G461" s="17">
        <f>G460</f>
        <v>0</v>
      </c>
      <c r="H461" s="13">
        <f t="shared" si="7"/>
        <v>0</v>
      </c>
    </row>
    <row r="462" spans="2:8" ht="13.5" thickBot="1" x14ac:dyDescent="0.35">
      <c r="B462" s="9"/>
      <c r="C462" s="14" t="s">
        <v>420</v>
      </c>
      <c r="D462" s="14" t="s">
        <v>302</v>
      </c>
      <c r="E462" s="16" t="s">
        <v>9</v>
      </c>
      <c r="F462" s="17" t="s">
        <v>23</v>
      </c>
      <c r="G462" s="17">
        <f>G460</f>
        <v>0</v>
      </c>
      <c r="H462" s="13">
        <f t="shared" si="7"/>
        <v>0</v>
      </c>
    </row>
    <row r="463" spans="2:8" ht="13.5" thickBot="1" x14ac:dyDescent="0.35">
      <c r="B463" s="9"/>
      <c r="C463" s="14" t="s">
        <v>404</v>
      </c>
      <c r="D463" s="14" t="s">
        <v>302</v>
      </c>
      <c r="E463" s="18" t="s">
        <v>3</v>
      </c>
      <c r="F463" s="17" t="s">
        <v>23</v>
      </c>
      <c r="G463" s="17">
        <f>G460*2</f>
        <v>0</v>
      </c>
      <c r="H463" s="13">
        <f t="shared" si="7"/>
        <v>0</v>
      </c>
    </row>
    <row r="464" spans="2:8" ht="13.5" thickBot="1" x14ac:dyDescent="0.35">
      <c r="B464" s="9"/>
      <c r="C464" s="14" t="s">
        <v>405</v>
      </c>
      <c r="D464" s="14" t="s">
        <v>302</v>
      </c>
      <c r="E464" s="18" t="s">
        <v>3</v>
      </c>
      <c r="F464" s="17" t="s">
        <v>23</v>
      </c>
      <c r="G464" s="17">
        <f>G460</f>
        <v>0</v>
      </c>
      <c r="H464" s="13">
        <f t="shared" si="7"/>
        <v>0</v>
      </c>
    </row>
    <row r="465" spans="2:8" ht="13.5" thickBot="1" x14ac:dyDescent="0.35">
      <c r="B465" s="9"/>
      <c r="C465" s="14" t="s">
        <v>406</v>
      </c>
      <c r="D465" s="14" t="s">
        <v>302</v>
      </c>
      <c r="E465" s="16" t="s">
        <v>9</v>
      </c>
      <c r="F465" s="17" t="s">
        <v>23</v>
      </c>
      <c r="G465" s="17">
        <f>G460</f>
        <v>0</v>
      </c>
      <c r="H465" s="13">
        <f t="shared" si="7"/>
        <v>0</v>
      </c>
    </row>
    <row r="466" spans="2:8" ht="13.5" thickBot="1" x14ac:dyDescent="0.35">
      <c r="B466" s="9">
        <f>COUNT($B$4:B465)+1</f>
        <v>310</v>
      </c>
      <c r="C466" s="10" t="s">
        <v>421</v>
      </c>
      <c r="D466" s="10"/>
      <c r="E466" s="11" t="s">
        <v>3</v>
      </c>
      <c r="F466" s="12" t="s">
        <v>23</v>
      </c>
      <c r="G466" s="12"/>
      <c r="H466" s="13">
        <f t="shared" si="7"/>
        <v>0</v>
      </c>
    </row>
    <row r="467" spans="2:8" ht="13.5" thickBot="1" x14ac:dyDescent="0.35">
      <c r="B467" s="9"/>
      <c r="C467" s="14" t="s">
        <v>24</v>
      </c>
      <c r="D467" s="15" t="s">
        <v>25</v>
      </c>
      <c r="E467" s="16" t="s">
        <v>9</v>
      </c>
      <c r="F467" s="17" t="s">
        <v>23</v>
      </c>
      <c r="G467" s="17">
        <f>G466</f>
        <v>0</v>
      </c>
      <c r="H467" s="13">
        <f t="shared" si="7"/>
        <v>0</v>
      </c>
    </row>
    <row r="468" spans="2:8" ht="13.5" thickBot="1" x14ac:dyDescent="0.35">
      <c r="B468" s="9"/>
      <c r="C468" s="14" t="s">
        <v>403</v>
      </c>
      <c r="D468" s="14" t="s">
        <v>302</v>
      </c>
      <c r="E468" s="16" t="s">
        <v>9</v>
      </c>
      <c r="F468" s="17" t="s">
        <v>23</v>
      </c>
      <c r="G468" s="17">
        <f>G466</f>
        <v>0</v>
      </c>
      <c r="H468" s="13">
        <f t="shared" si="7"/>
        <v>0</v>
      </c>
    </row>
    <row r="469" spans="2:8" ht="13.5" thickBot="1" x14ac:dyDescent="0.35">
      <c r="B469" s="9"/>
      <c r="C469" s="14" t="s">
        <v>409</v>
      </c>
      <c r="D469" s="14" t="s">
        <v>302</v>
      </c>
      <c r="E469" s="18" t="s">
        <v>3</v>
      </c>
      <c r="F469" s="17" t="s">
        <v>23</v>
      </c>
      <c r="G469" s="17">
        <f>G466*2</f>
        <v>0</v>
      </c>
      <c r="H469" s="13">
        <f t="shared" si="7"/>
        <v>0</v>
      </c>
    </row>
    <row r="470" spans="2:8" ht="13.5" thickBot="1" x14ac:dyDescent="0.35">
      <c r="B470" s="9"/>
      <c r="C470" s="14" t="s">
        <v>406</v>
      </c>
      <c r="D470" s="14" t="s">
        <v>302</v>
      </c>
      <c r="E470" s="16" t="s">
        <v>9</v>
      </c>
      <c r="F470" s="17" t="s">
        <v>23</v>
      </c>
      <c r="G470" s="17">
        <f>G466</f>
        <v>0</v>
      </c>
      <c r="H470" s="13">
        <f t="shared" si="7"/>
        <v>0</v>
      </c>
    </row>
    <row r="471" spans="2:8" ht="13.5" thickBot="1" x14ac:dyDescent="0.35">
      <c r="B471" s="9">
        <f>COUNT($B$4:B470)+1</f>
        <v>311</v>
      </c>
      <c r="C471" s="10" t="s">
        <v>422</v>
      </c>
      <c r="D471" s="10"/>
      <c r="E471" s="11" t="s">
        <v>3</v>
      </c>
      <c r="F471" s="12" t="s">
        <v>23</v>
      </c>
      <c r="G471" s="12"/>
      <c r="H471" s="13">
        <f t="shared" si="7"/>
        <v>0</v>
      </c>
    </row>
    <row r="472" spans="2:8" ht="13.5" thickBot="1" x14ac:dyDescent="0.35">
      <c r="B472" s="9"/>
      <c r="C472" s="14" t="s">
        <v>24</v>
      </c>
      <c r="D472" s="15" t="s">
        <v>25</v>
      </c>
      <c r="E472" s="16" t="s">
        <v>9</v>
      </c>
      <c r="F472" s="17" t="s">
        <v>23</v>
      </c>
      <c r="G472" s="17">
        <f>G471</f>
        <v>0</v>
      </c>
      <c r="H472" s="13">
        <f t="shared" si="7"/>
        <v>0</v>
      </c>
    </row>
    <row r="473" spans="2:8" ht="13.5" thickBot="1" x14ac:dyDescent="0.35">
      <c r="B473" s="9"/>
      <c r="C473" s="14" t="s">
        <v>403</v>
      </c>
      <c r="D473" s="14" t="s">
        <v>302</v>
      </c>
      <c r="E473" s="16" t="s">
        <v>9</v>
      </c>
      <c r="F473" s="17" t="s">
        <v>23</v>
      </c>
      <c r="G473" s="17">
        <f>G471</f>
        <v>0</v>
      </c>
      <c r="H473" s="13">
        <f t="shared" si="7"/>
        <v>0</v>
      </c>
    </row>
    <row r="474" spans="2:8" ht="13.5" thickBot="1" x14ac:dyDescent="0.35">
      <c r="B474" s="9"/>
      <c r="C474" s="14" t="s">
        <v>423</v>
      </c>
      <c r="D474" s="14" t="s">
        <v>302</v>
      </c>
      <c r="E474" s="18" t="s">
        <v>3</v>
      </c>
      <c r="F474" s="17" t="s">
        <v>23</v>
      </c>
      <c r="G474" s="17">
        <f>G471*2</f>
        <v>0</v>
      </c>
      <c r="H474" s="13">
        <f t="shared" si="7"/>
        <v>0</v>
      </c>
    </row>
    <row r="475" spans="2:8" ht="13.5" thickBot="1" x14ac:dyDescent="0.35">
      <c r="B475" s="9"/>
      <c r="C475" s="14" t="s">
        <v>406</v>
      </c>
      <c r="D475" s="14" t="s">
        <v>302</v>
      </c>
      <c r="E475" s="16" t="s">
        <v>9</v>
      </c>
      <c r="F475" s="17" t="s">
        <v>23</v>
      </c>
      <c r="G475" s="17">
        <f>G471</f>
        <v>0</v>
      </c>
      <c r="H475" s="13">
        <f t="shared" si="7"/>
        <v>0</v>
      </c>
    </row>
    <row r="476" spans="2:8" ht="13.5" thickBot="1" x14ac:dyDescent="0.35">
      <c r="B476" s="9">
        <f>COUNT($B$4:B475)+1</f>
        <v>312</v>
      </c>
      <c r="C476" s="10" t="s">
        <v>424</v>
      </c>
      <c r="D476" s="10"/>
      <c r="E476" s="11" t="s">
        <v>3</v>
      </c>
      <c r="F476" s="12" t="s">
        <v>23</v>
      </c>
      <c r="G476" s="12"/>
      <c r="H476" s="13">
        <f t="shared" si="7"/>
        <v>0</v>
      </c>
    </row>
    <row r="477" spans="2:8" ht="13.5" thickBot="1" x14ac:dyDescent="0.35">
      <c r="B477" s="9"/>
      <c r="C477" s="14" t="s">
        <v>24</v>
      </c>
      <c r="D477" s="15" t="s">
        <v>25</v>
      </c>
      <c r="E477" s="16" t="s">
        <v>9</v>
      </c>
      <c r="F477" s="17" t="s">
        <v>23</v>
      </c>
      <c r="G477" s="17">
        <f>G476</f>
        <v>0</v>
      </c>
      <c r="H477" s="13">
        <f t="shared" si="7"/>
        <v>0</v>
      </c>
    </row>
    <row r="478" spans="2:8" ht="13.5" thickBot="1" x14ac:dyDescent="0.35">
      <c r="B478" s="9"/>
      <c r="C478" s="14" t="s">
        <v>403</v>
      </c>
      <c r="D478" s="14" t="s">
        <v>302</v>
      </c>
      <c r="E478" s="16" t="s">
        <v>9</v>
      </c>
      <c r="F478" s="17" t="s">
        <v>23</v>
      </c>
      <c r="G478" s="17">
        <f>G476</f>
        <v>0</v>
      </c>
      <c r="H478" s="13">
        <f t="shared" si="7"/>
        <v>0</v>
      </c>
    </row>
    <row r="479" spans="2:8" ht="13.5" thickBot="1" x14ac:dyDescent="0.35">
      <c r="B479" s="9"/>
      <c r="C479" s="14" t="s">
        <v>425</v>
      </c>
      <c r="D479" s="14" t="s">
        <v>302</v>
      </c>
      <c r="E479" s="18" t="s">
        <v>3</v>
      </c>
      <c r="F479" s="17" t="s">
        <v>23</v>
      </c>
      <c r="G479" s="17">
        <f>G476*2</f>
        <v>0</v>
      </c>
      <c r="H479" s="13">
        <f t="shared" si="7"/>
        <v>0</v>
      </c>
    </row>
    <row r="480" spans="2:8" ht="13.5" thickBot="1" x14ac:dyDescent="0.35">
      <c r="B480" s="9"/>
      <c r="C480" s="14" t="s">
        <v>406</v>
      </c>
      <c r="D480" s="14" t="s">
        <v>302</v>
      </c>
      <c r="E480" s="16" t="s">
        <v>9</v>
      </c>
      <c r="F480" s="17" t="s">
        <v>23</v>
      </c>
      <c r="G480" s="17">
        <f>G476</f>
        <v>0</v>
      </c>
      <c r="H480" s="13">
        <f t="shared" si="7"/>
        <v>0</v>
      </c>
    </row>
    <row r="481" spans="2:8" ht="13.5" thickBot="1" x14ac:dyDescent="0.35">
      <c r="B481" s="9">
        <f>COUNT($B$4:B480)+1</f>
        <v>313</v>
      </c>
      <c r="C481" s="10" t="s">
        <v>426</v>
      </c>
      <c r="D481" s="10"/>
      <c r="E481" s="11" t="s">
        <v>3</v>
      </c>
      <c r="F481" s="12" t="s">
        <v>23</v>
      </c>
      <c r="G481" s="12"/>
      <c r="H481" s="13">
        <f t="shared" si="7"/>
        <v>0</v>
      </c>
    </row>
    <row r="482" spans="2:8" ht="13.5" thickBot="1" x14ac:dyDescent="0.35">
      <c r="B482" s="9"/>
      <c r="C482" s="14" t="s">
        <v>24</v>
      </c>
      <c r="D482" s="15" t="s">
        <v>25</v>
      </c>
      <c r="E482" s="16" t="s">
        <v>9</v>
      </c>
      <c r="F482" s="17" t="s">
        <v>23</v>
      </c>
      <c r="G482" s="17">
        <f>G481</f>
        <v>0</v>
      </c>
      <c r="H482" s="13">
        <f t="shared" si="7"/>
        <v>0</v>
      </c>
    </row>
    <row r="483" spans="2:8" ht="13.5" thickBot="1" x14ac:dyDescent="0.35">
      <c r="B483" s="9"/>
      <c r="C483" s="14" t="s">
        <v>403</v>
      </c>
      <c r="D483" s="14" t="s">
        <v>302</v>
      </c>
      <c r="E483" s="16" t="s">
        <v>9</v>
      </c>
      <c r="F483" s="17" t="s">
        <v>23</v>
      </c>
      <c r="G483" s="17">
        <f>G481</f>
        <v>0</v>
      </c>
      <c r="H483" s="13">
        <f t="shared" si="7"/>
        <v>0</v>
      </c>
    </row>
    <row r="484" spans="2:8" ht="13.5" thickBot="1" x14ac:dyDescent="0.35">
      <c r="B484" s="9"/>
      <c r="C484" s="14" t="s">
        <v>405</v>
      </c>
      <c r="D484" s="14" t="s">
        <v>302</v>
      </c>
      <c r="E484" s="18" t="s">
        <v>3</v>
      </c>
      <c r="F484" s="17" t="s">
        <v>23</v>
      </c>
      <c r="G484" s="17">
        <f>G481*2</f>
        <v>0</v>
      </c>
      <c r="H484" s="13">
        <f t="shared" si="7"/>
        <v>0</v>
      </c>
    </row>
    <row r="485" spans="2:8" ht="13.5" thickBot="1" x14ac:dyDescent="0.35">
      <c r="B485" s="9"/>
      <c r="C485" s="14" t="s">
        <v>406</v>
      </c>
      <c r="D485" s="14" t="s">
        <v>302</v>
      </c>
      <c r="E485" s="16" t="s">
        <v>9</v>
      </c>
      <c r="F485" s="17" t="s">
        <v>23</v>
      </c>
      <c r="G485" s="17">
        <f>G481</f>
        <v>0</v>
      </c>
      <c r="H485" s="13">
        <f t="shared" si="7"/>
        <v>0</v>
      </c>
    </row>
    <row r="486" spans="2:8" ht="13.5" thickBot="1" x14ac:dyDescent="0.35">
      <c r="B486" s="9">
        <f>COUNT($B$4:B485)+1</f>
        <v>314</v>
      </c>
      <c r="C486" s="10" t="s">
        <v>427</v>
      </c>
      <c r="D486" s="10"/>
      <c r="E486" s="11" t="s">
        <v>3</v>
      </c>
      <c r="F486" s="12" t="s">
        <v>23</v>
      </c>
      <c r="G486" s="12">
        <f>G481</f>
        <v>0</v>
      </c>
      <c r="H486" s="13">
        <f t="shared" si="7"/>
        <v>0</v>
      </c>
    </row>
    <row r="487" spans="2:8" ht="13.5" thickBot="1" x14ac:dyDescent="0.35">
      <c r="B487" s="9"/>
      <c r="C487" s="14" t="s">
        <v>41</v>
      </c>
      <c r="D487" s="14" t="s">
        <v>42</v>
      </c>
      <c r="E487" s="16" t="s">
        <v>9</v>
      </c>
      <c r="F487" s="17" t="s">
        <v>23</v>
      </c>
      <c r="G487" s="17">
        <f>G486</f>
        <v>0</v>
      </c>
      <c r="H487" s="13">
        <f t="shared" si="7"/>
        <v>0</v>
      </c>
    </row>
    <row r="488" spans="2:8" ht="13.5" thickBot="1" x14ac:dyDescent="0.35">
      <c r="B488" s="9"/>
      <c r="C488" s="14" t="s">
        <v>415</v>
      </c>
      <c r="D488" s="14" t="s">
        <v>42</v>
      </c>
      <c r="E488" s="16" t="s">
        <v>9</v>
      </c>
      <c r="F488" s="17" t="s">
        <v>23</v>
      </c>
      <c r="G488" s="17">
        <f>G486</f>
        <v>0</v>
      </c>
      <c r="H488" s="13">
        <f t="shared" si="7"/>
        <v>0</v>
      </c>
    </row>
    <row r="489" spans="2:8" ht="13.5" thickBot="1" x14ac:dyDescent="0.35">
      <c r="B489" s="9"/>
      <c r="C489" s="14" t="s">
        <v>416</v>
      </c>
      <c r="D489" s="14" t="s">
        <v>42</v>
      </c>
      <c r="E489" s="18" t="s">
        <v>3</v>
      </c>
      <c r="F489" s="17" t="s">
        <v>23</v>
      </c>
      <c r="G489" s="17">
        <f>G486*2</f>
        <v>0</v>
      </c>
      <c r="H489" s="13">
        <f t="shared" si="7"/>
        <v>0</v>
      </c>
    </row>
    <row r="490" spans="2:8" ht="13.5" thickBot="1" x14ac:dyDescent="0.35">
      <c r="B490" s="9"/>
      <c r="C490" s="14" t="s">
        <v>418</v>
      </c>
      <c r="D490" s="14" t="s">
        <v>42</v>
      </c>
      <c r="E490" s="16" t="s">
        <v>9</v>
      </c>
      <c r="F490" s="17" t="s">
        <v>23</v>
      </c>
      <c r="G490" s="17">
        <f>G486</f>
        <v>0</v>
      </c>
      <c r="H490" s="13">
        <f t="shared" si="7"/>
        <v>0</v>
      </c>
    </row>
    <row r="491" spans="2:8" ht="13.5" thickBot="1" x14ac:dyDescent="0.35">
      <c r="B491" s="9">
        <f>COUNT($B$4:B490)+1</f>
        <v>315</v>
      </c>
      <c r="C491" s="10" t="s">
        <v>428</v>
      </c>
      <c r="D491" s="10"/>
      <c r="E491" s="11" t="s">
        <v>3</v>
      </c>
      <c r="F491" s="12" t="s">
        <v>23</v>
      </c>
      <c r="G491" s="12"/>
      <c r="H491" s="13">
        <f t="shared" si="7"/>
        <v>0</v>
      </c>
    </row>
    <row r="492" spans="2:8" ht="13.5" thickBot="1" x14ac:dyDescent="0.35">
      <c r="B492" s="9"/>
      <c r="C492" s="14" t="s">
        <v>234</v>
      </c>
      <c r="D492" s="15" t="s">
        <v>25</v>
      </c>
      <c r="E492" s="16" t="s">
        <v>9</v>
      </c>
      <c r="F492" s="17" t="s">
        <v>23</v>
      </c>
      <c r="G492" s="17">
        <f>G491</f>
        <v>0</v>
      </c>
      <c r="H492" s="13">
        <f t="shared" si="7"/>
        <v>0</v>
      </c>
    </row>
    <row r="493" spans="2:8" ht="13.5" thickBot="1" x14ac:dyDescent="0.35">
      <c r="B493" s="9"/>
      <c r="C493" s="14" t="s">
        <v>429</v>
      </c>
      <c r="D493" s="14" t="s">
        <v>430</v>
      </c>
      <c r="E493" s="16" t="s">
        <v>9</v>
      </c>
      <c r="F493" s="17" t="s">
        <v>23</v>
      </c>
      <c r="G493" s="17">
        <f>G491</f>
        <v>0</v>
      </c>
      <c r="H493" s="13">
        <f t="shared" si="7"/>
        <v>0</v>
      </c>
    </row>
    <row r="494" spans="2:8" ht="13.5" thickBot="1" x14ac:dyDescent="0.35">
      <c r="B494" s="9"/>
      <c r="C494" s="14" t="s">
        <v>405</v>
      </c>
      <c r="D494" s="14" t="s">
        <v>430</v>
      </c>
      <c r="E494" s="18" t="s">
        <v>3</v>
      </c>
      <c r="F494" s="17" t="s">
        <v>23</v>
      </c>
      <c r="G494" s="17">
        <f>G491*2</f>
        <v>0</v>
      </c>
      <c r="H494" s="13">
        <f t="shared" si="7"/>
        <v>0</v>
      </c>
    </row>
    <row r="495" spans="2:8" ht="13.5" thickBot="1" x14ac:dyDescent="0.35">
      <c r="B495" s="9"/>
      <c r="C495" s="14" t="s">
        <v>431</v>
      </c>
      <c r="D495" s="14" t="s">
        <v>430</v>
      </c>
      <c r="E495" s="16" t="s">
        <v>9</v>
      </c>
      <c r="F495" s="17" t="s">
        <v>23</v>
      </c>
      <c r="G495" s="17">
        <f>G491</f>
        <v>0</v>
      </c>
      <c r="H495" s="13">
        <f t="shared" si="7"/>
        <v>0</v>
      </c>
    </row>
    <row r="496" spans="2:8" ht="13.5" thickBot="1" x14ac:dyDescent="0.35">
      <c r="B496" s="9">
        <f>COUNT($B$4:B495)+1</f>
        <v>316</v>
      </c>
      <c r="C496" s="10" t="s">
        <v>432</v>
      </c>
      <c r="D496" s="10"/>
      <c r="E496" s="11" t="s">
        <v>3</v>
      </c>
      <c r="F496" s="12" t="s">
        <v>23</v>
      </c>
      <c r="G496" s="12"/>
      <c r="H496" s="13">
        <f t="shared" si="7"/>
        <v>0</v>
      </c>
    </row>
    <row r="497" spans="2:8" ht="13.5" thickBot="1" x14ac:dyDescent="0.35">
      <c r="B497" s="9"/>
      <c r="C497" s="14" t="s">
        <v>405</v>
      </c>
      <c r="D497" s="14" t="s">
        <v>302</v>
      </c>
      <c r="E497" s="18" t="s">
        <v>3</v>
      </c>
      <c r="F497" s="17" t="s">
        <v>23</v>
      </c>
      <c r="G497" s="17">
        <f>G496*2</f>
        <v>0</v>
      </c>
      <c r="H497" s="13">
        <f t="shared" si="7"/>
        <v>0</v>
      </c>
    </row>
    <row r="498" spans="2:8" ht="13.5" thickBot="1" x14ac:dyDescent="0.35">
      <c r="B498" s="9"/>
      <c r="C498" s="14" t="s">
        <v>433</v>
      </c>
      <c r="D498" s="14" t="s">
        <v>302</v>
      </c>
      <c r="E498" s="16" t="s">
        <v>9</v>
      </c>
      <c r="F498" s="17" t="s">
        <v>23</v>
      </c>
      <c r="G498" s="17">
        <f>G496</f>
        <v>0</v>
      </c>
      <c r="H498" s="13">
        <f t="shared" si="7"/>
        <v>0</v>
      </c>
    </row>
    <row r="499" spans="2:8" ht="13.5" thickBot="1" x14ac:dyDescent="0.35">
      <c r="B499" s="9">
        <f>COUNT($B$4:B498)+1</f>
        <v>317</v>
      </c>
      <c r="C499" s="10" t="s">
        <v>434</v>
      </c>
      <c r="D499" s="10"/>
      <c r="E499" s="11" t="s">
        <v>3</v>
      </c>
      <c r="F499" s="12" t="s">
        <v>23</v>
      </c>
      <c r="G499" s="12"/>
      <c r="H499" s="13">
        <f t="shared" si="7"/>
        <v>0</v>
      </c>
    </row>
    <row r="500" spans="2:8" ht="13.5" thickBot="1" x14ac:dyDescent="0.35">
      <c r="B500" s="9"/>
      <c r="C500" s="14" t="s">
        <v>423</v>
      </c>
      <c r="D500" s="14" t="s">
        <v>302</v>
      </c>
      <c r="E500" s="18" t="s">
        <v>3</v>
      </c>
      <c r="F500" s="17" t="s">
        <v>23</v>
      </c>
      <c r="G500" s="17">
        <f>G499*2</f>
        <v>0</v>
      </c>
      <c r="H500" s="13">
        <f t="shared" si="7"/>
        <v>0</v>
      </c>
    </row>
    <row r="501" spans="2:8" ht="13.5" thickBot="1" x14ac:dyDescent="0.35">
      <c r="B501" s="9"/>
      <c r="C501" s="14" t="s">
        <v>433</v>
      </c>
      <c r="D501" s="14" t="s">
        <v>302</v>
      </c>
      <c r="E501" s="16" t="s">
        <v>9</v>
      </c>
      <c r="F501" s="17" t="s">
        <v>23</v>
      </c>
      <c r="G501" s="17">
        <f>G499</f>
        <v>0</v>
      </c>
      <c r="H501" s="13">
        <f t="shared" si="7"/>
        <v>0</v>
      </c>
    </row>
    <row r="502" spans="2:8" ht="13.5" thickBot="1" x14ac:dyDescent="0.35">
      <c r="B502" s="9">
        <f>COUNT($B$4:B501)+1</f>
        <v>318</v>
      </c>
      <c r="C502" s="10" t="s">
        <v>435</v>
      </c>
      <c r="D502" s="10"/>
      <c r="E502" s="11" t="s">
        <v>3</v>
      </c>
      <c r="F502" s="12" t="s">
        <v>23</v>
      </c>
      <c r="G502" s="12"/>
      <c r="H502" s="13">
        <f t="shared" si="7"/>
        <v>0</v>
      </c>
    </row>
    <row r="503" spans="2:8" ht="13.5" thickBot="1" x14ac:dyDescent="0.35">
      <c r="B503" s="9"/>
      <c r="C503" s="14" t="s">
        <v>24</v>
      </c>
      <c r="D503" s="15" t="s">
        <v>25</v>
      </c>
      <c r="E503" s="16" t="s">
        <v>9</v>
      </c>
      <c r="F503" s="17" t="s">
        <v>23</v>
      </c>
      <c r="G503" s="19">
        <f>G502</f>
        <v>0</v>
      </c>
      <c r="H503" s="13">
        <f t="shared" si="7"/>
        <v>0</v>
      </c>
    </row>
    <row r="504" spans="2:8" ht="13.5" thickBot="1" x14ac:dyDescent="0.35">
      <c r="B504" s="9"/>
      <c r="C504" s="14" t="s">
        <v>435</v>
      </c>
      <c r="D504" s="14" t="s">
        <v>436</v>
      </c>
      <c r="E504" s="18" t="s">
        <v>3</v>
      </c>
      <c r="F504" s="17" t="s">
        <v>23</v>
      </c>
      <c r="G504" s="17">
        <f>G502</f>
        <v>0</v>
      </c>
      <c r="H504" s="13">
        <f t="shared" si="7"/>
        <v>0</v>
      </c>
    </row>
    <row r="505" spans="2:8" ht="13.5" thickBot="1" x14ac:dyDescent="0.35">
      <c r="B505" s="9">
        <f>COUNT($B$4:B504)+1</f>
        <v>319</v>
      </c>
      <c r="C505" s="10" t="s">
        <v>437</v>
      </c>
      <c r="D505" s="10"/>
      <c r="E505" s="11" t="s">
        <v>3</v>
      </c>
      <c r="F505" s="12" t="s">
        <v>23</v>
      </c>
      <c r="G505" s="12"/>
      <c r="H505" s="13">
        <f t="shared" si="7"/>
        <v>0</v>
      </c>
    </row>
    <row r="506" spans="2:8" ht="13.5" thickBot="1" x14ac:dyDescent="0.35">
      <c r="B506" s="9"/>
      <c r="C506" s="14" t="s">
        <v>24</v>
      </c>
      <c r="D506" s="15" t="s">
        <v>25</v>
      </c>
      <c r="E506" s="16" t="s">
        <v>9</v>
      </c>
      <c r="F506" s="17" t="s">
        <v>23</v>
      </c>
      <c r="G506" s="19">
        <f>G505</f>
        <v>0</v>
      </c>
      <c r="H506" s="13">
        <f t="shared" si="7"/>
        <v>0</v>
      </c>
    </row>
    <row r="507" spans="2:8" ht="13.5" thickBot="1" x14ac:dyDescent="0.35">
      <c r="B507" s="9"/>
      <c r="C507" s="14" t="s">
        <v>437</v>
      </c>
      <c r="D507" s="14" t="s">
        <v>436</v>
      </c>
      <c r="E507" s="18" t="s">
        <v>3</v>
      </c>
      <c r="F507" s="17" t="s">
        <v>23</v>
      </c>
      <c r="G507" s="17">
        <f>G505</f>
        <v>0</v>
      </c>
      <c r="H507" s="13">
        <f t="shared" si="7"/>
        <v>0</v>
      </c>
    </row>
    <row r="508" spans="2:8" ht="13.5" thickBot="1" x14ac:dyDescent="0.35">
      <c r="B508" s="9">
        <f>COUNT($B$4:B507)+1</f>
        <v>320</v>
      </c>
      <c r="C508" s="10" t="s">
        <v>438</v>
      </c>
      <c r="D508" s="10"/>
      <c r="E508" s="11" t="s">
        <v>3</v>
      </c>
      <c r="F508" s="12" t="s">
        <v>23</v>
      </c>
      <c r="G508" s="12"/>
      <c r="H508" s="13">
        <f t="shared" si="7"/>
        <v>0</v>
      </c>
    </row>
    <row r="509" spans="2:8" ht="13.5" thickBot="1" x14ac:dyDescent="0.35">
      <c r="B509" s="9"/>
      <c r="C509" s="14" t="s">
        <v>24</v>
      </c>
      <c r="D509" s="15" t="s">
        <v>25</v>
      </c>
      <c r="E509" s="16" t="s">
        <v>9</v>
      </c>
      <c r="F509" s="17" t="s">
        <v>23</v>
      </c>
      <c r="G509" s="19">
        <f>G508</f>
        <v>0</v>
      </c>
      <c r="H509" s="13">
        <f t="shared" si="7"/>
        <v>0</v>
      </c>
    </row>
    <row r="510" spans="2:8" ht="13.5" thickBot="1" x14ac:dyDescent="0.35">
      <c r="B510" s="9"/>
      <c r="C510" s="14" t="s">
        <v>438</v>
      </c>
      <c r="D510" s="14" t="s">
        <v>436</v>
      </c>
      <c r="E510" s="18" t="s">
        <v>3</v>
      </c>
      <c r="F510" s="17" t="s">
        <v>23</v>
      </c>
      <c r="G510" s="17">
        <f>G508</f>
        <v>0</v>
      </c>
      <c r="H510" s="13">
        <f t="shared" si="7"/>
        <v>0</v>
      </c>
    </row>
    <row r="511" spans="2:8" ht="13.5" thickBot="1" x14ac:dyDescent="0.35">
      <c r="B511" s="9">
        <f>COUNT($B$4:B510)+1</f>
        <v>321</v>
      </c>
      <c r="C511" s="10" t="s">
        <v>439</v>
      </c>
      <c r="D511" s="10"/>
      <c r="E511" s="11" t="s">
        <v>3</v>
      </c>
      <c r="F511" s="12" t="s">
        <v>23</v>
      </c>
      <c r="G511" s="12"/>
      <c r="H511" s="13">
        <f t="shared" si="7"/>
        <v>0</v>
      </c>
    </row>
    <row r="512" spans="2:8" ht="13.5" thickBot="1" x14ac:dyDescent="0.35">
      <c r="B512" s="9"/>
      <c r="C512" s="14" t="s">
        <v>24</v>
      </c>
      <c r="D512" s="15" t="s">
        <v>25</v>
      </c>
      <c r="E512" s="16" t="s">
        <v>9</v>
      </c>
      <c r="F512" s="17" t="s">
        <v>23</v>
      </c>
      <c r="G512" s="19">
        <f>G511</f>
        <v>0</v>
      </c>
      <c r="H512" s="13">
        <f t="shared" si="7"/>
        <v>0</v>
      </c>
    </row>
    <row r="513" spans="2:8" ht="13.5" thickBot="1" x14ac:dyDescent="0.35">
      <c r="B513" s="9"/>
      <c r="C513" s="14" t="s">
        <v>439</v>
      </c>
      <c r="D513" s="14" t="s">
        <v>436</v>
      </c>
      <c r="E513" s="18" t="s">
        <v>3</v>
      </c>
      <c r="F513" s="17" t="s">
        <v>23</v>
      </c>
      <c r="G513" s="17">
        <f>G511</f>
        <v>0</v>
      </c>
      <c r="H513" s="13">
        <f t="shared" si="7"/>
        <v>0</v>
      </c>
    </row>
    <row r="514" spans="2:8" ht="13.5" thickBot="1" x14ac:dyDescent="0.35">
      <c r="B514" s="9">
        <f>COUNT($B$4:B513)+1</f>
        <v>322</v>
      </c>
      <c r="C514" s="10" t="s">
        <v>440</v>
      </c>
      <c r="D514" s="10"/>
      <c r="E514" s="11" t="s">
        <v>3</v>
      </c>
      <c r="F514" s="12" t="s">
        <v>23</v>
      </c>
      <c r="G514" s="12"/>
      <c r="H514" s="13">
        <f t="shared" si="7"/>
        <v>0</v>
      </c>
    </row>
    <row r="515" spans="2:8" ht="13.5" thickBot="1" x14ac:dyDescent="0.35">
      <c r="B515" s="9"/>
      <c r="C515" s="14" t="s">
        <v>24</v>
      </c>
      <c r="D515" s="15" t="s">
        <v>25</v>
      </c>
      <c r="E515" s="16" t="s">
        <v>9</v>
      </c>
      <c r="F515" s="17" t="s">
        <v>23</v>
      </c>
      <c r="G515" s="19">
        <f>G514</f>
        <v>0</v>
      </c>
      <c r="H515" s="13">
        <f t="shared" si="7"/>
        <v>0</v>
      </c>
    </row>
    <row r="516" spans="2:8" ht="13.5" thickBot="1" x14ac:dyDescent="0.35">
      <c r="B516" s="9"/>
      <c r="C516" s="14" t="s">
        <v>440</v>
      </c>
      <c r="D516" s="14" t="s">
        <v>436</v>
      </c>
      <c r="E516" s="18" t="s">
        <v>3</v>
      </c>
      <c r="F516" s="17" t="s">
        <v>23</v>
      </c>
      <c r="G516" s="17">
        <f>G514</f>
        <v>0</v>
      </c>
      <c r="H516" s="13">
        <f t="shared" si="7"/>
        <v>0</v>
      </c>
    </row>
    <row r="517" spans="2:8" ht="13.5" thickBot="1" x14ac:dyDescent="0.35">
      <c r="B517" s="9">
        <f>COUNT($B$4:B516)+1</f>
        <v>323</v>
      </c>
      <c r="C517" s="10" t="s">
        <v>441</v>
      </c>
      <c r="D517" s="10"/>
      <c r="E517" s="11" t="s">
        <v>3</v>
      </c>
      <c r="F517" s="12" t="s">
        <v>51</v>
      </c>
      <c r="G517" s="12"/>
      <c r="H517" s="13">
        <f t="shared" ref="H517:H580" si="8">SUM(G517:G517)</f>
        <v>0</v>
      </c>
    </row>
    <row r="518" spans="2:8" ht="13.5" thickBot="1" x14ac:dyDescent="0.35">
      <c r="B518" s="9"/>
      <c r="C518" s="14" t="s">
        <v>441</v>
      </c>
      <c r="D518" s="14" t="s">
        <v>302</v>
      </c>
      <c r="E518" s="18" t="s">
        <v>9</v>
      </c>
      <c r="F518" s="17" t="s">
        <v>51</v>
      </c>
      <c r="G518" s="17">
        <f>G517</f>
        <v>0</v>
      </c>
      <c r="H518" s="13">
        <f t="shared" si="8"/>
        <v>0</v>
      </c>
    </row>
    <row r="519" spans="2:8" ht="13.5" thickBot="1" x14ac:dyDescent="0.35">
      <c r="B519" s="9"/>
      <c r="C519" s="14" t="s">
        <v>314</v>
      </c>
      <c r="D519" s="14" t="s">
        <v>302</v>
      </c>
      <c r="E519" s="18" t="s">
        <v>9</v>
      </c>
      <c r="F519" s="17" t="s">
        <v>51</v>
      </c>
      <c r="G519" s="17">
        <f>G517</f>
        <v>0</v>
      </c>
      <c r="H519" s="13">
        <f t="shared" si="8"/>
        <v>0</v>
      </c>
    </row>
    <row r="520" spans="2:8" ht="13.5" thickBot="1" x14ac:dyDescent="0.35">
      <c r="B520" s="9">
        <f>COUNT($B$4:B519)+1</f>
        <v>324</v>
      </c>
      <c r="C520" s="10" t="s">
        <v>442</v>
      </c>
      <c r="D520" s="10"/>
      <c r="E520" s="11" t="s">
        <v>3</v>
      </c>
      <c r="F520" s="12" t="s">
        <v>51</v>
      </c>
      <c r="G520" s="12"/>
      <c r="H520" s="13">
        <f t="shared" si="8"/>
        <v>0</v>
      </c>
    </row>
    <row r="521" spans="2:8" ht="13.5" thickBot="1" x14ac:dyDescent="0.35">
      <c r="B521" s="9"/>
      <c r="C521" s="14" t="s">
        <v>443</v>
      </c>
      <c r="D521" s="14" t="s">
        <v>302</v>
      </c>
      <c r="E521" s="18" t="s">
        <v>9</v>
      </c>
      <c r="F521" s="17" t="s">
        <v>51</v>
      </c>
      <c r="G521" s="17">
        <f>G520</f>
        <v>0</v>
      </c>
      <c r="H521" s="13">
        <f t="shared" si="8"/>
        <v>0</v>
      </c>
    </row>
    <row r="522" spans="2:8" ht="13.5" thickBot="1" x14ac:dyDescent="0.35">
      <c r="B522" s="9"/>
      <c r="C522" s="14" t="s">
        <v>314</v>
      </c>
      <c r="D522" s="14" t="s">
        <v>302</v>
      </c>
      <c r="E522" s="18" t="s">
        <v>9</v>
      </c>
      <c r="F522" s="17" t="s">
        <v>51</v>
      </c>
      <c r="G522" s="17">
        <f>G520</f>
        <v>0</v>
      </c>
      <c r="H522" s="13">
        <f t="shared" si="8"/>
        <v>0</v>
      </c>
    </row>
    <row r="523" spans="2:8" ht="13.5" thickBot="1" x14ac:dyDescent="0.35">
      <c r="B523" s="9"/>
      <c r="C523" s="14" t="s">
        <v>444</v>
      </c>
      <c r="D523" s="14" t="s">
        <v>302</v>
      </c>
      <c r="E523" s="18" t="s">
        <v>9</v>
      </c>
      <c r="F523" s="17" t="s">
        <v>51</v>
      </c>
      <c r="G523" s="17">
        <f>G520</f>
        <v>0</v>
      </c>
      <c r="H523" s="13">
        <f t="shared" si="8"/>
        <v>0</v>
      </c>
    </row>
    <row r="524" spans="2:8" ht="13.5" thickBot="1" x14ac:dyDescent="0.35">
      <c r="B524" s="9">
        <f>COUNT($B$4:B523)+1</f>
        <v>325</v>
      </c>
      <c r="C524" s="10" t="s">
        <v>445</v>
      </c>
      <c r="D524" s="10"/>
      <c r="E524" s="11" t="s">
        <v>3</v>
      </c>
      <c r="F524" s="12" t="s">
        <v>51</v>
      </c>
      <c r="G524" s="12"/>
      <c r="H524" s="13">
        <f t="shared" si="8"/>
        <v>0</v>
      </c>
    </row>
    <row r="525" spans="2:8" ht="13.5" thickBot="1" x14ac:dyDescent="0.35">
      <c r="B525" s="9"/>
      <c r="C525" s="14" t="s">
        <v>446</v>
      </c>
      <c r="D525" s="14" t="s">
        <v>302</v>
      </c>
      <c r="E525" s="18" t="s">
        <v>9</v>
      </c>
      <c r="F525" s="17" t="s">
        <v>51</v>
      </c>
      <c r="G525" s="17">
        <f>G524</f>
        <v>0</v>
      </c>
      <c r="H525" s="13">
        <f t="shared" si="8"/>
        <v>0</v>
      </c>
    </row>
    <row r="526" spans="2:8" ht="13.5" thickBot="1" x14ac:dyDescent="0.35">
      <c r="B526" s="9"/>
      <c r="C526" s="14" t="s">
        <v>314</v>
      </c>
      <c r="D526" s="14" t="s">
        <v>302</v>
      </c>
      <c r="E526" s="18" t="s">
        <v>9</v>
      </c>
      <c r="F526" s="17" t="s">
        <v>51</v>
      </c>
      <c r="G526" s="17">
        <f>G524</f>
        <v>0</v>
      </c>
      <c r="H526" s="13">
        <f t="shared" si="8"/>
        <v>0</v>
      </c>
    </row>
    <row r="527" spans="2:8" ht="13.5" thickBot="1" x14ac:dyDescent="0.35">
      <c r="B527" s="9"/>
      <c r="C527" s="14" t="s">
        <v>447</v>
      </c>
      <c r="D527" s="14" t="s">
        <v>302</v>
      </c>
      <c r="E527" s="18" t="s">
        <v>9</v>
      </c>
      <c r="F527" s="17" t="s">
        <v>51</v>
      </c>
      <c r="G527" s="17">
        <f>G524</f>
        <v>0</v>
      </c>
      <c r="H527" s="13">
        <f t="shared" si="8"/>
        <v>0</v>
      </c>
    </row>
    <row r="528" spans="2:8" ht="13.5" thickBot="1" x14ac:dyDescent="0.35">
      <c r="B528" s="9">
        <f>COUNT($B$4:B527)+1</f>
        <v>326</v>
      </c>
      <c r="C528" s="10" t="s">
        <v>448</v>
      </c>
      <c r="D528" s="10"/>
      <c r="E528" s="11" t="s">
        <v>9</v>
      </c>
      <c r="F528" s="12" t="s">
        <v>23</v>
      </c>
      <c r="G528" s="12"/>
      <c r="H528" s="13">
        <f t="shared" si="8"/>
        <v>0</v>
      </c>
    </row>
    <row r="529" spans="2:8" ht="13.5" thickBot="1" x14ac:dyDescent="0.35">
      <c r="B529" s="9"/>
      <c r="C529" s="14" t="s">
        <v>449</v>
      </c>
      <c r="D529" s="14" t="s">
        <v>278</v>
      </c>
      <c r="E529" s="18" t="s">
        <v>0</v>
      </c>
      <c r="F529" s="17" t="s">
        <v>23</v>
      </c>
      <c r="G529" s="17">
        <f>G528*8</f>
        <v>0</v>
      </c>
      <c r="H529" s="13">
        <f t="shared" si="8"/>
        <v>0</v>
      </c>
    </row>
    <row r="530" spans="2:8" ht="13.5" thickBot="1" x14ac:dyDescent="0.35">
      <c r="B530" s="9"/>
      <c r="C530" s="14" t="s">
        <v>450</v>
      </c>
      <c r="D530" s="14" t="s">
        <v>278</v>
      </c>
      <c r="E530" s="18" t="s">
        <v>9</v>
      </c>
      <c r="F530" s="17" t="s">
        <v>23</v>
      </c>
      <c r="G530" s="17">
        <f>G528</f>
        <v>0</v>
      </c>
      <c r="H530" s="13">
        <f t="shared" si="8"/>
        <v>0</v>
      </c>
    </row>
    <row r="531" spans="2:8" ht="13.5" thickBot="1" x14ac:dyDescent="0.35">
      <c r="B531" s="9"/>
      <c r="C531" s="14" t="s">
        <v>451</v>
      </c>
      <c r="D531" s="14" t="s">
        <v>278</v>
      </c>
      <c r="E531" s="18" t="s">
        <v>0</v>
      </c>
      <c r="F531" s="17" t="s">
        <v>23</v>
      </c>
      <c r="G531" s="17">
        <f>G528*8</f>
        <v>0</v>
      </c>
      <c r="H531" s="13">
        <f t="shared" si="8"/>
        <v>0</v>
      </c>
    </row>
    <row r="532" spans="2:8" ht="13.5" thickBot="1" x14ac:dyDescent="0.35">
      <c r="B532" s="9"/>
      <c r="C532" s="14" t="s">
        <v>452</v>
      </c>
      <c r="D532" s="14" t="s">
        <v>278</v>
      </c>
      <c r="E532" s="18" t="s">
        <v>0</v>
      </c>
      <c r="F532" s="17" t="s">
        <v>23</v>
      </c>
      <c r="G532" s="17">
        <f>G528*8</f>
        <v>0</v>
      </c>
      <c r="H532" s="13">
        <f t="shared" si="8"/>
        <v>0</v>
      </c>
    </row>
    <row r="533" spans="2:8" ht="13.5" thickBot="1" x14ac:dyDescent="0.35">
      <c r="B533" s="9"/>
      <c r="C533" s="14" t="s">
        <v>453</v>
      </c>
      <c r="D533" s="14" t="s">
        <v>278</v>
      </c>
      <c r="E533" s="18" t="s">
        <v>9</v>
      </c>
      <c r="F533" s="17" t="s">
        <v>23</v>
      </c>
      <c r="G533" s="17">
        <f>G528</f>
        <v>0</v>
      </c>
      <c r="H533" s="13">
        <f t="shared" si="8"/>
        <v>0</v>
      </c>
    </row>
    <row r="534" spans="2:8" ht="13.5" thickBot="1" x14ac:dyDescent="0.35">
      <c r="B534" s="9">
        <f>COUNT($B$4:B533)+1</f>
        <v>327</v>
      </c>
      <c r="C534" s="10" t="s">
        <v>454</v>
      </c>
      <c r="D534" s="10"/>
      <c r="E534" s="11" t="s">
        <v>9</v>
      </c>
      <c r="F534" s="12" t="s">
        <v>23</v>
      </c>
      <c r="G534" s="12"/>
      <c r="H534" s="13">
        <f t="shared" si="8"/>
        <v>0</v>
      </c>
    </row>
    <row r="535" spans="2:8" ht="13.5" thickBot="1" x14ac:dyDescent="0.35">
      <c r="B535" s="9"/>
      <c r="C535" s="14" t="s">
        <v>449</v>
      </c>
      <c r="D535" s="14" t="s">
        <v>278</v>
      </c>
      <c r="E535" s="18" t="s">
        <v>0</v>
      </c>
      <c r="F535" s="17" t="s">
        <v>23</v>
      </c>
      <c r="G535" s="17">
        <f>G534*8</f>
        <v>0</v>
      </c>
      <c r="H535" s="13">
        <f t="shared" si="8"/>
        <v>0</v>
      </c>
    </row>
    <row r="536" spans="2:8" ht="13.5" thickBot="1" x14ac:dyDescent="0.35">
      <c r="B536" s="9"/>
      <c r="C536" s="14" t="s">
        <v>455</v>
      </c>
      <c r="D536" s="14" t="s">
        <v>278</v>
      </c>
      <c r="E536" s="18" t="s">
        <v>9</v>
      </c>
      <c r="F536" s="17" t="s">
        <v>23</v>
      </c>
      <c r="G536" s="17">
        <f>G534</f>
        <v>0</v>
      </c>
      <c r="H536" s="13">
        <f t="shared" si="8"/>
        <v>0</v>
      </c>
    </row>
    <row r="537" spans="2:8" ht="13.5" thickBot="1" x14ac:dyDescent="0.35">
      <c r="B537" s="9"/>
      <c r="C537" s="14" t="s">
        <v>451</v>
      </c>
      <c r="D537" s="14" t="s">
        <v>278</v>
      </c>
      <c r="E537" s="18" t="s">
        <v>0</v>
      </c>
      <c r="F537" s="17" t="s">
        <v>23</v>
      </c>
      <c r="G537" s="17">
        <f>G534*8</f>
        <v>0</v>
      </c>
      <c r="H537" s="13">
        <f t="shared" si="8"/>
        <v>0</v>
      </c>
    </row>
    <row r="538" spans="2:8" ht="13.5" thickBot="1" x14ac:dyDescent="0.35">
      <c r="B538" s="9"/>
      <c r="C538" s="14" t="s">
        <v>452</v>
      </c>
      <c r="D538" s="14" t="s">
        <v>278</v>
      </c>
      <c r="E538" s="18" t="s">
        <v>0</v>
      </c>
      <c r="F538" s="17" t="s">
        <v>23</v>
      </c>
      <c r="G538" s="17">
        <f>G534*8</f>
        <v>0</v>
      </c>
      <c r="H538" s="13">
        <f t="shared" si="8"/>
        <v>0</v>
      </c>
    </row>
    <row r="539" spans="2:8" ht="13.5" thickBot="1" x14ac:dyDescent="0.35">
      <c r="B539" s="9"/>
      <c r="C539" s="14" t="s">
        <v>456</v>
      </c>
      <c r="D539" s="14" t="s">
        <v>278</v>
      </c>
      <c r="E539" s="18" t="s">
        <v>9</v>
      </c>
      <c r="F539" s="17" t="s">
        <v>23</v>
      </c>
      <c r="G539" s="17">
        <f>G534</f>
        <v>0</v>
      </c>
      <c r="H539" s="13">
        <f t="shared" si="8"/>
        <v>0</v>
      </c>
    </row>
    <row r="540" spans="2:8" ht="13.5" thickBot="1" x14ac:dyDescent="0.35">
      <c r="B540" s="9">
        <f>COUNT($B$4:B539)+1</f>
        <v>328</v>
      </c>
      <c r="C540" s="10" t="s">
        <v>457</v>
      </c>
      <c r="D540" s="10"/>
      <c r="E540" s="11" t="s">
        <v>9</v>
      </c>
      <c r="F540" s="12" t="s">
        <v>23</v>
      </c>
      <c r="G540" s="12"/>
      <c r="H540" s="13">
        <f t="shared" si="8"/>
        <v>0</v>
      </c>
    </row>
    <row r="541" spans="2:8" ht="13.5" thickBot="1" x14ac:dyDescent="0.35">
      <c r="B541" s="9"/>
      <c r="C541" s="14" t="s">
        <v>449</v>
      </c>
      <c r="D541" s="14" t="s">
        <v>278</v>
      </c>
      <c r="E541" s="18" t="s">
        <v>0</v>
      </c>
      <c r="F541" s="17" t="s">
        <v>23</v>
      </c>
      <c r="G541" s="17">
        <f>G540*8</f>
        <v>0</v>
      </c>
      <c r="H541" s="13">
        <f t="shared" si="8"/>
        <v>0</v>
      </c>
    </row>
    <row r="542" spans="2:8" ht="13.5" thickBot="1" x14ac:dyDescent="0.35">
      <c r="B542" s="9"/>
      <c r="C542" s="14" t="s">
        <v>458</v>
      </c>
      <c r="D542" s="14" t="s">
        <v>278</v>
      </c>
      <c r="E542" s="18" t="s">
        <v>9</v>
      </c>
      <c r="F542" s="17" t="s">
        <v>23</v>
      </c>
      <c r="G542" s="17">
        <f>G540</f>
        <v>0</v>
      </c>
      <c r="H542" s="13">
        <f t="shared" si="8"/>
        <v>0</v>
      </c>
    </row>
    <row r="543" spans="2:8" ht="13.5" thickBot="1" x14ac:dyDescent="0.35">
      <c r="B543" s="9"/>
      <c r="C543" s="14" t="s">
        <v>451</v>
      </c>
      <c r="D543" s="14" t="s">
        <v>278</v>
      </c>
      <c r="E543" s="18" t="s">
        <v>0</v>
      </c>
      <c r="F543" s="17" t="s">
        <v>23</v>
      </c>
      <c r="G543" s="17">
        <f>G540*8</f>
        <v>0</v>
      </c>
      <c r="H543" s="13">
        <f t="shared" si="8"/>
        <v>0</v>
      </c>
    </row>
    <row r="544" spans="2:8" ht="13.5" thickBot="1" x14ac:dyDescent="0.35">
      <c r="B544" s="9"/>
      <c r="C544" s="14" t="s">
        <v>452</v>
      </c>
      <c r="D544" s="14" t="s">
        <v>278</v>
      </c>
      <c r="E544" s="18" t="s">
        <v>0</v>
      </c>
      <c r="F544" s="17" t="s">
        <v>23</v>
      </c>
      <c r="G544" s="17">
        <f>G540*8</f>
        <v>0</v>
      </c>
      <c r="H544" s="13">
        <f t="shared" si="8"/>
        <v>0</v>
      </c>
    </row>
    <row r="545" spans="2:8" ht="13.5" thickBot="1" x14ac:dyDescent="0.35">
      <c r="B545" s="9"/>
      <c r="C545" s="14" t="s">
        <v>459</v>
      </c>
      <c r="D545" s="14" t="s">
        <v>278</v>
      </c>
      <c r="E545" s="18" t="s">
        <v>9</v>
      </c>
      <c r="F545" s="17" t="s">
        <v>23</v>
      </c>
      <c r="G545" s="17">
        <f>G540</f>
        <v>0</v>
      </c>
      <c r="H545" s="13">
        <f t="shared" si="8"/>
        <v>0</v>
      </c>
    </row>
    <row r="546" spans="2:8" ht="13.5" thickBot="1" x14ac:dyDescent="0.35">
      <c r="B546" s="9">
        <f>COUNT($B$4:B545)+1</f>
        <v>329</v>
      </c>
      <c r="C546" s="10" t="s">
        <v>460</v>
      </c>
      <c r="D546" s="10"/>
      <c r="E546" s="11" t="s">
        <v>9</v>
      </c>
      <c r="F546" s="12" t="s">
        <v>23</v>
      </c>
      <c r="G546" s="12"/>
      <c r="H546" s="13">
        <f t="shared" si="8"/>
        <v>0</v>
      </c>
    </row>
    <row r="547" spans="2:8" ht="13.5" thickBot="1" x14ac:dyDescent="0.35">
      <c r="B547" s="9"/>
      <c r="C547" s="14" t="s">
        <v>449</v>
      </c>
      <c r="D547" s="14" t="s">
        <v>278</v>
      </c>
      <c r="E547" s="18" t="s">
        <v>0</v>
      </c>
      <c r="F547" s="17" t="s">
        <v>23</v>
      </c>
      <c r="G547" s="17">
        <f>G546*8</f>
        <v>0</v>
      </c>
      <c r="H547" s="13">
        <f t="shared" si="8"/>
        <v>0</v>
      </c>
    </row>
    <row r="548" spans="2:8" ht="13.5" thickBot="1" x14ac:dyDescent="0.35">
      <c r="B548" s="9"/>
      <c r="C548" s="14" t="s">
        <v>461</v>
      </c>
      <c r="D548" s="14" t="s">
        <v>278</v>
      </c>
      <c r="E548" s="18" t="s">
        <v>9</v>
      </c>
      <c r="F548" s="17" t="s">
        <v>23</v>
      </c>
      <c r="G548" s="17">
        <f>G546</f>
        <v>0</v>
      </c>
      <c r="H548" s="13">
        <f t="shared" si="8"/>
        <v>0</v>
      </c>
    </row>
    <row r="549" spans="2:8" ht="13.5" thickBot="1" x14ac:dyDescent="0.35">
      <c r="B549" s="9"/>
      <c r="C549" s="14" t="s">
        <v>451</v>
      </c>
      <c r="D549" s="14" t="s">
        <v>278</v>
      </c>
      <c r="E549" s="18" t="s">
        <v>0</v>
      </c>
      <c r="F549" s="17" t="s">
        <v>23</v>
      </c>
      <c r="G549" s="17">
        <f>G546*8</f>
        <v>0</v>
      </c>
      <c r="H549" s="13">
        <f t="shared" si="8"/>
        <v>0</v>
      </c>
    </row>
    <row r="550" spans="2:8" ht="13.5" thickBot="1" x14ac:dyDescent="0.35">
      <c r="B550" s="9"/>
      <c r="C550" s="14" t="s">
        <v>452</v>
      </c>
      <c r="D550" s="14" t="s">
        <v>278</v>
      </c>
      <c r="E550" s="18" t="s">
        <v>0</v>
      </c>
      <c r="F550" s="17" t="s">
        <v>23</v>
      </c>
      <c r="G550" s="17">
        <f>G546*8</f>
        <v>0</v>
      </c>
      <c r="H550" s="13">
        <f t="shared" si="8"/>
        <v>0</v>
      </c>
    </row>
    <row r="551" spans="2:8" ht="13.5" thickBot="1" x14ac:dyDescent="0.35">
      <c r="B551" s="9"/>
      <c r="C551" s="14" t="s">
        <v>462</v>
      </c>
      <c r="D551" s="14" t="s">
        <v>278</v>
      </c>
      <c r="E551" s="18" t="s">
        <v>9</v>
      </c>
      <c r="F551" s="17" t="s">
        <v>23</v>
      </c>
      <c r="G551" s="17">
        <f>G546</f>
        <v>0</v>
      </c>
      <c r="H551" s="13">
        <f t="shared" si="8"/>
        <v>0</v>
      </c>
    </row>
    <row r="552" spans="2:8" ht="13.5" thickBot="1" x14ac:dyDescent="0.35">
      <c r="B552" s="9">
        <f>COUNT($B$4:B551)+1</f>
        <v>330</v>
      </c>
      <c r="C552" s="10" t="s">
        <v>463</v>
      </c>
      <c r="D552" s="10"/>
      <c r="E552" s="11" t="s">
        <v>9</v>
      </c>
      <c r="F552" s="12" t="s">
        <v>23</v>
      </c>
      <c r="G552" s="12"/>
      <c r="H552" s="13">
        <f t="shared" si="8"/>
        <v>0</v>
      </c>
    </row>
    <row r="553" spans="2:8" ht="13.5" thickBot="1" x14ac:dyDescent="0.35">
      <c r="B553" s="9"/>
      <c r="C553" s="14" t="s">
        <v>449</v>
      </c>
      <c r="D553" s="14" t="s">
        <v>278</v>
      </c>
      <c r="E553" s="18" t="s">
        <v>0</v>
      </c>
      <c r="F553" s="17" t="s">
        <v>23</v>
      </c>
      <c r="G553" s="17">
        <f>G552*8</f>
        <v>0</v>
      </c>
      <c r="H553" s="13">
        <f t="shared" si="8"/>
        <v>0</v>
      </c>
    </row>
    <row r="554" spans="2:8" ht="13.5" thickBot="1" x14ac:dyDescent="0.35">
      <c r="B554" s="9"/>
      <c r="C554" s="14" t="s">
        <v>464</v>
      </c>
      <c r="D554" s="14" t="s">
        <v>278</v>
      </c>
      <c r="E554" s="18" t="s">
        <v>9</v>
      </c>
      <c r="F554" s="17" t="s">
        <v>23</v>
      </c>
      <c r="G554" s="17">
        <f>G552</f>
        <v>0</v>
      </c>
      <c r="H554" s="13">
        <f t="shared" si="8"/>
        <v>0</v>
      </c>
    </row>
    <row r="555" spans="2:8" ht="13.5" thickBot="1" x14ac:dyDescent="0.35">
      <c r="B555" s="9"/>
      <c r="C555" s="14" t="s">
        <v>451</v>
      </c>
      <c r="D555" s="14" t="s">
        <v>278</v>
      </c>
      <c r="E555" s="18" t="s">
        <v>0</v>
      </c>
      <c r="F555" s="17" t="s">
        <v>23</v>
      </c>
      <c r="G555" s="17">
        <f>G552*8</f>
        <v>0</v>
      </c>
      <c r="H555" s="13">
        <f t="shared" si="8"/>
        <v>0</v>
      </c>
    </row>
    <row r="556" spans="2:8" ht="13.5" thickBot="1" x14ac:dyDescent="0.35">
      <c r="B556" s="9"/>
      <c r="C556" s="14" t="s">
        <v>452</v>
      </c>
      <c r="D556" s="14" t="s">
        <v>278</v>
      </c>
      <c r="E556" s="18" t="s">
        <v>0</v>
      </c>
      <c r="F556" s="17" t="s">
        <v>23</v>
      </c>
      <c r="G556" s="17">
        <f>G552*8</f>
        <v>0</v>
      </c>
      <c r="H556" s="13">
        <f t="shared" si="8"/>
        <v>0</v>
      </c>
    </row>
    <row r="557" spans="2:8" ht="13.5" thickBot="1" x14ac:dyDescent="0.35">
      <c r="B557" s="9"/>
      <c r="C557" s="14" t="s">
        <v>465</v>
      </c>
      <c r="D557" s="14" t="s">
        <v>278</v>
      </c>
      <c r="E557" s="18" t="s">
        <v>9</v>
      </c>
      <c r="F557" s="17" t="s">
        <v>23</v>
      </c>
      <c r="G557" s="17">
        <f>G552</f>
        <v>0</v>
      </c>
      <c r="H557" s="13">
        <f t="shared" si="8"/>
        <v>0</v>
      </c>
    </row>
    <row r="558" spans="2:8" ht="13.5" thickBot="1" x14ac:dyDescent="0.35">
      <c r="B558" s="9">
        <f>COUNT($B$4:B557)+1</f>
        <v>331</v>
      </c>
      <c r="C558" s="10" t="s">
        <v>466</v>
      </c>
      <c r="D558" s="10"/>
      <c r="E558" s="11" t="s">
        <v>9</v>
      </c>
      <c r="F558" s="12" t="s">
        <v>23</v>
      </c>
      <c r="G558" s="12"/>
      <c r="H558" s="13">
        <f t="shared" si="8"/>
        <v>0</v>
      </c>
    </row>
    <row r="559" spans="2:8" ht="13.5" thickBot="1" x14ac:dyDescent="0.35">
      <c r="B559" s="9"/>
      <c r="C559" s="14" t="s">
        <v>449</v>
      </c>
      <c r="D559" s="14" t="s">
        <v>278</v>
      </c>
      <c r="E559" s="18" t="s">
        <v>0</v>
      </c>
      <c r="F559" s="17" t="s">
        <v>23</v>
      </c>
      <c r="G559" s="17">
        <f>G558*8</f>
        <v>0</v>
      </c>
      <c r="H559" s="13">
        <f t="shared" si="8"/>
        <v>0</v>
      </c>
    </row>
    <row r="560" spans="2:8" ht="13.5" thickBot="1" x14ac:dyDescent="0.35">
      <c r="B560" s="9"/>
      <c r="C560" s="14" t="s">
        <v>467</v>
      </c>
      <c r="D560" s="14" t="s">
        <v>278</v>
      </c>
      <c r="E560" s="18" t="s">
        <v>9</v>
      </c>
      <c r="F560" s="17" t="s">
        <v>23</v>
      </c>
      <c r="G560" s="17">
        <f>G558</f>
        <v>0</v>
      </c>
      <c r="H560" s="13">
        <f t="shared" si="8"/>
        <v>0</v>
      </c>
    </row>
    <row r="561" spans="2:8" ht="13.5" thickBot="1" x14ac:dyDescent="0.35">
      <c r="B561" s="9"/>
      <c r="C561" s="14" t="s">
        <v>451</v>
      </c>
      <c r="D561" s="14" t="s">
        <v>278</v>
      </c>
      <c r="E561" s="18" t="s">
        <v>0</v>
      </c>
      <c r="F561" s="17" t="s">
        <v>23</v>
      </c>
      <c r="G561" s="17">
        <f>G558*8</f>
        <v>0</v>
      </c>
      <c r="H561" s="13">
        <f t="shared" si="8"/>
        <v>0</v>
      </c>
    </row>
    <row r="562" spans="2:8" ht="13.5" thickBot="1" x14ac:dyDescent="0.35">
      <c r="B562" s="9"/>
      <c r="C562" s="14" t="s">
        <v>452</v>
      </c>
      <c r="D562" s="14" t="s">
        <v>278</v>
      </c>
      <c r="E562" s="18" t="s">
        <v>0</v>
      </c>
      <c r="F562" s="17" t="s">
        <v>23</v>
      </c>
      <c r="G562" s="17">
        <f>G558*8</f>
        <v>0</v>
      </c>
      <c r="H562" s="13">
        <f t="shared" si="8"/>
        <v>0</v>
      </c>
    </row>
    <row r="563" spans="2:8" ht="13.5" thickBot="1" x14ac:dyDescent="0.35">
      <c r="B563" s="9"/>
      <c r="C563" s="14" t="s">
        <v>468</v>
      </c>
      <c r="D563" s="14" t="s">
        <v>278</v>
      </c>
      <c r="E563" s="18" t="s">
        <v>9</v>
      </c>
      <c r="F563" s="17" t="s">
        <v>23</v>
      </c>
      <c r="G563" s="17">
        <f>G558</f>
        <v>0</v>
      </c>
      <c r="H563" s="13">
        <f t="shared" si="8"/>
        <v>0</v>
      </c>
    </row>
    <row r="564" spans="2:8" ht="13.5" thickBot="1" x14ac:dyDescent="0.35">
      <c r="B564" s="9">
        <f>COUNT($B$4:B563)+1</f>
        <v>332</v>
      </c>
      <c r="C564" s="10" t="s">
        <v>469</v>
      </c>
      <c r="D564" s="10"/>
      <c r="E564" s="11" t="s">
        <v>9</v>
      </c>
      <c r="F564" s="12" t="s">
        <v>23</v>
      </c>
      <c r="G564" s="12"/>
      <c r="H564" s="13">
        <f t="shared" si="8"/>
        <v>0</v>
      </c>
    </row>
    <row r="565" spans="2:8" ht="13.5" thickBot="1" x14ac:dyDescent="0.35">
      <c r="B565" s="9"/>
      <c r="C565" s="14" t="s">
        <v>449</v>
      </c>
      <c r="D565" s="14" t="s">
        <v>278</v>
      </c>
      <c r="E565" s="18" t="s">
        <v>0</v>
      </c>
      <c r="F565" s="17" t="s">
        <v>23</v>
      </c>
      <c r="G565" s="17">
        <f>G564*8</f>
        <v>0</v>
      </c>
      <c r="H565" s="13">
        <f t="shared" si="8"/>
        <v>0</v>
      </c>
    </row>
    <row r="566" spans="2:8" ht="13.5" thickBot="1" x14ac:dyDescent="0.35">
      <c r="B566" s="9"/>
      <c r="C566" s="14" t="s">
        <v>470</v>
      </c>
      <c r="D566" s="14" t="s">
        <v>278</v>
      </c>
      <c r="E566" s="18" t="s">
        <v>9</v>
      </c>
      <c r="F566" s="17" t="s">
        <v>23</v>
      </c>
      <c r="G566" s="17">
        <f>G564</f>
        <v>0</v>
      </c>
      <c r="H566" s="13">
        <f t="shared" si="8"/>
        <v>0</v>
      </c>
    </row>
    <row r="567" spans="2:8" ht="13.5" thickBot="1" x14ac:dyDescent="0.35">
      <c r="B567" s="9"/>
      <c r="C567" s="14" t="s">
        <v>451</v>
      </c>
      <c r="D567" s="14" t="s">
        <v>278</v>
      </c>
      <c r="E567" s="18" t="s">
        <v>0</v>
      </c>
      <c r="F567" s="17" t="s">
        <v>23</v>
      </c>
      <c r="G567" s="17">
        <f>G564*8</f>
        <v>0</v>
      </c>
      <c r="H567" s="13">
        <f t="shared" si="8"/>
        <v>0</v>
      </c>
    </row>
    <row r="568" spans="2:8" ht="13.5" thickBot="1" x14ac:dyDescent="0.35">
      <c r="B568" s="9"/>
      <c r="C568" s="14" t="s">
        <v>452</v>
      </c>
      <c r="D568" s="14" t="s">
        <v>278</v>
      </c>
      <c r="E568" s="18" t="s">
        <v>0</v>
      </c>
      <c r="F568" s="17" t="s">
        <v>23</v>
      </c>
      <c r="G568" s="17">
        <f>G564*8</f>
        <v>0</v>
      </c>
      <c r="H568" s="13">
        <f t="shared" si="8"/>
        <v>0</v>
      </c>
    </row>
    <row r="569" spans="2:8" ht="13.5" thickBot="1" x14ac:dyDescent="0.35">
      <c r="B569" s="9"/>
      <c r="C569" s="14" t="s">
        <v>471</v>
      </c>
      <c r="D569" s="14" t="s">
        <v>278</v>
      </c>
      <c r="E569" s="18" t="s">
        <v>9</v>
      </c>
      <c r="F569" s="17" t="s">
        <v>23</v>
      </c>
      <c r="G569" s="17">
        <f>G564</f>
        <v>0</v>
      </c>
      <c r="H569" s="13">
        <f t="shared" si="8"/>
        <v>0</v>
      </c>
    </row>
    <row r="570" spans="2:8" ht="13.5" thickBot="1" x14ac:dyDescent="0.35">
      <c r="B570" s="9">
        <f>COUNT($B$4:B569)+1</f>
        <v>333</v>
      </c>
      <c r="C570" s="10" t="s">
        <v>472</v>
      </c>
      <c r="D570" s="10"/>
      <c r="E570" s="11" t="s">
        <v>9</v>
      </c>
      <c r="F570" s="12" t="s">
        <v>23</v>
      </c>
      <c r="G570" s="12"/>
      <c r="H570" s="13">
        <f t="shared" si="8"/>
        <v>0</v>
      </c>
    </row>
    <row r="571" spans="2:8" ht="13.5" thickBot="1" x14ac:dyDescent="0.35">
      <c r="B571" s="9"/>
      <c r="C571" s="14" t="s">
        <v>449</v>
      </c>
      <c r="D571" s="14" t="s">
        <v>278</v>
      </c>
      <c r="E571" s="18" t="s">
        <v>0</v>
      </c>
      <c r="F571" s="17" t="s">
        <v>23</v>
      </c>
      <c r="G571" s="17">
        <f>G570*8</f>
        <v>0</v>
      </c>
      <c r="H571" s="13">
        <f t="shared" si="8"/>
        <v>0</v>
      </c>
    </row>
    <row r="572" spans="2:8" ht="13.5" thickBot="1" x14ac:dyDescent="0.35">
      <c r="B572" s="9"/>
      <c r="C572" s="14" t="s">
        <v>473</v>
      </c>
      <c r="D572" s="14" t="s">
        <v>278</v>
      </c>
      <c r="E572" s="18" t="s">
        <v>9</v>
      </c>
      <c r="F572" s="17" t="s">
        <v>23</v>
      </c>
      <c r="G572" s="17">
        <f>G570</f>
        <v>0</v>
      </c>
      <c r="H572" s="13">
        <f t="shared" si="8"/>
        <v>0</v>
      </c>
    </row>
    <row r="573" spans="2:8" ht="13.5" thickBot="1" x14ac:dyDescent="0.35">
      <c r="B573" s="9"/>
      <c r="C573" s="14" t="s">
        <v>451</v>
      </c>
      <c r="D573" s="14" t="s">
        <v>278</v>
      </c>
      <c r="E573" s="18" t="s">
        <v>0</v>
      </c>
      <c r="F573" s="17" t="s">
        <v>23</v>
      </c>
      <c r="G573" s="17">
        <f>G570*8</f>
        <v>0</v>
      </c>
      <c r="H573" s="13">
        <f t="shared" si="8"/>
        <v>0</v>
      </c>
    </row>
    <row r="574" spans="2:8" ht="13.5" thickBot="1" x14ac:dyDescent="0.35">
      <c r="B574" s="9"/>
      <c r="C574" s="14" t="s">
        <v>452</v>
      </c>
      <c r="D574" s="14" t="s">
        <v>278</v>
      </c>
      <c r="E574" s="18" t="s">
        <v>0</v>
      </c>
      <c r="F574" s="17" t="s">
        <v>23</v>
      </c>
      <c r="G574" s="17">
        <f>G570*8</f>
        <v>0</v>
      </c>
      <c r="H574" s="13">
        <f t="shared" si="8"/>
        <v>0</v>
      </c>
    </row>
    <row r="575" spans="2:8" ht="13.5" thickBot="1" x14ac:dyDescent="0.35">
      <c r="B575" s="9"/>
      <c r="C575" s="14" t="s">
        <v>474</v>
      </c>
      <c r="D575" s="14" t="s">
        <v>278</v>
      </c>
      <c r="E575" s="18" t="s">
        <v>9</v>
      </c>
      <c r="F575" s="17" t="s">
        <v>23</v>
      </c>
      <c r="G575" s="17">
        <f>G570</f>
        <v>0</v>
      </c>
      <c r="H575" s="13">
        <f t="shared" si="8"/>
        <v>0</v>
      </c>
    </row>
    <row r="576" spans="2:8" ht="13.5" thickBot="1" x14ac:dyDescent="0.35">
      <c r="B576" s="9">
        <f>COUNT($B$4:B575)+1</f>
        <v>334</v>
      </c>
      <c r="C576" s="10" t="s">
        <v>475</v>
      </c>
      <c r="D576" s="10" t="s">
        <v>25</v>
      </c>
      <c r="E576" s="11" t="s">
        <v>9</v>
      </c>
      <c r="F576" s="12" t="s">
        <v>23</v>
      </c>
      <c r="G576" s="12"/>
      <c r="H576" s="13">
        <f t="shared" si="8"/>
        <v>0</v>
      </c>
    </row>
    <row r="577" spans="2:8" ht="13.5" thickBot="1" x14ac:dyDescent="0.35">
      <c r="B577" s="9">
        <f>COUNT($B$4:B576)+1</f>
        <v>335</v>
      </c>
      <c r="C577" s="10" t="s">
        <v>476</v>
      </c>
      <c r="D577" s="10" t="s">
        <v>25</v>
      </c>
      <c r="E577" s="11" t="s">
        <v>9</v>
      </c>
      <c r="F577" s="12" t="s">
        <v>23</v>
      </c>
      <c r="G577" s="12"/>
      <c r="H577" s="13">
        <f t="shared" si="8"/>
        <v>0</v>
      </c>
    </row>
    <row r="578" spans="2:8" ht="13.5" thickBot="1" x14ac:dyDescent="0.35">
      <c r="B578" s="9">
        <f>COUNT($B$4:B577)+1</f>
        <v>336</v>
      </c>
      <c r="C578" s="10" t="s">
        <v>477</v>
      </c>
      <c r="D578" s="10" t="s">
        <v>25</v>
      </c>
      <c r="E578" s="11" t="s">
        <v>9</v>
      </c>
      <c r="F578" s="12" t="s">
        <v>23</v>
      </c>
      <c r="G578" s="12"/>
      <c r="H578" s="13">
        <f t="shared" si="8"/>
        <v>0</v>
      </c>
    </row>
    <row r="579" spans="2:8" ht="13.5" thickBot="1" x14ac:dyDescent="0.35">
      <c r="B579" s="9">
        <f>COUNT($B$4:B578)+1</f>
        <v>337</v>
      </c>
      <c r="C579" s="10" t="s">
        <v>478</v>
      </c>
      <c r="D579" s="10" t="s">
        <v>25</v>
      </c>
      <c r="E579" s="11" t="s">
        <v>9</v>
      </c>
      <c r="F579" s="12" t="s">
        <v>23</v>
      </c>
      <c r="G579" s="12"/>
      <c r="H579" s="13">
        <f t="shared" si="8"/>
        <v>0</v>
      </c>
    </row>
    <row r="580" spans="2:8" ht="13.5" thickBot="1" x14ac:dyDescent="0.35">
      <c r="B580" s="9">
        <f>COUNT($B$4:B579)+1</f>
        <v>338</v>
      </c>
      <c r="C580" s="10" t="s">
        <v>479</v>
      </c>
      <c r="D580" s="10" t="s">
        <v>25</v>
      </c>
      <c r="E580" s="11" t="s">
        <v>9</v>
      </c>
      <c r="F580" s="12" t="s">
        <v>23</v>
      </c>
      <c r="G580" s="12"/>
      <c r="H580" s="13">
        <f t="shared" si="8"/>
        <v>0</v>
      </c>
    </row>
    <row r="581" spans="2:8" ht="13.5" thickBot="1" x14ac:dyDescent="0.35">
      <c r="B581" s="9">
        <f>COUNT($B$4:B580)+1</f>
        <v>339</v>
      </c>
      <c r="C581" s="10" t="s">
        <v>480</v>
      </c>
      <c r="D581" s="10" t="s">
        <v>25</v>
      </c>
      <c r="E581" s="11" t="s">
        <v>9</v>
      </c>
      <c r="F581" s="12" t="s">
        <v>23</v>
      </c>
      <c r="G581" s="12"/>
      <c r="H581" s="13">
        <f t="shared" ref="H581:H644" si="9">SUM(G581:G581)</f>
        <v>0</v>
      </c>
    </row>
    <row r="582" spans="2:8" ht="13.5" thickBot="1" x14ac:dyDescent="0.35">
      <c r="B582" s="9">
        <f>COUNT($B$4:B581)+1</f>
        <v>340</v>
      </c>
      <c r="C582" s="10" t="s">
        <v>481</v>
      </c>
      <c r="D582" s="10" t="s">
        <v>25</v>
      </c>
      <c r="E582" s="11" t="s">
        <v>9</v>
      </c>
      <c r="F582" s="12" t="s">
        <v>23</v>
      </c>
      <c r="G582" s="12"/>
      <c r="H582" s="13">
        <f t="shared" si="9"/>
        <v>0</v>
      </c>
    </row>
    <row r="583" spans="2:8" ht="13.5" thickBot="1" x14ac:dyDescent="0.35">
      <c r="B583" s="9">
        <f>COUNT($B$4:B582)+1</f>
        <v>341</v>
      </c>
      <c r="C583" s="10" t="s">
        <v>482</v>
      </c>
      <c r="D583" s="10" t="s">
        <v>25</v>
      </c>
      <c r="E583" s="11" t="s">
        <v>9</v>
      </c>
      <c r="F583" s="12" t="s">
        <v>23</v>
      </c>
      <c r="G583" s="12"/>
      <c r="H583" s="13">
        <f t="shared" si="9"/>
        <v>0</v>
      </c>
    </row>
    <row r="584" spans="2:8" ht="13.5" thickBot="1" x14ac:dyDescent="0.35">
      <c r="B584" s="9">
        <f>COUNT($B$4:B583)+1</f>
        <v>342</v>
      </c>
      <c r="C584" s="10" t="s">
        <v>483</v>
      </c>
      <c r="D584" s="10" t="s">
        <v>25</v>
      </c>
      <c r="E584" s="11" t="s">
        <v>9</v>
      </c>
      <c r="F584" s="12" t="s">
        <v>23</v>
      </c>
      <c r="G584" s="12"/>
      <c r="H584" s="13">
        <f t="shared" si="9"/>
        <v>0</v>
      </c>
    </row>
    <row r="585" spans="2:8" ht="13.5" thickBot="1" x14ac:dyDescent="0.35">
      <c r="B585" s="9">
        <f>COUNT($B$4:B584)+1</f>
        <v>343</v>
      </c>
      <c r="C585" s="10" t="s">
        <v>484</v>
      </c>
      <c r="D585" s="10" t="s">
        <v>25</v>
      </c>
      <c r="E585" s="11" t="s">
        <v>9</v>
      </c>
      <c r="F585" s="12" t="s">
        <v>23</v>
      </c>
      <c r="G585" s="12"/>
      <c r="H585" s="13">
        <f t="shared" si="9"/>
        <v>0</v>
      </c>
    </row>
    <row r="586" spans="2:8" ht="13.5" thickBot="1" x14ac:dyDescent="0.35">
      <c r="B586" s="9">
        <f>COUNT($B$4:B585)+1</f>
        <v>344</v>
      </c>
      <c r="C586" s="10" t="s">
        <v>485</v>
      </c>
      <c r="D586" s="10" t="s">
        <v>25</v>
      </c>
      <c r="E586" s="11" t="s">
        <v>9</v>
      </c>
      <c r="F586" s="12" t="s">
        <v>23</v>
      </c>
      <c r="G586" s="12"/>
      <c r="H586" s="13">
        <f t="shared" si="9"/>
        <v>0</v>
      </c>
    </row>
    <row r="587" spans="2:8" ht="13.5" thickBot="1" x14ac:dyDescent="0.35">
      <c r="B587" s="9">
        <f>COUNT($B$4:B586)+1</f>
        <v>345</v>
      </c>
      <c r="C587" s="10" t="s">
        <v>486</v>
      </c>
      <c r="D587" s="10" t="s">
        <v>25</v>
      </c>
      <c r="E587" s="11" t="s">
        <v>9</v>
      </c>
      <c r="F587" s="12" t="s">
        <v>23</v>
      </c>
      <c r="G587" s="12"/>
      <c r="H587" s="13">
        <f t="shared" si="9"/>
        <v>0</v>
      </c>
    </row>
    <row r="588" spans="2:8" ht="13.5" thickBot="1" x14ac:dyDescent="0.35">
      <c r="B588" s="9">
        <f>COUNT($B$4:B587)+1</f>
        <v>346</v>
      </c>
      <c r="C588" s="10" t="s">
        <v>487</v>
      </c>
      <c r="D588" s="10" t="s">
        <v>25</v>
      </c>
      <c r="E588" s="11" t="s">
        <v>9</v>
      </c>
      <c r="F588" s="12" t="s">
        <v>23</v>
      </c>
      <c r="G588" s="12"/>
      <c r="H588" s="13">
        <f t="shared" si="9"/>
        <v>0</v>
      </c>
    </row>
    <row r="589" spans="2:8" ht="13.5" thickBot="1" x14ac:dyDescent="0.35">
      <c r="B589" s="9">
        <f>COUNT($B$4:B588)+1</f>
        <v>347</v>
      </c>
      <c r="C589" s="10" t="s">
        <v>488</v>
      </c>
      <c r="D589" s="10" t="s">
        <v>25</v>
      </c>
      <c r="E589" s="11" t="s">
        <v>9</v>
      </c>
      <c r="F589" s="12" t="s">
        <v>23</v>
      </c>
      <c r="G589" s="12"/>
      <c r="H589" s="13">
        <f t="shared" si="9"/>
        <v>0</v>
      </c>
    </row>
    <row r="590" spans="2:8" ht="13.5" thickBot="1" x14ac:dyDescent="0.35">
      <c r="B590" s="9">
        <f>COUNT($B$4:B589)+1</f>
        <v>348</v>
      </c>
      <c r="C590" s="10" t="s">
        <v>489</v>
      </c>
      <c r="D590" s="10" t="s">
        <v>25</v>
      </c>
      <c r="E590" s="11" t="s">
        <v>9</v>
      </c>
      <c r="F590" s="12" t="s">
        <v>23</v>
      </c>
      <c r="G590" s="12"/>
      <c r="H590" s="13">
        <f t="shared" si="9"/>
        <v>0</v>
      </c>
    </row>
    <row r="591" spans="2:8" ht="13.5" thickBot="1" x14ac:dyDescent="0.35">
      <c r="B591" s="9">
        <f>COUNT($B$4:B590)+1</f>
        <v>349</v>
      </c>
      <c r="C591" s="10" t="s">
        <v>490</v>
      </c>
      <c r="D591" s="10" t="s">
        <v>25</v>
      </c>
      <c r="E591" s="11" t="s">
        <v>9</v>
      </c>
      <c r="F591" s="12" t="s">
        <v>23</v>
      </c>
      <c r="G591" s="12"/>
      <c r="H591" s="13">
        <f t="shared" si="9"/>
        <v>0</v>
      </c>
    </row>
    <row r="592" spans="2:8" ht="13.5" thickBot="1" x14ac:dyDescent="0.35">
      <c r="B592" s="9">
        <f>COUNT($B$4:B591)+1</f>
        <v>350</v>
      </c>
      <c r="C592" s="10" t="s">
        <v>491</v>
      </c>
      <c r="D592" s="10"/>
      <c r="E592" s="11" t="s">
        <v>9</v>
      </c>
      <c r="F592" s="12" t="s">
        <v>23</v>
      </c>
      <c r="G592" s="12"/>
      <c r="H592" s="13">
        <f t="shared" si="9"/>
        <v>0</v>
      </c>
    </row>
    <row r="593" spans="2:8" ht="13.5" thickBot="1" x14ac:dyDescent="0.35">
      <c r="B593" s="9"/>
      <c r="C593" s="14" t="s">
        <v>449</v>
      </c>
      <c r="D593" s="14" t="s">
        <v>278</v>
      </c>
      <c r="E593" s="18" t="s">
        <v>0</v>
      </c>
      <c r="F593" s="17" t="s">
        <v>23</v>
      </c>
      <c r="G593" s="17">
        <f>G592*8</f>
        <v>0</v>
      </c>
      <c r="H593" s="13">
        <f t="shared" si="9"/>
        <v>0</v>
      </c>
    </row>
    <row r="594" spans="2:8" ht="13.5" thickBot="1" x14ac:dyDescent="0.35">
      <c r="B594" s="9"/>
      <c r="C594" s="14" t="s">
        <v>492</v>
      </c>
      <c r="D594" s="14" t="s">
        <v>278</v>
      </c>
      <c r="E594" s="18" t="s">
        <v>9</v>
      </c>
      <c r="F594" s="17" t="s">
        <v>23</v>
      </c>
      <c r="G594" s="17">
        <f>G592</f>
        <v>0</v>
      </c>
      <c r="H594" s="13">
        <f t="shared" si="9"/>
        <v>0</v>
      </c>
    </row>
    <row r="595" spans="2:8" ht="13.5" thickBot="1" x14ac:dyDescent="0.35">
      <c r="B595" s="9"/>
      <c r="C595" s="14" t="s">
        <v>451</v>
      </c>
      <c r="D595" s="14" t="s">
        <v>278</v>
      </c>
      <c r="E595" s="18" t="s">
        <v>0</v>
      </c>
      <c r="F595" s="17" t="s">
        <v>23</v>
      </c>
      <c r="G595" s="17">
        <f>G592*8</f>
        <v>0</v>
      </c>
      <c r="H595" s="13">
        <f t="shared" si="9"/>
        <v>0</v>
      </c>
    </row>
    <row r="596" spans="2:8" ht="13.5" thickBot="1" x14ac:dyDescent="0.35">
      <c r="B596" s="9"/>
      <c r="C596" s="14" t="s">
        <v>452</v>
      </c>
      <c r="D596" s="14" t="s">
        <v>278</v>
      </c>
      <c r="E596" s="18" t="s">
        <v>0</v>
      </c>
      <c r="F596" s="17" t="s">
        <v>23</v>
      </c>
      <c r="G596" s="17">
        <f>G592*8</f>
        <v>0</v>
      </c>
      <c r="H596" s="13">
        <f t="shared" si="9"/>
        <v>0</v>
      </c>
    </row>
    <row r="597" spans="2:8" ht="13.5" thickBot="1" x14ac:dyDescent="0.35">
      <c r="B597" s="9"/>
      <c r="C597" s="14" t="s">
        <v>493</v>
      </c>
      <c r="D597" s="14" t="s">
        <v>278</v>
      </c>
      <c r="E597" s="18" t="s">
        <v>9</v>
      </c>
      <c r="F597" s="17" t="s">
        <v>23</v>
      </c>
      <c r="G597" s="17">
        <f>G592</f>
        <v>0</v>
      </c>
      <c r="H597" s="13">
        <f t="shared" si="9"/>
        <v>0</v>
      </c>
    </row>
    <row r="598" spans="2:8" ht="13.5" thickBot="1" x14ac:dyDescent="0.35">
      <c r="B598" s="9">
        <f>COUNT($B$4:B597)+1</f>
        <v>351</v>
      </c>
      <c r="C598" s="10" t="s">
        <v>494</v>
      </c>
      <c r="D598" s="10"/>
      <c r="E598" s="11" t="s">
        <v>9</v>
      </c>
      <c r="F598" s="12" t="s">
        <v>23</v>
      </c>
      <c r="G598" s="12"/>
      <c r="H598" s="13">
        <f t="shared" si="9"/>
        <v>0</v>
      </c>
    </row>
    <row r="599" spans="2:8" ht="13.5" thickBot="1" x14ac:dyDescent="0.35">
      <c r="B599" s="9"/>
      <c r="C599" s="14" t="s">
        <v>449</v>
      </c>
      <c r="D599" s="14" t="s">
        <v>278</v>
      </c>
      <c r="E599" s="18" t="s">
        <v>0</v>
      </c>
      <c r="F599" s="17" t="s">
        <v>23</v>
      </c>
      <c r="G599" s="17">
        <f>G598*8</f>
        <v>0</v>
      </c>
      <c r="H599" s="13">
        <f t="shared" si="9"/>
        <v>0</v>
      </c>
    </row>
    <row r="600" spans="2:8" ht="13.5" thickBot="1" x14ac:dyDescent="0.35">
      <c r="B600" s="9"/>
      <c r="C600" s="14" t="s">
        <v>495</v>
      </c>
      <c r="D600" s="14" t="s">
        <v>278</v>
      </c>
      <c r="E600" s="18" t="s">
        <v>9</v>
      </c>
      <c r="F600" s="17" t="s">
        <v>23</v>
      </c>
      <c r="G600" s="17">
        <f>G598</f>
        <v>0</v>
      </c>
      <c r="H600" s="13">
        <f t="shared" si="9"/>
        <v>0</v>
      </c>
    </row>
    <row r="601" spans="2:8" ht="13.5" thickBot="1" x14ac:dyDescent="0.35">
      <c r="B601" s="9"/>
      <c r="C601" s="14" t="s">
        <v>451</v>
      </c>
      <c r="D601" s="14" t="s">
        <v>278</v>
      </c>
      <c r="E601" s="18" t="s">
        <v>0</v>
      </c>
      <c r="F601" s="17" t="s">
        <v>23</v>
      </c>
      <c r="G601" s="17">
        <f>G598*8</f>
        <v>0</v>
      </c>
      <c r="H601" s="13">
        <f t="shared" si="9"/>
        <v>0</v>
      </c>
    </row>
    <row r="602" spans="2:8" ht="13.5" thickBot="1" x14ac:dyDescent="0.35">
      <c r="B602" s="9"/>
      <c r="C602" s="14" t="s">
        <v>452</v>
      </c>
      <c r="D602" s="14" t="s">
        <v>278</v>
      </c>
      <c r="E602" s="18" t="s">
        <v>0</v>
      </c>
      <c r="F602" s="17" t="s">
        <v>23</v>
      </c>
      <c r="G602" s="17">
        <f>G598*8</f>
        <v>0</v>
      </c>
      <c r="H602" s="13">
        <f t="shared" si="9"/>
        <v>0</v>
      </c>
    </row>
    <row r="603" spans="2:8" ht="13.5" thickBot="1" x14ac:dyDescent="0.35">
      <c r="B603" s="9"/>
      <c r="C603" s="14" t="s">
        <v>496</v>
      </c>
      <c r="D603" s="14" t="s">
        <v>278</v>
      </c>
      <c r="E603" s="18" t="s">
        <v>9</v>
      </c>
      <c r="F603" s="17" t="s">
        <v>23</v>
      </c>
      <c r="G603" s="17">
        <f>G598</f>
        <v>0</v>
      </c>
      <c r="H603" s="13">
        <f t="shared" si="9"/>
        <v>0</v>
      </c>
    </row>
    <row r="604" spans="2:8" ht="13.5" thickBot="1" x14ac:dyDescent="0.35">
      <c r="B604" s="9">
        <f>COUNT($B$4:B603)+1</f>
        <v>352</v>
      </c>
      <c r="C604" s="10" t="s">
        <v>497</v>
      </c>
      <c r="D604" s="10"/>
      <c r="E604" s="11" t="s">
        <v>9</v>
      </c>
      <c r="F604" s="12" t="s">
        <v>23</v>
      </c>
      <c r="G604" s="12"/>
      <c r="H604" s="13">
        <f t="shared" si="9"/>
        <v>0</v>
      </c>
    </row>
    <row r="605" spans="2:8" ht="13.5" thickBot="1" x14ac:dyDescent="0.35">
      <c r="B605" s="9"/>
      <c r="C605" s="14" t="s">
        <v>449</v>
      </c>
      <c r="D605" s="14" t="s">
        <v>278</v>
      </c>
      <c r="E605" s="18" t="s">
        <v>0</v>
      </c>
      <c r="F605" s="17" t="s">
        <v>23</v>
      </c>
      <c r="G605" s="17">
        <f>G604*8</f>
        <v>0</v>
      </c>
      <c r="H605" s="13">
        <f t="shared" si="9"/>
        <v>0</v>
      </c>
    </row>
    <row r="606" spans="2:8" ht="13.5" thickBot="1" x14ac:dyDescent="0.35">
      <c r="B606" s="9"/>
      <c r="C606" s="14" t="s">
        <v>498</v>
      </c>
      <c r="D606" s="14" t="s">
        <v>278</v>
      </c>
      <c r="E606" s="18" t="s">
        <v>9</v>
      </c>
      <c r="F606" s="17" t="s">
        <v>23</v>
      </c>
      <c r="G606" s="17">
        <f>G604</f>
        <v>0</v>
      </c>
      <c r="H606" s="13">
        <f t="shared" si="9"/>
        <v>0</v>
      </c>
    </row>
    <row r="607" spans="2:8" ht="13.5" thickBot="1" x14ac:dyDescent="0.35">
      <c r="B607" s="9"/>
      <c r="C607" s="14" t="s">
        <v>451</v>
      </c>
      <c r="D607" s="14" t="s">
        <v>278</v>
      </c>
      <c r="E607" s="18" t="s">
        <v>0</v>
      </c>
      <c r="F607" s="17" t="s">
        <v>23</v>
      </c>
      <c r="G607" s="17">
        <f>G604*8</f>
        <v>0</v>
      </c>
      <c r="H607" s="13">
        <f t="shared" si="9"/>
        <v>0</v>
      </c>
    </row>
    <row r="608" spans="2:8" ht="13.5" thickBot="1" x14ac:dyDescent="0.35">
      <c r="B608" s="9"/>
      <c r="C608" s="14" t="s">
        <v>452</v>
      </c>
      <c r="D608" s="14" t="s">
        <v>278</v>
      </c>
      <c r="E608" s="18" t="s">
        <v>0</v>
      </c>
      <c r="F608" s="17" t="s">
        <v>23</v>
      </c>
      <c r="G608" s="17">
        <f>G604*8</f>
        <v>0</v>
      </c>
      <c r="H608" s="13">
        <f t="shared" si="9"/>
        <v>0</v>
      </c>
    </row>
    <row r="609" spans="2:8" ht="13.5" thickBot="1" x14ac:dyDescent="0.35">
      <c r="B609" s="9"/>
      <c r="C609" s="14" t="s">
        <v>499</v>
      </c>
      <c r="D609" s="14" t="s">
        <v>278</v>
      </c>
      <c r="E609" s="18" t="s">
        <v>9</v>
      </c>
      <c r="F609" s="17" t="s">
        <v>23</v>
      </c>
      <c r="G609" s="17">
        <f>G604</f>
        <v>0</v>
      </c>
      <c r="H609" s="13">
        <f t="shared" si="9"/>
        <v>0</v>
      </c>
    </row>
    <row r="610" spans="2:8" ht="13.5" thickBot="1" x14ac:dyDescent="0.35">
      <c r="B610" s="9">
        <f>COUNT($B$4:B609)+1</f>
        <v>353</v>
      </c>
      <c r="C610" s="10" t="s">
        <v>500</v>
      </c>
      <c r="D610" s="10"/>
      <c r="E610" s="11" t="s">
        <v>9</v>
      </c>
      <c r="F610" s="12" t="s">
        <v>23</v>
      </c>
      <c r="G610" s="12"/>
      <c r="H610" s="13">
        <f t="shared" si="9"/>
        <v>0</v>
      </c>
    </row>
    <row r="611" spans="2:8" ht="13.5" thickBot="1" x14ac:dyDescent="0.35">
      <c r="B611" s="9"/>
      <c r="C611" s="14" t="s">
        <v>449</v>
      </c>
      <c r="D611" s="14" t="s">
        <v>278</v>
      </c>
      <c r="E611" s="18" t="s">
        <v>0</v>
      </c>
      <c r="F611" s="17" t="s">
        <v>23</v>
      </c>
      <c r="G611" s="17">
        <f>G610*8</f>
        <v>0</v>
      </c>
      <c r="H611" s="13">
        <f t="shared" si="9"/>
        <v>0</v>
      </c>
    </row>
    <row r="612" spans="2:8" ht="13.5" thickBot="1" x14ac:dyDescent="0.35">
      <c r="B612" s="9"/>
      <c r="C612" s="14" t="s">
        <v>501</v>
      </c>
      <c r="D612" s="14" t="s">
        <v>278</v>
      </c>
      <c r="E612" s="18" t="s">
        <v>9</v>
      </c>
      <c r="F612" s="17" t="s">
        <v>23</v>
      </c>
      <c r="G612" s="17">
        <f>G610</f>
        <v>0</v>
      </c>
      <c r="H612" s="13">
        <f t="shared" si="9"/>
        <v>0</v>
      </c>
    </row>
    <row r="613" spans="2:8" ht="13.5" thickBot="1" x14ac:dyDescent="0.35">
      <c r="B613" s="9"/>
      <c r="C613" s="14" t="s">
        <v>451</v>
      </c>
      <c r="D613" s="14" t="s">
        <v>278</v>
      </c>
      <c r="E613" s="18" t="s">
        <v>0</v>
      </c>
      <c r="F613" s="17" t="s">
        <v>23</v>
      </c>
      <c r="G613" s="17">
        <f>G610*8</f>
        <v>0</v>
      </c>
      <c r="H613" s="13">
        <f t="shared" si="9"/>
        <v>0</v>
      </c>
    </row>
    <row r="614" spans="2:8" ht="13.5" thickBot="1" x14ac:dyDescent="0.35">
      <c r="B614" s="9"/>
      <c r="C614" s="14" t="s">
        <v>452</v>
      </c>
      <c r="D614" s="14" t="s">
        <v>278</v>
      </c>
      <c r="E614" s="18" t="s">
        <v>0</v>
      </c>
      <c r="F614" s="17" t="s">
        <v>23</v>
      </c>
      <c r="G614" s="17">
        <f>G610*8</f>
        <v>0</v>
      </c>
      <c r="H614" s="13">
        <f t="shared" si="9"/>
        <v>0</v>
      </c>
    </row>
    <row r="615" spans="2:8" ht="13.5" thickBot="1" x14ac:dyDescent="0.35">
      <c r="B615" s="9"/>
      <c r="C615" s="14" t="s">
        <v>502</v>
      </c>
      <c r="D615" s="14" t="s">
        <v>278</v>
      </c>
      <c r="E615" s="18" t="s">
        <v>9</v>
      </c>
      <c r="F615" s="17" t="s">
        <v>23</v>
      </c>
      <c r="G615" s="17">
        <f>G610</f>
        <v>0</v>
      </c>
      <c r="H615" s="13">
        <f t="shared" si="9"/>
        <v>0</v>
      </c>
    </row>
    <row r="616" spans="2:8" ht="13.5" thickBot="1" x14ac:dyDescent="0.35">
      <c r="B616" s="9">
        <f>COUNT($B$4:B615)+1</f>
        <v>354</v>
      </c>
      <c r="C616" s="10" t="s">
        <v>503</v>
      </c>
      <c r="D616" s="10"/>
      <c r="E616" s="11" t="s">
        <v>9</v>
      </c>
      <c r="F616" s="12" t="s">
        <v>23</v>
      </c>
      <c r="G616" s="12"/>
      <c r="H616" s="13">
        <f t="shared" si="9"/>
        <v>0</v>
      </c>
    </row>
    <row r="617" spans="2:8" ht="13.5" thickBot="1" x14ac:dyDescent="0.35">
      <c r="B617" s="9"/>
      <c r="C617" s="14" t="s">
        <v>449</v>
      </c>
      <c r="D617" s="14" t="s">
        <v>278</v>
      </c>
      <c r="E617" s="18" t="s">
        <v>0</v>
      </c>
      <c r="F617" s="17" t="s">
        <v>23</v>
      </c>
      <c r="G617" s="17">
        <f>G616*8</f>
        <v>0</v>
      </c>
      <c r="H617" s="13">
        <f t="shared" si="9"/>
        <v>0</v>
      </c>
    </row>
    <row r="618" spans="2:8" ht="13.5" thickBot="1" x14ac:dyDescent="0.35">
      <c r="B618" s="9"/>
      <c r="C618" s="14" t="s">
        <v>504</v>
      </c>
      <c r="D618" s="14" t="s">
        <v>278</v>
      </c>
      <c r="E618" s="18" t="s">
        <v>9</v>
      </c>
      <c r="F618" s="17" t="s">
        <v>23</v>
      </c>
      <c r="G618" s="17">
        <f>G616</f>
        <v>0</v>
      </c>
      <c r="H618" s="13">
        <f t="shared" si="9"/>
        <v>0</v>
      </c>
    </row>
    <row r="619" spans="2:8" ht="13.5" thickBot="1" x14ac:dyDescent="0.35">
      <c r="B619" s="9"/>
      <c r="C619" s="14" t="s">
        <v>451</v>
      </c>
      <c r="D619" s="14" t="s">
        <v>278</v>
      </c>
      <c r="E619" s="18" t="s">
        <v>0</v>
      </c>
      <c r="F619" s="17" t="s">
        <v>23</v>
      </c>
      <c r="G619" s="17">
        <f>G616*8</f>
        <v>0</v>
      </c>
      <c r="H619" s="13">
        <f t="shared" si="9"/>
        <v>0</v>
      </c>
    </row>
    <row r="620" spans="2:8" ht="13.5" thickBot="1" x14ac:dyDescent="0.35">
      <c r="B620" s="9"/>
      <c r="C620" s="14" t="s">
        <v>452</v>
      </c>
      <c r="D620" s="14" t="s">
        <v>278</v>
      </c>
      <c r="E620" s="18" t="s">
        <v>0</v>
      </c>
      <c r="F620" s="17" t="s">
        <v>23</v>
      </c>
      <c r="G620" s="17">
        <f>G616*8</f>
        <v>0</v>
      </c>
      <c r="H620" s="13">
        <f t="shared" si="9"/>
        <v>0</v>
      </c>
    </row>
    <row r="621" spans="2:8" ht="13.5" thickBot="1" x14ac:dyDescent="0.35">
      <c r="B621" s="9"/>
      <c r="C621" s="14" t="s">
        <v>505</v>
      </c>
      <c r="D621" s="14" t="s">
        <v>278</v>
      </c>
      <c r="E621" s="18" t="s">
        <v>9</v>
      </c>
      <c r="F621" s="17" t="s">
        <v>23</v>
      </c>
      <c r="G621" s="17">
        <f>G616</f>
        <v>0</v>
      </c>
      <c r="H621" s="13">
        <f t="shared" si="9"/>
        <v>0</v>
      </c>
    </row>
    <row r="622" spans="2:8" ht="13.5" thickBot="1" x14ac:dyDescent="0.35">
      <c r="B622" s="9">
        <f>COUNT($B$4:B621)+1</f>
        <v>355</v>
      </c>
      <c r="C622" s="10" t="s">
        <v>506</v>
      </c>
      <c r="D622" s="10"/>
      <c r="E622" s="11" t="s">
        <v>9</v>
      </c>
      <c r="F622" s="12" t="s">
        <v>23</v>
      </c>
      <c r="G622" s="12"/>
      <c r="H622" s="13">
        <f t="shared" si="9"/>
        <v>0</v>
      </c>
    </row>
    <row r="623" spans="2:8" ht="13.5" thickBot="1" x14ac:dyDescent="0.35">
      <c r="B623" s="9"/>
      <c r="C623" s="14" t="s">
        <v>449</v>
      </c>
      <c r="D623" s="14" t="s">
        <v>278</v>
      </c>
      <c r="E623" s="18" t="s">
        <v>0</v>
      </c>
      <c r="F623" s="17" t="s">
        <v>23</v>
      </c>
      <c r="G623" s="17">
        <f>G622*8</f>
        <v>0</v>
      </c>
      <c r="H623" s="13">
        <f t="shared" si="9"/>
        <v>0</v>
      </c>
    </row>
    <row r="624" spans="2:8" ht="13.5" thickBot="1" x14ac:dyDescent="0.35">
      <c r="B624" s="9"/>
      <c r="C624" s="14" t="s">
        <v>507</v>
      </c>
      <c r="D624" s="14" t="s">
        <v>278</v>
      </c>
      <c r="E624" s="18" t="s">
        <v>9</v>
      </c>
      <c r="F624" s="17" t="s">
        <v>23</v>
      </c>
      <c r="G624" s="17">
        <f>G622</f>
        <v>0</v>
      </c>
      <c r="H624" s="13">
        <f t="shared" si="9"/>
        <v>0</v>
      </c>
    </row>
    <row r="625" spans="2:8" ht="13.5" thickBot="1" x14ac:dyDescent="0.35">
      <c r="B625" s="9"/>
      <c r="C625" s="14" t="s">
        <v>451</v>
      </c>
      <c r="D625" s="14" t="s">
        <v>278</v>
      </c>
      <c r="E625" s="18" t="s">
        <v>0</v>
      </c>
      <c r="F625" s="17" t="s">
        <v>23</v>
      </c>
      <c r="G625" s="17">
        <f>G622*8</f>
        <v>0</v>
      </c>
      <c r="H625" s="13">
        <f t="shared" si="9"/>
        <v>0</v>
      </c>
    </row>
    <row r="626" spans="2:8" ht="13.5" thickBot="1" x14ac:dyDescent="0.35">
      <c r="B626" s="9"/>
      <c r="C626" s="14" t="s">
        <v>452</v>
      </c>
      <c r="D626" s="14" t="s">
        <v>278</v>
      </c>
      <c r="E626" s="18" t="s">
        <v>0</v>
      </c>
      <c r="F626" s="17" t="s">
        <v>23</v>
      </c>
      <c r="G626" s="17">
        <f>G622*8</f>
        <v>0</v>
      </c>
      <c r="H626" s="13">
        <f t="shared" si="9"/>
        <v>0</v>
      </c>
    </row>
    <row r="627" spans="2:8" ht="13.5" thickBot="1" x14ac:dyDescent="0.35">
      <c r="B627" s="9"/>
      <c r="C627" s="14" t="s">
        <v>508</v>
      </c>
      <c r="D627" s="14" t="s">
        <v>278</v>
      </c>
      <c r="E627" s="18" t="s">
        <v>9</v>
      </c>
      <c r="F627" s="17" t="s">
        <v>23</v>
      </c>
      <c r="G627" s="17">
        <f>G622</f>
        <v>0</v>
      </c>
      <c r="H627" s="13">
        <f t="shared" si="9"/>
        <v>0</v>
      </c>
    </row>
    <row r="628" spans="2:8" ht="13.5" thickBot="1" x14ac:dyDescent="0.35">
      <c r="B628" s="9">
        <f>COUNT($B$4:B627)+1</f>
        <v>356</v>
      </c>
      <c r="C628" s="10" t="s">
        <v>509</v>
      </c>
      <c r="D628" s="10"/>
      <c r="E628" s="11" t="s">
        <v>9</v>
      </c>
      <c r="F628" s="12" t="s">
        <v>23</v>
      </c>
      <c r="G628" s="12"/>
      <c r="H628" s="13">
        <f t="shared" si="9"/>
        <v>0</v>
      </c>
    </row>
    <row r="629" spans="2:8" ht="13.5" thickBot="1" x14ac:dyDescent="0.35">
      <c r="B629" s="9"/>
      <c r="C629" s="14" t="s">
        <v>449</v>
      </c>
      <c r="D629" s="14" t="s">
        <v>278</v>
      </c>
      <c r="E629" s="18" t="s">
        <v>0</v>
      </c>
      <c r="F629" s="17" t="s">
        <v>23</v>
      </c>
      <c r="G629" s="17">
        <f>G628*8</f>
        <v>0</v>
      </c>
      <c r="H629" s="13">
        <f t="shared" si="9"/>
        <v>0</v>
      </c>
    </row>
    <row r="630" spans="2:8" ht="13.5" thickBot="1" x14ac:dyDescent="0.35">
      <c r="B630" s="9"/>
      <c r="C630" s="14" t="s">
        <v>510</v>
      </c>
      <c r="D630" s="14" t="s">
        <v>278</v>
      </c>
      <c r="E630" s="18" t="s">
        <v>9</v>
      </c>
      <c r="F630" s="17" t="s">
        <v>23</v>
      </c>
      <c r="G630" s="17">
        <f>G628</f>
        <v>0</v>
      </c>
      <c r="H630" s="13">
        <f t="shared" si="9"/>
        <v>0</v>
      </c>
    </row>
    <row r="631" spans="2:8" ht="13.5" thickBot="1" x14ac:dyDescent="0.35">
      <c r="B631" s="9"/>
      <c r="C631" s="14" t="s">
        <v>451</v>
      </c>
      <c r="D631" s="14" t="s">
        <v>278</v>
      </c>
      <c r="E631" s="18" t="s">
        <v>0</v>
      </c>
      <c r="F631" s="17" t="s">
        <v>23</v>
      </c>
      <c r="G631" s="17">
        <f>G628*8</f>
        <v>0</v>
      </c>
      <c r="H631" s="13">
        <f t="shared" si="9"/>
        <v>0</v>
      </c>
    </row>
    <row r="632" spans="2:8" ht="13.5" thickBot="1" x14ac:dyDescent="0.35">
      <c r="B632" s="9"/>
      <c r="C632" s="14" t="s">
        <v>452</v>
      </c>
      <c r="D632" s="14" t="s">
        <v>278</v>
      </c>
      <c r="E632" s="18" t="s">
        <v>0</v>
      </c>
      <c r="F632" s="17" t="s">
        <v>23</v>
      </c>
      <c r="G632" s="17">
        <f>G628*8</f>
        <v>0</v>
      </c>
      <c r="H632" s="13">
        <f t="shared" si="9"/>
        <v>0</v>
      </c>
    </row>
    <row r="633" spans="2:8" ht="13.5" thickBot="1" x14ac:dyDescent="0.35">
      <c r="B633" s="9"/>
      <c r="C633" s="14" t="s">
        <v>511</v>
      </c>
      <c r="D633" s="14" t="s">
        <v>278</v>
      </c>
      <c r="E633" s="18" t="s">
        <v>9</v>
      </c>
      <c r="F633" s="17" t="s">
        <v>23</v>
      </c>
      <c r="G633" s="17">
        <f>G628</f>
        <v>0</v>
      </c>
      <c r="H633" s="13">
        <f t="shared" si="9"/>
        <v>0</v>
      </c>
    </row>
    <row r="634" spans="2:8" ht="13.5" thickBot="1" x14ac:dyDescent="0.35">
      <c r="B634" s="9">
        <f>COUNT($B$4:B633)+1</f>
        <v>357</v>
      </c>
      <c r="C634" s="10" t="s">
        <v>512</v>
      </c>
      <c r="D634" s="10"/>
      <c r="E634" s="11" t="s">
        <v>9</v>
      </c>
      <c r="F634" s="12" t="s">
        <v>23</v>
      </c>
      <c r="G634" s="12"/>
      <c r="H634" s="13">
        <f t="shared" si="9"/>
        <v>0</v>
      </c>
    </row>
    <row r="635" spans="2:8" ht="13.5" thickBot="1" x14ac:dyDescent="0.35">
      <c r="B635" s="9"/>
      <c r="C635" s="14" t="s">
        <v>449</v>
      </c>
      <c r="D635" s="14" t="s">
        <v>278</v>
      </c>
      <c r="E635" s="18" t="s">
        <v>0</v>
      </c>
      <c r="F635" s="17" t="s">
        <v>23</v>
      </c>
      <c r="G635" s="17">
        <f>G634*8</f>
        <v>0</v>
      </c>
      <c r="H635" s="13">
        <f t="shared" si="9"/>
        <v>0</v>
      </c>
    </row>
    <row r="636" spans="2:8" ht="13.5" thickBot="1" x14ac:dyDescent="0.35">
      <c r="B636" s="9"/>
      <c r="C636" s="14" t="s">
        <v>513</v>
      </c>
      <c r="D636" s="14" t="s">
        <v>278</v>
      </c>
      <c r="E636" s="18" t="s">
        <v>9</v>
      </c>
      <c r="F636" s="17" t="s">
        <v>23</v>
      </c>
      <c r="G636" s="17">
        <f>G634</f>
        <v>0</v>
      </c>
      <c r="H636" s="13">
        <f t="shared" si="9"/>
        <v>0</v>
      </c>
    </row>
    <row r="637" spans="2:8" ht="13.5" thickBot="1" x14ac:dyDescent="0.35">
      <c r="B637" s="9"/>
      <c r="C637" s="14" t="s">
        <v>451</v>
      </c>
      <c r="D637" s="14" t="s">
        <v>278</v>
      </c>
      <c r="E637" s="18" t="s">
        <v>0</v>
      </c>
      <c r="F637" s="17" t="s">
        <v>23</v>
      </c>
      <c r="G637" s="17">
        <f>G634*8</f>
        <v>0</v>
      </c>
      <c r="H637" s="13">
        <f t="shared" si="9"/>
        <v>0</v>
      </c>
    </row>
    <row r="638" spans="2:8" ht="13.5" thickBot="1" x14ac:dyDescent="0.35">
      <c r="B638" s="9"/>
      <c r="C638" s="14" t="s">
        <v>452</v>
      </c>
      <c r="D638" s="14" t="s">
        <v>278</v>
      </c>
      <c r="E638" s="18" t="s">
        <v>0</v>
      </c>
      <c r="F638" s="17" t="s">
        <v>23</v>
      </c>
      <c r="G638" s="17">
        <f>G634*8</f>
        <v>0</v>
      </c>
      <c r="H638" s="13">
        <f t="shared" si="9"/>
        <v>0</v>
      </c>
    </row>
    <row r="639" spans="2:8" ht="13.5" thickBot="1" x14ac:dyDescent="0.35">
      <c r="B639" s="9"/>
      <c r="C639" s="14" t="s">
        <v>514</v>
      </c>
      <c r="D639" s="14" t="s">
        <v>278</v>
      </c>
      <c r="E639" s="18" t="s">
        <v>9</v>
      </c>
      <c r="F639" s="17" t="s">
        <v>23</v>
      </c>
      <c r="G639" s="17">
        <f>G634</f>
        <v>0</v>
      </c>
      <c r="H639" s="13">
        <f t="shared" si="9"/>
        <v>0</v>
      </c>
    </row>
    <row r="640" spans="2:8" ht="13.5" thickBot="1" x14ac:dyDescent="0.35">
      <c r="B640" s="9">
        <f>COUNT($B$4:B639)+1</f>
        <v>358</v>
      </c>
      <c r="C640" s="10" t="s">
        <v>515</v>
      </c>
      <c r="D640" s="10"/>
      <c r="E640" s="11" t="s">
        <v>9</v>
      </c>
      <c r="F640" s="12" t="s">
        <v>23</v>
      </c>
      <c r="G640" s="12"/>
      <c r="H640" s="13">
        <f t="shared" si="9"/>
        <v>0</v>
      </c>
    </row>
    <row r="641" spans="2:8" ht="13.5" thickBot="1" x14ac:dyDescent="0.35">
      <c r="B641" s="9"/>
      <c r="C641" s="14" t="s">
        <v>449</v>
      </c>
      <c r="D641" s="14" t="s">
        <v>278</v>
      </c>
      <c r="E641" s="18" t="s">
        <v>0</v>
      </c>
      <c r="F641" s="17" t="s">
        <v>23</v>
      </c>
      <c r="G641" s="17">
        <f>G640*8</f>
        <v>0</v>
      </c>
      <c r="H641" s="13">
        <f t="shared" si="9"/>
        <v>0</v>
      </c>
    </row>
    <row r="642" spans="2:8" ht="13.5" thickBot="1" x14ac:dyDescent="0.35">
      <c r="B642" s="9"/>
      <c r="C642" s="14" t="s">
        <v>516</v>
      </c>
      <c r="D642" s="14" t="s">
        <v>278</v>
      </c>
      <c r="E642" s="18" t="s">
        <v>9</v>
      </c>
      <c r="F642" s="17" t="s">
        <v>23</v>
      </c>
      <c r="G642" s="17">
        <f>G640</f>
        <v>0</v>
      </c>
      <c r="H642" s="13">
        <f t="shared" si="9"/>
        <v>0</v>
      </c>
    </row>
    <row r="643" spans="2:8" ht="13.5" thickBot="1" x14ac:dyDescent="0.35">
      <c r="B643" s="9"/>
      <c r="C643" s="14" t="s">
        <v>451</v>
      </c>
      <c r="D643" s="14" t="s">
        <v>278</v>
      </c>
      <c r="E643" s="18" t="s">
        <v>0</v>
      </c>
      <c r="F643" s="17" t="s">
        <v>23</v>
      </c>
      <c r="G643" s="17">
        <f>G640*8</f>
        <v>0</v>
      </c>
      <c r="H643" s="13">
        <f t="shared" si="9"/>
        <v>0</v>
      </c>
    </row>
    <row r="644" spans="2:8" ht="13.5" thickBot="1" x14ac:dyDescent="0.35">
      <c r="B644" s="9"/>
      <c r="C644" s="14" t="s">
        <v>452</v>
      </c>
      <c r="D644" s="14" t="s">
        <v>278</v>
      </c>
      <c r="E644" s="18" t="s">
        <v>0</v>
      </c>
      <c r="F644" s="17" t="s">
        <v>23</v>
      </c>
      <c r="G644" s="17">
        <f>G640*8</f>
        <v>0</v>
      </c>
      <c r="H644" s="13">
        <f t="shared" si="9"/>
        <v>0</v>
      </c>
    </row>
    <row r="645" spans="2:8" ht="13.5" thickBot="1" x14ac:dyDescent="0.35">
      <c r="B645" s="9"/>
      <c r="C645" s="14" t="s">
        <v>517</v>
      </c>
      <c r="D645" s="14" t="s">
        <v>278</v>
      </c>
      <c r="E645" s="18" t="s">
        <v>9</v>
      </c>
      <c r="F645" s="17" t="s">
        <v>23</v>
      </c>
      <c r="G645" s="17">
        <f>G640</f>
        <v>0</v>
      </c>
      <c r="H645" s="13">
        <f t="shared" ref="H645:H708" si="10">SUM(G645:G645)</f>
        <v>0</v>
      </c>
    </row>
    <row r="646" spans="2:8" ht="13.5" thickBot="1" x14ac:dyDescent="0.35">
      <c r="B646" s="9">
        <f>COUNT($B$4:B645)+1</f>
        <v>359</v>
      </c>
      <c r="C646" s="10" t="s">
        <v>518</v>
      </c>
      <c r="D646" s="10"/>
      <c r="E646" s="11" t="s">
        <v>9</v>
      </c>
      <c r="F646" s="12" t="s">
        <v>23</v>
      </c>
      <c r="G646" s="12"/>
      <c r="H646" s="13">
        <f t="shared" si="10"/>
        <v>0</v>
      </c>
    </row>
    <row r="647" spans="2:8" ht="13.5" thickBot="1" x14ac:dyDescent="0.35">
      <c r="B647" s="9"/>
      <c r="C647" s="14" t="s">
        <v>449</v>
      </c>
      <c r="D647" s="14" t="s">
        <v>278</v>
      </c>
      <c r="E647" s="18" t="s">
        <v>0</v>
      </c>
      <c r="F647" s="17" t="s">
        <v>23</v>
      </c>
      <c r="G647" s="17">
        <f>G646*8</f>
        <v>0</v>
      </c>
      <c r="H647" s="13">
        <f t="shared" si="10"/>
        <v>0</v>
      </c>
    </row>
    <row r="648" spans="2:8" ht="13.5" thickBot="1" x14ac:dyDescent="0.35">
      <c r="B648" s="9"/>
      <c r="C648" s="14" t="s">
        <v>519</v>
      </c>
      <c r="D648" s="14" t="s">
        <v>278</v>
      </c>
      <c r="E648" s="18" t="s">
        <v>9</v>
      </c>
      <c r="F648" s="17" t="s">
        <v>23</v>
      </c>
      <c r="G648" s="17">
        <f>G646</f>
        <v>0</v>
      </c>
      <c r="H648" s="13">
        <f t="shared" si="10"/>
        <v>0</v>
      </c>
    </row>
    <row r="649" spans="2:8" ht="13.5" thickBot="1" x14ac:dyDescent="0.35">
      <c r="B649" s="9"/>
      <c r="C649" s="14" t="s">
        <v>451</v>
      </c>
      <c r="D649" s="14" t="s">
        <v>278</v>
      </c>
      <c r="E649" s="18" t="s">
        <v>0</v>
      </c>
      <c r="F649" s="17" t="s">
        <v>23</v>
      </c>
      <c r="G649" s="17">
        <f>G646*8</f>
        <v>0</v>
      </c>
      <c r="H649" s="13">
        <f t="shared" si="10"/>
        <v>0</v>
      </c>
    </row>
    <row r="650" spans="2:8" ht="13.5" thickBot="1" x14ac:dyDescent="0.35">
      <c r="B650" s="9"/>
      <c r="C650" s="14" t="s">
        <v>452</v>
      </c>
      <c r="D650" s="14" t="s">
        <v>278</v>
      </c>
      <c r="E650" s="18" t="s">
        <v>0</v>
      </c>
      <c r="F650" s="17" t="s">
        <v>23</v>
      </c>
      <c r="G650" s="17">
        <f>G646*8</f>
        <v>0</v>
      </c>
      <c r="H650" s="13">
        <f t="shared" si="10"/>
        <v>0</v>
      </c>
    </row>
    <row r="651" spans="2:8" ht="13.5" thickBot="1" x14ac:dyDescent="0.35">
      <c r="B651" s="9"/>
      <c r="C651" s="14" t="s">
        <v>520</v>
      </c>
      <c r="D651" s="14" t="s">
        <v>278</v>
      </c>
      <c r="E651" s="18" t="s">
        <v>9</v>
      </c>
      <c r="F651" s="17" t="s">
        <v>23</v>
      </c>
      <c r="G651" s="17">
        <f>G646</f>
        <v>0</v>
      </c>
      <c r="H651" s="13">
        <f t="shared" si="10"/>
        <v>0</v>
      </c>
    </row>
    <row r="652" spans="2:8" ht="13.5" thickBot="1" x14ac:dyDescent="0.35">
      <c r="B652" s="9">
        <f>COUNT($B$4:B651)+1</f>
        <v>360</v>
      </c>
      <c r="C652" s="10" t="s">
        <v>521</v>
      </c>
      <c r="D652" s="10"/>
      <c r="E652" s="11" t="s">
        <v>9</v>
      </c>
      <c r="F652" s="12" t="s">
        <v>23</v>
      </c>
      <c r="G652" s="12"/>
      <c r="H652" s="13">
        <f t="shared" si="10"/>
        <v>0</v>
      </c>
    </row>
    <row r="653" spans="2:8" ht="13.5" thickBot="1" x14ac:dyDescent="0.35">
      <c r="B653" s="9"/>
      <c r="C653" s="14" t="s">
        <v>449</v>
      </c>
      <c r="D653" s="14" t="s">
        <v>278</v>
      </c>
      <c r="E653" s="18" t="s">
        <v>0</v>
      </c>
      <c r="F653" s="17" t="s">
        <v>23</v>
      </c>
      <c r="G653" s="17">
        <f>G652*8</f>
        <v>0</v>
      </c>
      <c r="H653" s="13">
        <f t="shared" si="10"/>
        <v>0</v>
      </c>
    </row>
    <row r="654" spans="2:8" ht="13.5" thickBot="1" x14ac:dyDescent="0.35">
      <c r="B654" s="9"/>
      <c r="C654" s="14" t="s">
        <v>522</v>
      </c>
      <c r="D654" s="14" t="s">
        <v>278</v>
      </c>
      <c r="E654" s="18" t="s">
        <v>9</v>
      </c>
      <c r="F654" s="17" t="s">
        <v>23</v>
      </c>
      <c r="G654" s="17">
        <f>G652</f>
        <v>0</v>
      </c>
      <c r="H654" s="13">
        <f t="shared" si="10"/>
        <v>0</v>
      </c>
    </row>
    <row r="655" spans="2:8" ht="13.5" thickBot="1" x14ac:dyDescent="0.35">
      <c r="B655" s="9"/>
      <c r="C655" s="14" t="s">
        <v>451</v>
      </c>
      <c r="D655" s="14" t="s">
        <v>278</v>
      </c>
      <c r="E655" s="18" t="s">
        <v>0</v>
      </c>
      <c r="F655" s="17" t="s">
        <v>23</v>
      </c>
      <c r="G655" s="17">
        <f>G652*8</f>
        <v>0</v>
      </c>
      <c r="H655" s="13">
        <f t="shared" si="10"/>
        <v>0</v>
      </c>
    </row>
    <row r="656" spans="2:8" ht="13.5" thickBot="1" x14ac:dyDescent="0.35">
      <c r="B656" s="9"/>
      <c r="C656" s="14" t="s">
        <v>452</v>
      </c>
      <c r="D656" s="14" t="s">
        <v>278</v>
      </c>
      <c r="E656" s="18" t="s">
        <v>0</v>
      </c>
      <c r="F656" s="17" t="s">
        <v>23</v>
      </c>
      <c r="G656" s="17">
        <f>G652*8</f>
        <v>0</v>
      </c>
      <c r="H656" s="13">
        <f t="shared" si="10"/>
        <v>0</v>
      </c>
    </row>
    <row r="657" spans="2:8" ht="13.5" thickBot="1" x14ac:dyDescent="0.35">
      <c r="B657" s="9"/>
      <c r="C657" s="14" t="s">
        <v>523</v>
      </c>
      <c r="D657" s="14" t="s">
        <v>278</v>
      </c>
      <c r="E657" s="18" t="s">
        <v>9</v>
      </c>
      <c r="F657" s="17" t="s">
        <v>23</v>
      </c>
      <c r="G657" s="17">
        <f>G652</f>
        <v>0</v>
      </c>
      <c r="H657" s="13">
        <f t="shared" si="10"/>
        <v>0</v>
      </c>
    </row>
    <row r="658" spans="2:8" ht="13.5" thickBot="1" x14ac:dyDescent="0.35">
      <c r="B658" s="9">
        <f>COUNT($B$4:B657)+1</f>
        <v>361</v>
      </c>
      <c r="C658" s="10" t="s">
        <v>524</v>
      </c>
      <c r="D658" s="10"/>
      <c r="E658" s="11" t="s">
        <v>9</v>
      </c>
      <c r="F658" s="12" t="s">
        <v>23</v>
      </c>
      <c r="G658" s="12"/>
      <c r="H658" s="13">
        <f t="shared" si="10"/>
        <v>0</v>
      </c>
    </row>
    <row r="659" spans="2:8" ht="13.5" thickBot="1" x14ac:dyDescent="0.35">
      <c r="B659" s="9"/>
      <c r="C659" s="14" t="s">
        <v>449</v>
      </c>
      <c r="D659" s="14" t="s">
        <v>278</v>
      </c>
      <c r="E659" s="18" t="s">
        <v>0</v>
      </c>
      <c r="F659" s="17" t="s">
        <v>23</v>
      </c>
      <c r="G659" s="17">
        <f>G658*8</f>
        <v>0</v>
      </c>
      <c r="H659" s="13">
        <f t="shared" si="10"/>
        <v>0</v>
      </c>
    </row>
    <row r="660" spans="2:8" ht="13.5" thickBot="1" x14ac:dyDescent="0.35">
      <c r="B660" s="9"/>
      <c r="C660" s="14" t="s">
        <v>525</v>
      </c>
      <c r="D660" s="14" t="s">
        <v>278</v>
      </c>
      <c r="E660" s="18" t="s">
        <v>9</v>
      </c>
      <c r="F660" s="17" t="s">
        <v>23</v>
      </c>
      <c r="G660" s="17">
        <f>G658</f>
        <v>0</v>
      </c>
      <c r="H660" s="13">
        <f t="shared" si="10"/>
        <v>0</v>
      </c>
    </row>
    <row r="661" spans="2:8" ht="13.5" thickBot="1" x14ac:dyDescent="0.35">
      <c r="B661" s="9"/>
      <c r="C661" s="14" t="s">
        <v>451</v>
      </c>
      <c r="D661" s="14" t="s">
        <v>278</v>
      </c>
      <c r="E661" s="18" t="s">
        <v>0</v>
      </c>
      <c r="F661" s="17" t="s">
        <v>23</v>
      </c>
      <c r="G661" s="17">
        <f>G658*8</f>
        <v>0</v>
      </c>
      <c r="H661" s="13">
        <f t="shared" si="10"/>
        <v>0</v>
      </c>
    </row>
    <row r="662" spans="2:8" ht="13.5" thickBot="1" x14ac:dyDescent="0.35">
      <c r="B662" s="9"/>
      <c r="C662" s="14" t="s">
        <v>452</v>
      </c>
      <c r="D662" s="14" t="s">
        <v>278</v>
      </c>
      <c r="E662" s="18" t="s">
        <v>0</v>
      </c>
      <c r="F662" s="17" t="s">
        <v>23</v>
      </c>
      <c r="G662" s="17">
        <f>G658*8</f>
        <v>0</v>
      </c>
      <c r="H662" s="13">
        <f t="shared" si="10"/>
        <v>0</v>
      </c>
    </row>
    <row r="663" spans="2:8" ht="13.5" thickBot="1" x14ac:dyDescent="0.35">
      <c r="B663" s="9"/>
      <c r="C663" s="14" t="s">
        <v>526</v>
      </c>
      <c r="D663" s="14" t="s">
        <v>278</v>
      </c>
      <c r="E663" s="18" t="s">
        <v>9</v>
      </c>
      <c r="F663" s="17" t="s">
        <v>23</v>
      </c>
      <c r="G663" s="17">
        <f>G658</f>
        <v>0</v>
      </c>
      <c r="H663" s="13">
        <f t="shared" si="10"/>
        <v>0</v>
      </c>
    </row>
    <row r="664" spans="2:8" ht="13.5" thickBot="1" x14ac:dyDescent="0.35">
      <c r="B664" s="9">
        <f>COUNT($B$4:B663)+1</f>
        <v>362</v>
      </c>
      <c r="C664" s="10" t="s">
        <v>527</v>
      </c>
      <c r="D664" s="10"/>
      <c r="E664" s="11" t="s">
        <v>9</v>
      </c>
      <c r="F664" s="12" t="s">
        <v>23</v>
      </c>
      <c r="G664" s="12"/>
      <c r="H664" s="13">
        <f t="shared" si="10"/>
        <v>0</v>
      </c>
    </row>
    <row r="665" spans="2:8" ht="13.5" thickBot="1" x14ac:dyDescent="0.35">
      <c r="B665" s="9"/>
      <c r="C665" s="14" t="s">
        <v>449</v>
      </c>
      <c r="D665" s="14" t="s">
        <v>278</v>
      </c>
      <c r="E665" s="18" t="s">
        <v>0</v>
      </c>
      <c r="F665" s="17" t="s">
        <v>23</v>
      </c>
      <c r="G665" s="17">
        <f>G664*8</f>
        <v>0</v>
      </c>
      <c r="H665" s="13">
        <f t="shared" si="10"/>
        <v>0</v>
      </c>
    </row>
    <row r="666" spans="2:8" ht="13.5" thickBot="1" x14ac:dyDescent="0.35">
      <c r="B666" s="9"/>
      <c r="C666" s="14" t="s">
        <v>528</v>
      </c>
      <c r="D666" s="14" t="s">
        <v>278</v>
      </c>
      <c r="E666" s="18" t="s">
        <v>9</v>
      </c>
      <c r="F666" s="17" t="s">
        <v>23</v>
      </c>
      <c r="G666" s="17">
        <f>G664</f>
        <v>0</v>
      </c>
      <c r="H666" s="13">
        <f t="shared" si="10"/>
        <v>0</v>
      </c>
    </row>
    <row r="667" spans="2:8" ht="13.5" thickBot="1" x14ac:dyDescent="0.35">
      <c r="B667" s="9"/>
      <c r="C667" s="14" t="s">
        <v>451</v>
      </c>
      <c r="D667" s="14" t="s">
        <v>278</v>
      </c>
      <c r="E667" s="18" t="s">
        <v>0</v>
      </c>
      <c r="F667" s="17" t="s">
        <v>23</v>
      </c>
      <c r="G667" s="17">
        <f>G664*8</f>
        <v>0</v>
      </c>
      <c r="H667" s="13">
        <f t="shared" si="10"/>
        <v>0</v>
      </c>
    </row>
    <row r="668" spans="2:8" ht="13.5" thickBot="1" x14ac:dyDescent="0.35">
      <c r="B668" s="9"/>
      <c r="C668" s="14" t="s">
        <v>452</v>
      </c>
      <c r="D668" s="14" t="s">
        <v>278</v>
      </c>
      <c r="E668" s="18" t="s">
        <v>0</v>
      </c>
      <c r="F668" s="17" t="s">
        <v>23</v>
      </c>
      <c r="G668" s="17">
        <f>G664*8</f>
        <v>0</v>
      </c>
      <c r="H668" s="13">
        <f t="shared" si="10"/>
        <v>0</v>
      </c>
    </row>
    <row r="669" spans="2:8" ht="13.5" thickBot="1" x14ac:dyDescent="0.35">
      <c r="B669" s="9"/>
      <c r="C669" s="14" t="s">
        <v>529</v>
      </c>
      <c r="D669" s="14" t="s">
        <v>278</v>
      </c>
      <c r="E669" s="18" t="s">
        <v>9</v>
      </c>
      <c r="F669" s="17" t="s">
        <v>23</v>
      </c>
      <c r="G669" s="17">
        <f>G664</f>
        <v>0</v>
      </c>
      <c r="H669" s="13">
        <f t="shared" si="10"/>
        <v>0</v>
      </c>
    </row>
    <row r="670" spans="2:8" ht="13.5" thickBot="1" x14ac:dyDescent="0.35">
      <c r="B670" s="9">
        <f>COUNT($B$4:B669)+1</f>
        <v>363</v>
      </c>
      <c r="C670" s="10" t="s">
        <v>530</v>
      </c>
      <c r="D670" s="10"/>
      <c r="E670" s="11" t="s">
        <v>9</v>
      </c>
      <c r="F670" s="12" t="s">
        <v>23</v>
      </c>
      <c r="G670" s="12"/>
      <c r="H670" s="13">
        <f t="shared" si="10"/>
        <v>0</v>
      </c>
    </row>
    <row r="671" spans="2:8" ht="13.5" thickBot="1" x14ac:dyDescent="0.35">
      <c r="B671" s="9"/>
      <c r="C671" s="14" t="s">
        <v>449</v>
      </c>
      <c r="D671" s="14" t="s">
        <v>278</v>
      </c>
      <c r="E671" s="18" t="s">
        <v>0</v>
      </c>
      <c r="F671" s="17" t="s">
        <v>23</v>
      </c>
      <c r="G671" s="17">
        <f>G670*8</f>
        <v>0</v>
      </c>
      <c r="H671" s="13">
        <f t="shared" si="10"/>
        <v>0</v>
      </c>
    </row>
    <row r="672" spans="2:8" ht="13.5" thickBot="1" x14ac:dyDescent="0.35">
      <c r="B672" s="9"/>
      <c r="C672" s="14" t="s">
        <v>531</v>
      </c>
      <c r="D672" s="14" t="s">
        <v>278</v>
      </c>
      <c r="E672" s="18" t="s">
        <v>9</v>
      </c>
      <c r="F672" s="17" t="s">
        <v>23</v>
      </c>
      <c r="G672" s="17">
        <f>G670</f>
        <v>0</v>
      </c>
      <c r="H672" s="13">
        <f t="shared" si="10"/>
        <v>0</v>
      </c>
    </row>
    <row r="673" spans="2:8" ht="13.5" thickBot="1" x14ac:dyDescent="0.35">
      <c r="B673" s="9"/>
      <c r="C673" s="14" t="s">
        <v>451</v>
      </c>
      <c r="D673" s="14" t="s">
        <v>278</v>
      </c>
      <c r="E673" s="18" t="s">
        <v>0</v>
      </c>
      <c r="F673" s="17" t="s">
        <v>23</v>
      </c>
      <c r="G673" s="17">
        <f>G670*8</f>
        <v>0</v>
      </c>
      <c r="H673" s="13">
        <f t="shared" si="10"/>
        <v>0</v>
      </c>
    </row>
    <row r="674" spans="2:8" ht="13.5" thickBot="1" x14ac:dyDescent="0.35">
      <c r="B674" s="9"/>
      <c r="C674" s="14" t="s">
        <v>452</v>
      </c>
      <c r="D674" s="14" t="s">
        <v>278</v>
      </c>
      <c r="E674" s="18" t="s">
        <v>0</v>
      </c>
      <c r="F674" s="17" t="s">
        <v>23</v>
      </c>
      <c r="G674" s="17">
        <f>G670*8</f>
        <v>0</v>
      </c>
      <c r="H674" s="13">
        <f t="shared" si="10"/>
        <v>0</v>
      </c>
    </row>
    <row r="675" spans="2:8" ht="13.5" thickBot="1" x14ac:dyDescent="0.35">
      <c r="B675" s="9"/>
      <c r="C675" s="14" t="s">
        <v>532</v>
      </c>
      <c r="D675" s="14" t="s">
        <v>278</v>
      </c>
      <c r="E675" s="18" t="s">
        <v>9</v>
      </c>
      <c r="F675" s="17" t="s">
        <v>23</v>
      </c>
      <c r="G675" s="17">
        <f>G670</f>
        <v>0</v>
      </c>
      <c r="H675" s="13">
        <f t="shared" si="10"/>
        <v>0</v>
      </c>
    </row>
    <row r="676" spans="2:8" ht="13.5" thickBot="1" x14ac:dyDescent="0.35">
      <c r="B676" s="9">
        <f>COUNT($B$4:B675)+1</f>
        <v>364</v>
      </c>
      <c r="C676" s="10" t="s">
        <v>533</v>
      </c>
      <c r="D676" s="10"/>
      <c r="E676" s="11" t="s">
        <v>9</v>
      </c>
      <c r="F676" s="12" t="s">
        <v>23</v>
      </c>
      <c r="G676" s="12"/>
      <c r="H676" s="13">
        <f t="shared" si="10"/>
        <v>0</v>
      </c>
    </row>
    <row r="677" spans="2:8" ht="13.5" thickBot="1" x14ac:dyDescent="0.35">
      <c r="B677" s="9"/>
      <c r="C677" s="14" t="s">
        <v>449</v>
      </c>
      <c r="D677" s="14" t="s">
        <v>278</v>
      </c>
      <c r="E677" s="18" t="s">
        <v>0</v>
      </c>
      <c r="F677" s="17" t="s">
        <v>23</v>
      </c>
      <c r="G677" s="17">
        <f>G676*8</f>
        <v>0</v>
      </c>
      <c r="H677" s="13">
        <f t="shared" si="10"/>
        <v>0</v>
      </c>
    </row>
    <row r="678" spans="2:8" ht="13.5" thickBot="1" x14ac:dyDescent="0.35">
      <c r="B678" s="9"/>
      <c r="C678" s="14" t="s">
        <v>534</v>
      </c>
      <c r="D678" s="14" t="s">
        <v>278</v>
      </c>
      <c r="E678" s="18" t="s">
        <v>9</v>
      </c>
      <c r="F678" s="17" t="s">
        <v>23</v>
      </c>
      <c r="G678" s="17">
        <f>G676</f>
        <v>0</v>
      </c>
      <c r="H678" s="13">
        <f t="shared" si="10"/>
        <v>0</v>
      </c>
    </row>
    <row r="679" spans="2:8" ht="13.5" thickBot="1" x14ac:dyDescent="0.35">
      <c r="B679" s="9"/>
      <c r="C679" s="14" t="s">
        <v>451</v>
      </c>
      <c r="D679" s="14" t="s">
        <v>278</v>
      </c>
      <c r="E679" s="18" t="s">
        <v>0</v>
      </c>
      <c r="F679" s="17" t="s">
        <v>23</v>
      </c>
      <c r="G679" s="17">
        <f>G676*8</f>
        <v>0</v>
      </c>
      <c r="H679" s="13">
        <f t="shared" si="10"/>
        <v>0</v>
      </c>
    </row>
    <row r="680" spans="2:8" ht="13.5" thickBot="1" x14ac:dyDescent="0.35">
      <c r="B680" s="9"/>
      <c r="C680" s="14" t="s">
        <v>452</v>
      </c>
      <c r="D680" s="14" t="s">
        <v>278</v>
      </c>
      <c r="E680" s="18" t="s">
        <v>0</v>
      </c>
      <c r="F680" s="17" t="s">
        <v>23</v>
      </c>
      <c r="G680" s="17">
        <f>G676*8</f>
        <v>0</v>
      </c>
      <c r="H680" s="13">
        <f t="shared" si="10"/>
        <v>0</v>
      </c>
    </row>
    <row r="681" spans="2:8" ht="13.5" thickBot="1" x14ac:dyDescent="0.35">
      <c r="B681" s="9"/>
      <c r="C681" s="14" t="s">
        <v>535</v>
      </c>
      <c r="D681" s="14" t="s">
        <v>278</v>
      </c>
      <c r="E681" s="18" t="s">
        <v>9</v>
      </c>
      <c r="F681" s="17" t="s">
        <v>23</v>
      </c>
      <c r="G681" s="17">
        <f>G676</f>
        <v>0</v>
      </c>
      <c r="H681" s="13">
        <f t="shared" si="10"/>
        <v>0</v>
      </c>
    </row>
    <row r="682" spans="2:8" ht="13.5" thickBot="1" x14ac:dyDescent="0.35">
      <c r="B682" s="9">
        <f>COUNT($B$4:B681)+1</f>
        <v>365</v>
      </c>
      <c r="C682" s="10" t="s">
        <v>536</v>
      </c>
      <c r="D682" s="10"/>
      <c r="E682" s="11" t="s">
        <v>9</v>
      </c>
      <c r="F682" s="12" t="s">
        <v>23</v>
      </c>
      <c r="G682" s="12"/>
      <c r="H682" s="13">
        <f t="shared" si="10"/>
        <v>0</v>
      </c>
    </row>
    <row r="683" spans="2:8" ht="13.5" thickBot="1" x14ac:dyDescent="0.35">
      <c r="B683" s="9"/>
      <c r="C683" s="14" t="s">
        <v>449</v>
      </c>
      <c r="D683" s="14" t="s">
        <v>278</v>
      </c>
      <c r="E683" s="18" t="s">
        <v>0</v>
      </c>
      <c r="F683" s="17" t="s">
        <v>23</v>
      </c>
      <c r="G683" s="17">
        <f>G682*8</f>
        <v>0</v>
      </c>
      <c r="H683" s="13">
        <f t="shared" si="10"/>
        <v>0</v>
      </c>
    </row>
    <row r="684" spans="2:8" ht="13.5" thickBot="1" x14ac:dyDescent="0.35">
      <c r="B684" s="9"/>
      <c r="C684" s="14" t="s">
        <v>537</v>
      </c>
      <c r="D684" s="14" t="s">
        <v>278</v>
      </c>
      <c r="E684" s="18" t="s">
        <v>9</v>
      </c>
      <c r="F684" s="17" t="s">
        <v>23</v>
      </c>
      <c r="G684" s="17">
        <f>G682</f>
        <v>0</v>
      </c>
      <c r="H684" s="13">
        <f t="shared" si="10"/>
        <v>0</v>
      </c>
    </row>
    <row r="685" spans="2:8" ht="13.5" thickBot="1" x14ac:dyDescent="0.35">
      <c r="B685" s="9"/>
      <c r="C685" s="14" t="s">
        <v>451</v>
      </c>
      <c r="D685" s="14" t="s">
        <v>278</v>
      </c>
      <c r="E685" s="18" t="s">
        <v>0</v>
      </c>
      <c r="F685" s="17" t="s">
        <v>23</v>
      </c>
      <c r="G685" s="17">
        <f>G682*8</f>
        <v>0</v>
      </c>
      <c r="H685" s="13">
        <f t="shared" si="10"/>
        <v>0</v>
      </c>
    </row>
    <row r="686" spans="2:8" ht="13.5" thickBot="1" x14ac:dyDescent="0.35">
      <c r="B686" s="9"/>
      <c r="C686" s="14" t="s">
        <v>452</v>
      </c>
      <c r="D686" s="14" t="s">
        <v>278</v>
      </c>
      <c r="E686" s="18" t="s">
        <v>0</v>
      </c>
      <c r="F686" s="17" t="s">
        <v>23</v>
      </c>
      <c r="G686" s="17">
        <f>G682*8</f>
        <v>0</v>
      </c>
      <c r="H686" s="13">
        <f t="shared" si="10"/>
        <v>0</v>
      </c>
    </row>
    <row r="687" spans="2:8" ht="13.5" thickBot="1" x14ac:dyDescent="0.35">
      <c r="B687" s="9"/>
      <c r="C687" s="14" t="s">
        <v>538</v>
      </c>
      <c r="D687" s="14" t="s">
        <v>278</v>
      </c>
      <c r="E687" s="18" t="s">
        <v>9</v>
      </c>
      <c r="F687" s="17" t="s">
        <v>23</v>
      </c>
      <c r="G687" s="17">
        <f>G682</f>
        <v>0</v>
      </c>
      <c r="H687" s="13">
        <f t="shared" si="10"/>
        <v>0</v>
      </c>
    </row>
    <row r="688" spans="2:8" ht="13.5" thickBot="1" x14ac:dyDescent="0.35">
      <c r="B688" s="9">
        <f>COUNT($B$4:B687)+1</f>
        <v>366</v>
      </c>
      <c r="C688" s="10" t="s">
        <v>539</v>
      </c>
      <c r="D688" s="10" t="s">
        <v>540</v>
      </c>
      <c r="E688" s="11" t="s">
        <v>9</v>
      </c>
      <c r="F688" s="12" t="s">
        <v>23</v>
      </c>
      <c r="G688" s="12"/>
      <c r="H688" s="13">
        <f t="shared" si="10"/>
        <v>0</v>
      </c>
    </row>
    <row r="689" spans="2:8" ht="13.5" thickBot="1" x14ac:dyDescent="0.35">
      <c r="B689" s="9">
        <f>COUNT($B$4:B688)+1</f>
        <v>367</v>
      </c>
      <c r="C689" s="10" t="s">
        <v>541</v>
      </c>
      <c r="D689" s="10" t="s">
        <v>540</v>
      </c>
      <c r="E689" s="11" t="s">
        <v>9</v>
      </c>
      <c r="F689" s="12" t="s">
        <v>23</v>
      </c>
      <c r="G689" s="12"/>
      <c r="H689" s="13">
        <f t="shared" si="10"/>
        <v>0</v>
      </c>
    </row>
    <row r="690" spans="2:8" ht="13.5" thickBot="1" x14ac:dyDescent="0.35">
      <c r="B690" s="9">
        <f>COUNT($B$4:B689)+1</f>
        <v>368</v>
      </c>
      <c r="C690" s="10" t="s">
        <v>542</v>
      </c>
      <c r="D690" s="10" t="s">
        <v>540</v>
      </c>
      <c r="E690" s="11" t="s">
        <v>9</v>
      </c>
      <c r="F690" s="12" t="s">
        <v>23</v>
      </c>
      <c r="G690" s="12"/>
      <c r="H690" s="13">
        <f t="shared" si="10"/>
        <v>0</v>
      </c>
    </row>
    <row r="691" spans="2:8" ht="13.5" thickBot="1" x14ac:dyDescent="0.35">
      <c r="B691" s="9">
        <f>COUNT($B$4:B690)+1</f>
        <v>369</v>
      </c>
      <c r="C691" s="10" t="s">
        <v>543</v>
      </c>
      <c r="D691" s="10" t="s">
        <v>540</v>
      </c>
      <c r="E691" s="11" t="s">
        <v>9</v>
      </c>
      <c r="F691" s="12" t="s">
        <v>23</v>
      </c>
      <c r="G691" s="12"/>
      <c r="H691" s="13">
        <f t="shared" si="10"/>
        <v>0</v>
      </c>
    </row>
    <row r="692" spans="2:8" ht="13.5" thickBot="1" x14ac:dyDescent="0.35">
      <c r="B692" s="9">
        <f>COUNT($B$4:B691)+1</f>
        <v>370</v>
      </c>
      <c r="C692" s="10" t="s">
        <v>544</v>
      </c>
      <c r="D692" s="10" t="s">
        <v>540</v>
      </c>
      <c r="E692" s="11" t="s">
        <v>9</v>
      </c>
      <c r="F692" s="12" t="s">
        <v>23</v>
      </c>
      <c r="G692" s="12"/>
      <c r="H692" s="13">
        <f t="shared" si="10"/>
        <v>0</v>
      </c>
    </row>
    <row r="693" spans="2:8" ht="13.5" thickBot="1" x14ac:dyDescent="0.35">
      <c r="B693" s="9">
        <f>COUNT($B$4:B692)+1</f>
        <v>371</v>
      </c>
      <c r="C693" s="10" t="s">
        <v>545</v>
      </c>
      <c r="D693" s="10" t="s">
        <v>540</v>
      </c>
      <c r="E693" s="11" t="s">
        <v>9</v>
      </c>
      <c r="F693" s="12" t="s">
        <v>23</v>
      </c>
      <c r="G693" s="12"/>
      <c r="H693" s="13">
        <f t="shared" si="10"/>
        <v>0</v>
      </c>
    </row>
    <row r="694" spans="2:8" ht="13.5" thickBot="1" x14ac:dyDescent="0.35">
      <c r="B694" s="9">
        <f>COUNT($B$4:B693)+1</f>
        <v>372</v>
      </c>
      <c r="C694" s="10" t="s">
        <v>546</v>
      </c>
      <c r="D694" s="10" t="s">
        <v>540</v>
      </c>
      <c r="E694" s="11" t="s">
        <v>9</v>
      </c>
      <c r="F694" s="12" t="s">
        <v>23</v>
      </c>
      <c r="G694" s="12"/>
      <c r="H694" s="13">
        <f t="shared" si="10"/>
        <v>0</v>
      </c>
    </row>
    <row r="695" spans="2:8" ht="13.5" thickBot="1" x14ac:dyDescent="0.35">
      <c r="B695" s="9">
        <f>COUNT($B$4:B694)+1</f>
        <v>373</v>
      </c>
      <c r="C695" s="10" t="s">
        <v>547</v>
      </c>
      <c r="D695" s="10" t="s">
        <v>540</v>
      </c>
      <c r="E695" s="11" t="s">
        <v>9</v>
      </c>
      <c r="F695" s="12" t="s">
        <v>23</v>
      </c>
      <c r="G695" s="12"/>
      <c r="H695" s="13">
        <f t="shared" si="10"/>
        <v>0</v>
      </c>
    </row>
    <row r="696" spans="2:8" ht="13.5" thickBot="1" x14ac:dyDescent="0.35">
      <c r="B696" s="9">
        <f>COUNT($B$4:B695)+1</f>
        <v>374</v>
      </c>
      <c r="C696" s="10" t="s">
        <v>548</v>
      </c>
      <c r="D696" s="10" t="s">
        <v>540</v>
      </c>
      <c r="E696" s="11" t="s">
        <v>9</v>
      </c>
      <c r="F696" s="12" t="s">
        <v>23</v>
      </c>
      <c r="G696" s="12"/>
      <c r="H696" s="13">
        <f t="shared" si="10"/>
        <v>0</v>
      </c>
    </row>
    <row r="697" spans="2:8" ht="13.5" thickBot="1" x14ac:dyDescent="0.35">
      <c r="B697" s="9">
        <f>COUNT($B$4:B696)+1</f>
        <v>375</v>
      </c>
      <c r="C697" s="10" t="s">
        <v>549</v>
      </c>
      <c r="D697" s="10" t="s">
        <v>540</v>
      </c>
      <c r="E697" s="11" t="s">
        <v>9</v>
      </c>
      <c r="F697" s="12" t="s">
        <v>23</v>
      </c>
      <c r="G697" s="12"/>
      <c r="H697" s="13">
        <f t="shared" si="10"/>
        <v>0</v>
      </c>
    </row>
    <row r="698" spans="2:8" ht="13.5" thickBot="1" x14ac:dyDescent="0.35">
      <c r="B698" s="9">
        <f>COUNT($B$4:B697)+1</f>
        <v>376</v>
      </c>
      <c r="C698" s="10" t="s">
        <v>550</v>
      </c>
      <c r="D698" s="10" t="s">
        <v>540</v>
      </c>
      <c r="E698" s="11" t="s">
        <v>9</v>
      </c>
      <c r="F698" s="12" t="s">
        <v>23</v>
      </c>
      <c r="G698" s="12"/>
      <c r="H698" s="13">
        <f t="shared" si="10"/>
        <v>0</v>
      </c>
    </row>
    <row r="699" spans="2:8" ht="13.5" thickBot="1" x14ac:dyDescent="0.35">
      <c r="B699" s="9">
        <f>COUNT($B$4:B698)+1</f>
        <v>377</v>
      </c>
      <c r="C699" s="10" t="s">
        <v>551</v>
      </c>
      <c r="D699" s="10" t="s">
        <v>540</v>
      </c>
      <c r="E699" s="11" t="s">
        <v>9</v>
      </c>
      <c r="F699" s="12" t="s">
        <v>23</v>
      </c>
      <c r="G699" s="12"/>
      <c r="H699" s="13">
        <f t="shared" si="10"/>
        <v>0</v>
      </c>
    </row>
    <row r="700" spans="2:8" ht="13.5" thickBot="1" x14ac:dyDescent="0.35">
      <c r="B700" s="9">
        <f>COUNT($B$4:B699)+1</f>
        <v>378</v>
      </c>
      <c r="C700" s="10" t="s">
        <v>552</v>
      </c>
      <c r="D700" s="10" t="s">
        <v>540</v>
      </c>
      <c r="E700" s="11" t="s">
        <v>9</v>
      </c>
      <c r="F700" s="12" t="s">
        <v>23</v>
      </c>
      <c r="G700" s="12"/>
      <c r="H700" s="13">
        <f t="shared" si="10"/>
        <v>0</v>
      </c>
    </row>
    <row r="701" spans="2:8" ht="13.5" thickBot="1" x14ac:dyDescent="0.35">
      <c r="B701" s="9">
        <f>COUNT($B$4:B700)+1</f>
        <v>379</v>
      </c>
      <c r="C701" s="10" t="s">
        <v>553</v>
      </c>
      <c r="D701" s="10" t="s">
        <v>540</v>
      </c>
      <c r="E701" s="11" t="s">
        <v>9</v>
      </c>
      <c r="F701" s="12" t="s">
        <v>23</v>
      </c>
      <c r="G701" s="12"/>
      <c r="H701" s="13">
        <f t="shared" si="10"/>
        <v>0</v>
      </c>
    </row>
    <row r="702" spans="2:8" ht="13.5" thickBot="1" x14ac:dyDescent="0.35">
      <c r="B702" s="9">
        <f>COUNT($B$4:B701)+1</f>
        <v>380</v>
      </c>
      <c r="C702" s="10" t="s">
        <v>554</v>
      </c>
      <c r="D702" s="10" t="s">
        <v>540</v>
      </c>
      <c r="E702" s="11" t="s">
        <v>9</v>
      </c>
      <c r="F702" s="12" t="s">
        <v>23</v>
      </c>
      <c r="G702" s="12"/>
      <c r="H702" s="13">
        <f t="shared" si="10"/>
        <v>0</v>
      </c>
    </row>
    <row r="703" spans="2:8" ht="13.5" thickBot="1" x14ac:dyDescent="0.35">
      <c r="B703" s="9">
        <f>COUNT($B$4:B702)+1</f>
        <v>381</v>
      </c>
      <c r="C703" s="10" t="s">
        <v>555</v>
      </c>
      <c r="D703" s="10" t="s">
        <v>540</v>
      </c>
      <c r="E703" s="11" t="s">
        <v>9</v>
      </c>
      <c r="F703" s="12" t="s">
        <v>23</v>
      </c>
      <c r="G703" s="12"/>
      <c r="H703" s="13">
        <f t="shared" si="10"/>
        <v>0</v>
      </c>
    </row>
    <row r="704" spans="2:8" s="2" customFormat="1" ht="13.5" thickBot="1" x14ac:dyDescent="0.35">
      <c r="B704" s="9">
        <f>COUNT($B$4:B703)+1</f>
        <v>382</v>
      </c>
      <c r="C704" s="10" t="s">
        <v>556</v>
      </c>
      <c r="D704" s="10" t="s">
        <v>540</v>
      </c>
      <c r="E704" s="11" t="s">
        <v>9</v>
      </c>
      <c r="F704" s="12" t="s">
        <v>23</v>
      </c>
      <c r="G704" s="12"/>
      <c r="H704" s="13">
        <f t="shared" si="10"/>
        <v>0</v>
      </c>
    </row>
    <row r="705" spans="2:8" s="2" customFormat="1" ht="13.5" thickBot="1" x14ac:dyDescent="0.35">
      <c r="B705" s="9">
        <f>COUNT($B$4:B704)+1</f>
        <v>383</v>
      </c>
      <c r="C705" s="10" t="s">
        <v>557</v>
      </c>
      <c r="D705" s="10" t="s">
        <v>540</v>
      </c>
      <c r="E705" s="11" t="s">
        <v>9</v>
      </c>
      <c r="F705" s="12" t="s">
        <v>23</v>
      </c>
      <c r="G705" s="12"/>
      <c r="H705" s="13">
        <f t="shared" si="10"/>
        <v>0</v>
      </c>
    </row>
    <row r="706" spans="2:8" s="2" customFormat="1" ht="13.5" thickBot="1" x14ac:dyDescent="0.35">
      <c r="B706" s="9">
        <f>COUNT($B$4:B705)+1</f>
        <v>384</v>
      </c>
      <c r="C706" s="10" t="s">
        <v>558</v>
      </c>
      <c r="D706" s="10" t="s">
        <v>540</v>
      </c>
      <c r="E706" s="11" t="s">
        <v>9</v>
      </c>
      <c r="F706" s="12" t="s">
        <v>23</v>
      </c>
      <c r="G706" s="12"/>
      <c r="H706" s="13">
        <f t="shared" si="10"/>
        <v>0</v>
      </c>
    </row>
    <row r="707" spans="2:8" s="2" customFormat="1" ht="13.5" thickBot="1" x14ac:dyDescent="0.35">
      <c r="B707" s="9">
        <f>COUNT($B$4:B706)+1</f>
        <v>385</v>
      </c>
      <c r="C707" s="10" t="s">
        <v>559</v>
      </c>
      <c r="D707" s="10" t="s">
        <v>540</v>
      </c>
      <c r="E707" s="11" t="s">
        <v>9</v>
      </c>
      <c r="F707" s="12" t="s">
        <v>23</v>
      </c>
      <c r="G707" s="12"/>
      <c r="H707" s="13">
        <f t="shared" si="10"/>
        <v>0</v>
      </c>
    </row>
    <row r="708" spans="2:8" s="2" customFormat="1" ht="13.5" thickBot="1" x14ac:dyDescent="0.35">
      <c r="B708" s="9">
        <f>COUNT($B$4:B707)+1</f>
        <v>386</v>
      </c>
      <c r="C708" s="10" t="s">
        <v>560</v>
      </c>
      <c r="D708" s="10" t="s">
        <v>540</v>
      </c>
      <c r="E708" s="11" t="s">
        <v>9</v>
      </c>
      <c r="F708" s="12" t="s">
        <v>23</v>
      </c>
      <c r="G708" s="12"/>
      <c r="H708" s="13">
        <f t="shared" si="10"/>
        <v>0</v>
      </c>
    </row>
    <row r="709" spans="2:8" s="2" customFormat="1" ht="13.5" thickBot="1" x14ac:dyDescent="0.35">
      <c r="B709" s="9">
        <f>COUNT($B$4:B708)+1</f>
        <v>387</v>
      </c>
      <c r="C709" s="10" t="s">
        <v>561</v>
      </c>
      <c r="D709" s="10" t="s">
        <v>540</v>
      </c>
      <c r="E709" s="11" t="s">
        <v>9</v>
      </c>
      <c r="F709" s="12" t="s">
        <v>23</v>
      </c>
      <c r="G709" s="12"/>
      <c r="H709" s="13">
        <f t="shared" ref="H709:H772" si="11">SUM(G709:G709)</f>
        <v>0</v>
      </c>
    </row>
    <row r="710" spans="2:8" s="2" customFormat="1" ht="13.5" thickBot="1" x14ac:dyDescent="0.35">
      <c r="B710" s="9">
        <f>COUNT($B$4:B709)+1</f>
        <v>388</v>
      </c>
      <c r="C710" s="10" t="s">
        <v>562</v>
      </c>
      <c r="D710" s="10" t="s">
        <v>540</v>
      </c>
      <c r="E710" s="11" t="s">
        <v>9</v>
      </c>
      <c r="F710" s="12" t="s">
        <v>23</v>
      </c>
      <c r="G710" s="12"/>
      <c r="H710" s="13">
        <f t="shared" si="11"/>
        <v>0</v>
      </c>
    </row>
    <row r="711" spans="2:8" s="2" customFormat="1" ht="13.5" thickBot="1" x14ac:dyDescent="0.35">
      <c r="B711" s="9">
        <f>COUNT($B$4:B710)+1</f>
        <v>389</v>
      </c>
      <c r="C711" s="10" t="s">
        <v>563</v>
      </c>
      <c r="D711" s="10" t="s">
        <v>540</v>
      </c>
      <c r="E711" s="11" t="s">
        <v>9</v>
      </c>
      <c r="F711" s="12" t="s">
        <v>23</v>
      </c>
      <c r="G711" s="12"/>
      <c r="H711" s="13">
        <f t="shared" si="11"/>
        <v>0</v>
      </c>
    </row>
    <row r="712" spans="2:8" s="2" customFormat="1" ht="13.5" thickBot="1" x14ac:dyDescent="0.35">
      <c r="B712" s="9">
        <f>COUNT($B$4:B711)+1</f>
        <v>390</v>
      </c>
      <c r="C712" s="10" t="s">
        <v>564</v>
      </c>
      <c r="D712" s="10" t="s">
        <v>540</v>
      </c>
      <c r="E712" s="11" t="s">
        <v>9</v>
      </c>
      <c r="F712" s="12" t="s">
        <v>23</v>
      </c>
      <c r="G712" s="12"/>
      <c r="H712" s="13">
        <f t="shared" si="11"/>
        <v>0</v>
      </c>
    </row>
    <row r="713" spans="2:8" s="2" customFormat="1" ht="13.5" thickBot="1" x14ac:dyDescent="0.35">
      <c r="B713" s="9">
        <f>COUNT($B$4:B712)+1</f>
        <v>391</v>
      </c>
      <c r="C713" s="10" t="s">
        <v>565</v>
      </c>
      <c r="D713" s="10" t="s">
        <v>540</v>
      </c>
      <c r="E713" s="11" t="s">
        <v>9</v>
      </c>
      <c r="F713" s="12" t="s">
        <v>23</v>
      </c>
      <c r="G713" s="12"/>
      <c r="H713" s="13">
        <f t="shared" si="11"/>
        <v>0</v>
      </c>
    </row>
    <row r="714" spans="2:8" s="2" customFormat="1" ht="13.5" thickBot="1" x14ac:dyDescent="0.35">
      <c r="B714" s="9">
        <f>COUNT($B$4:B713)+1</f>
        <v>392</v>
      </c>
      <c r="C714" s="10" t="s">
        <v>566</v>
      </c>
      <c r="D714" s="10" t="s">
        <v>540</v>
      </c>
      <c r="E714" s="11" t="s">
        <v>9</v>
      </c>
      <c r="F714" s="12" t="s">
        <v>23</v>
      </c>
      <c r="G714" s="12"/>
      <c r="H714" s="13">
        <f t="shared" si="11"/>
        <v>0</v>
      </c>
    </row>
    <row r="715" spans="2:8" s="2" customFormat="1" ht="13.5" thickBot="1" x14ac:dyDescent="0.35">
      <c r="B715" s="9">
        <f>COUNT($B$4:B714)+1</f>
        <v>393</v>
      </c>
      <c r="C715" s="10" t="s">
        <v>567</v>
      </c>
      <c r="D715" s="10" t="s">
        <v>540</v>
      </c>
      <c r="E715" s="11" t="s">
        <v>9</v>
      </c>
      <c r="F715" s="12" t="s">
        <v>23</v>
      </c>
      <c r="G715" s="12"/>
      <c r="H715" s="13">
        <f t="shared" si="11"/>
        <v>0</v>
      </c>
    </row>
    <row r="716" spans="2:8" s="2" customFormat="1" ht="13.5" thickBot="1" x14ac:dyDescent="0.35">
      <c r="B716" s="9">
        <f>COUNT($B$4:B715)+1</f>
        <v>394</v>
      </c>
      <c r="C716" s="10" t="s">
        <v>568</v>
      </c>
      <c r="D716" s="10" t="s">
        <v>540</v>
      </c>
      <c r="E716" s="11" t="s">
        <v>9</v>
      </c>
      <c r="F716" s="12" t="s">
        <v>23</v>
      </c>
      <c r="G716" s="12"/>
      <c r="H716" s="13">
        <f t="shared" si="11"/>
        <v>0</v>
      </c>
    </row>
    <row r="717" spans="2:8" s="2" customFormat="1" ht="13.5" thickBot="1" x14ac:dyDescent="0.35">
      <c r="B717" s="9">
        <f>COUNT($B$4:B716)+1</f>
        <v>395</v>
      </c>
      <c r="C717" s="10" t="s">
        <v>569</v>
      </c>
      <c r="D717" s="10" t="s">
        <v>540</v>
      </c>
      <c r="E717" s="11" t="s">
        <v>9</v>
      </c>
      <c r="F717" s="12" t="s">
        <v>23</v>
      </c>
      <c r="G717" s="12"/>
      <c r="H717" s="13">
        <f t="shared" si="11"/>
        <v>0</v>
      </c>
    </row>
    <row r="718" spans="2:8" s="2" customFormat="1" ht="13.5" thickBot="1" x14ac:dyDescent="0.35">
      <c r="B718" s="9">
        <f>COUNT($B$4:B717)+1</f>
        <v>396</v>
      </c>
      <c r="C718" s="10" t="s">
        <v>570</v>
      </c>
      <c r="D718" s="10" t="s">
        <v>540</v>
      </c>
      <c r="E718" s="11" t="s">
        <v>9</v>
      </c>
      <c r="F718" s="12" t="s">
        <v>23</v>
      </c>
      <c r="G718" s="12"/>
      <c r="H718" s="13">
        <f t="shared" si="11"/>
        <v>0</v>
      </c>
    </row>
    <row r="719" spans="2:8" s="2" customFormat="1" ht="13.5" thickBot="1" x14ac:dyDescent="0.35">
      <c r="B719" s="9">
        <f>COUNT($B$4:B718)+1</f>
        <v>397</v>
      </c>
      <c r="C719" s="10" t="s">
        <v>571</v>
      </c>
      <c r="D719" s="10" t="s">
        <v>540</v>
      </c>
      <c r="E719" s="11" t="s">
        <v>9</v>
      </c>
      <c r="F719" s="12" t="s">
        <v>23</v>
      </c>
      <c r="G719" s="12"/>
      <c r="H719" s="13">
        <f t="shared" si="11"/>
        <v>0</v>
      </c>
    </row>
    <row r="720" spans="2:8" ht="13.5" thickBot="1" x14ac:dyDescent="0.35">
      <c r="B720" s="9">
        <f>COUNT($B$4:B719)+1</f>
        <v>398</v>
      </c>
      <c r="C720" s="10" t="s">
        <v>572</v>
      </c>
      <c r="D720" s="10"/>
      <c r="E720" s="11" t="s">
        <v>9</v>
      </c>
      <c r="F720" s="12" t="s">
        <v>23</v>
      </c>
      <c r="G720" s="12"/>
      <c r="H720" s="13">
        <f t="shared" si="11"/>
        <v>0</v>
      </c>
    </row>
    <row r="721" spans="2:8" ht="13.5" thickBot="1" x14ac:dyDescent="0.35">
      <c r="B721" s="9"/>
      <c r="C721" s="14" t="s">
        <v>449</v>
      </c>
      <c r="D721" s="14" t="s">
        <v>278</v>
      </c>
      <c r="E721" s="18" t="s">
        <v>0</v>
      </c>
      <c r="F721" s="17" t="s">
        <v>23</v>
      </c>
      <c r="G721" s="17">
        <f>G720*8</f>
        <v>0</v>
      </c>
      <c r="H721" s="13">
        <f t="shared" si="11"/>
        <v>0</v>
      </c>
    </row>
    <row r="722" spans="2:8" ht="13.5" thickBot="1" x14ac:dyDescent="0.35">
      <c r="B722" s="9"/>
      <c r="C722" s="14" t="s">
        <v>573</v>
      </c>
      <c r="D722" s="14" t="s">
        <v>278</v>
      </c>
      <c r="E722" s="18" t="s">
        <v>9</v>
      </c>
      <c r="F722" s="17" t="s">
        <v>23</v>
      </c>
      <c r="G722" s="17">
        <f>G720</f>
        <v>0</v>
      </c>
      <c r="H722" s="13">
        <f t="shared" si="11"/>
        <v>0</v>
      </c>
    </row>
    <row r="723" spans="2:8" ht="13.5" thickBot="1" x14ac:dyDescent="0.35">
      <c r="B723" s="9"/>
      <c r="C723" s="14" t="s">
        <v>451</v>
      </c>
      <c r="D723" s="14" t="s">
        <v>278</v>
      </c>
      <c r="E723" s="18" t="s">
        <v>0</v>
      </c>
      <c r="F723" s="17" t="s">
        <v>23</v>
      </c>
      <c r="G723" s="17">
        <f>G720*8</f>
        <v>0</v>
      </c>
      <c r="H723" s="13">
        <f t="shared" si="11"/>
        <v>0</v>
      </c>
    </row>
    <row r="724" spans="2:8" ht="13.5" thickBot="1" x14ac:dyDescent="0.35">
      <c r="B724" s="9"/>
      <c r="C724" s="14" t="s">
        <v>452</v>
      </c>
      <c r="D724" s="14" t="s">
        <v>278</v>
      </c>
      <c r="E724" s="18" t="s">
        <v>0</v>
      </c>
      <c r="F724" s="17" t="s">
        <v>23</v>
      </c>
      <c r="G724" s="17">
        <f>G720*8</f>
        <v>0</v>
      </c>
      <c r="H724" s="13">
        <f t="shared" si="11"/>
        <v>0</v>
      </c>
    </row>
    <row r="725" spans="2:8" ht="13.5" thickBot="1" x14ac:dyDescent="0.35">
      <c r="B725" s="9"/>
      <c r="C725" s="14" t="s">
        <v>574</v>
      </c>
      <c r="D725" s="14" t="s">
        <v>278</v>
      </c>
      <c r="E725" s="18" t="s">
        <v>9</v>
      </c>
      <c r="F725" s="17" t="s">
        <v>23</v>
      </c>
      <c r="G725" s="17">
        <f>G720</f>
        <v>0</v>
      </c>
      <c r="H725" s="13">
        <f t="shared" si="11"/>
        <v>0</v>
      </c>
    </row>
    <row r="726" spans="2:8" ht="13.5" thickBot="1" x14ac:dyDescent="0.35">
      <c r="B726" s="9">
        <f>COUNT($B$4:B725)+1</f>
        <v>399</v>
      </c>
      <c r="C726" s="10" t="s">
        <v>575</v>
      </c>
      <c r="D726" s="10"/>
      <c r="E726" s="11" t="s">
        <v>9</v>
      </c>
      <c r="F726" s="12" t="s">
        <v>23</v>
      </c>
      <c r="G726" s="12"/>
      <c r="H726" s="13">
        <f t="shared" si="11"/>
        <v>0</v>
      </c>
    </row>
    <row r="727" spans="2:8" ht="13.5" thickBot="1" x14ac:dyDescent="0.35">
      <c r="B727" s="9"/>
      <c r="C727" s="14" t="s">
        <v>449</v>
      </c>
      <c r="D727" s="14" t="s">
        <v>278</v>
      </c>
      <c r="E727" s="18" t="s">
        <v>0</v>
      </c>
      <c r="F727" s="17" t="s">
        <v>23</v>
      </c>
      <c r="G727" s="17">
        <f>G726*8</f>
        <v>0</v>
      </c>
      <c r="H727" s="13">
        <f t="shared" si="11"/>
        <v>0</v>
      </c>
    </row>
    <row r="728" spans="2:8" ht="13.5" thickBot="1" x14ac:dyDescent="0.35">
      <c r="B728" s="9"/>
      <c r="C728" s="14" t="s">
        <v>576</v>
      </c>
      <c r="D728" s="14" t="s">
        <v>278</v>
      </c>
      <c r="E728" s="18" t="s">
        <v>9</v>
      </c>
      <c r="F728" s="17" t="s">
        <v>23</v>
      </c>
      <c r="G728" s="17">
        <f>G726</f>
        <v>0</v>
      </c>
      <c r="H728" s="13">
        <f t="shared" si="11"/>
        <v>0</v>
      </c>
    </row>
    <row r="729" spans="2:8" ht="13.5" thickBot="1" x14ac:dyDescent="0.35">
      <c r="B729" s="9"/>
      <c r="C729" s="14" t="s">
        <v>451</v>
      </c>
      <c r="D729" s="14" t="s">
        <v>278</v>
      </c>
      <c r="E729" s="18" t="s">
        <v>0</v>
      </c>
      <c r="F729" s="17" t="s">
        <v>23</v>
      </c>
      <c r="G729" s="17">
        <f>G726*8</f>
        <v>0</v>
      </c>
      <c r="H729" s="13">
        <f t="shared" si="11"/>
        <v>0</v>
      </c>
    </row>
    <row r="730" spans="2:8" ht="13.5" thickBot="1" x14ac:dyDescent="0.35">
      <c r="B730" s="9"/>
      <c r="C730" s="14" t="s">
        <v>452</v>
      </c>
      <c r="D730" s="14" t="s">
        <v>278</v>
      </c>
      <c r="E730" s="18" t="s">
        <v>0</v>
      </c>
      <c r="F730" s="17" t="s">
        <v>23</v>
      </c>
      <c r="G730" s="17">
        <f>G726*8</f>
        <v>0</v>
      </c>
      <c r="H730" s="13">
        <f t="shared" si="11"/>
        <v>0</v>
      </c>
    </row>
    <row r="731" spans="2:8" ht="13.5" thickBot="1" x14ac:dyDescent="0.35">
      <c r="B731" s="9"/>
      <c r="C731" s="14" t="s">
        <v>577</v>
      </c>
      <c r="D731" s="14" t="s">
        <v>278</v>
      </c>
      <c r="E731" s="18" t="s">
        <v>9</v>
      </c>
      <c r="F731" s="17" t="s">
        <v>23</v>
      </c>
      <c r="G731" s="17">
        <f>G726</f>
        <v>0</v>
      </c>
      <c r="H731" s="13">
        <f t="shared" si="11"/>
        <v>0</v>
      </c>
    </row>
    <row r="732" spans="2:8" ht="13.5" thickBot="1" x14ac:dyDescent="0.35">
      <c r="B732" s="9">
        <f>COUNT($B$4:B731)+1</f>
        <v>400</v>
      </c>
      <c r="C732" s="10" t="s">
        <v>578</v>
      </c>
      <c r="D732" s="10"/>
      <c r="E732" s="11" t="s">
        <v>9</v>
      </c>
      <c r="F732" s="12" t="s">
        <v>23</v>
      </c>
      <c r="G732" s="12"/>
      <c r="H732" s="13">
        <f t="shared" si="11"/>
        <v>0</v>
      </c>
    </row>
    <row r="733" spans="2:8" ht="13.5" thickBot="1" x14ac:dyDescent="0.35">
      <c r="B733" s="9"/>
      <c r="C733" s="14" t="s">
        <v>449</v>
      </c>
      <c r="D733" s="14" t="s">
        <v>278</v>
      </c>
      <c r="E733" s="18" t="s">
        <v>0</v>
      </c>
      <c r="F733" s="17" t="s">
        <v>23</v>
      </c>
      <c r="G733" s="17">
        <f>G732*8</f>
        <v>0</v>
      </c>
      <c r="H733" s="13">
        <f t="shared" si="11"/>
        <v>0</v>
      </c>
    </row>
    <row r="734" spans="2:8" ht="13.5" thickBot="1" x14ac:dyDescent="0.35">
      <c r="B734" s="9"/>
      <c r="C734" s="14" t="s">
        <v>579</v>
      </c>
      <c r="D734" s="14" t="s">
        <v>278</v>
      </c>
      <c r="E734" s="18" t="s">
        <v>9</v>
      </c>
      <c r="F734" s="17" t="s">
        <v>23</v>
      </c>
      <c r="G734" s="17">
        <f>G732</f>
        <v>0</v>
      </c>
      <c r="H734" s="13">
        <f t="shared" si="11"/>
        <v>0</v>
      </c>
    </row>
    <row r="735" spans="2:8" ht="13.5" thickBot="1" x14ac:dyDescent="0.35">
      <c r="B735" s="9"/>
      <c r="C735" s="14" t="s">
        <v>451</v>
      </c>
      <c r="D735" s="14" t="s">
        <v>278</v>
      </c>
      <c r="E735" s="18" t="s">
        <v>0</v>
      </c>
      <c r="F735" s="17" t="s">
        <v>23</v>
      </c>
      <c r="G735" s="17">
        <f>G732*8</f>
        <v>0</v>
      </c>
      <c r="H735" s="13">
        <f t="shared" si="11"/>
        <v>0</v>
      </c>
    </row>
    <row r="736" spans="2:8" ht="13.5" thickBot="1" x14ac:dyDescent="0.35">
      <c r="B736" s="9"/>
      <c r="C736" s="14" t="s">
        <v>452</v>
      </c>
      <c r="D736" s="14" t="s">
        <v>278</v>
      </c>
      <c r="E736" s="18" t="s">
        <v>0</v>
      </c>
      <c r="F736" s="17" t="s">
        <v>23</v>
      </c>
      <c r="G736" s="17">
        <f>G732*8</f>
        <v>0</v>
      </c>
      <c r="H736" s="13">
        <f t="shared" si="11"/>
        <v>0</v>
      </c>
    </row>
    <row r="737" spans="2:8" ht="13.5" thickBot="1" x14ac:dyDescent="0.35">
      <c r="B737" s="9"/>
      <c r="C737" s="14" t="s">
        <v>580</v>
      </c>
      <c r="D737" s="14" t="s">
        <v>278</v>
      </c>
      <c r="E737" s="18" t="s">
        <v>9</v>
      </c>
      <c r="F737" s="17" t="s">
        <v>23</v>
      </c>
      <c r="G737" s="17">
        <f>G732</f>
        <v>0</v>
      </c>
      <c r="H737" s="13">
        <f t="shared" si="11"/>
        <v>0</v>
      </c>
    </row>
    <row r="738" spans="2:8" ht="13.5" thickBot="1" x14ac:dyDescent="0.35">
      <c r="B738" s="9">
        <f>COUNT($B$4:B737)+1</f>
        <v>401</v>
      </c>
      <c r="C738" s="10" t="s">
        <v>581</v>
      </c>
      <c r="D738" s="10"/>
      <c r="E738" s="11" t="s">
        <v>9</v>
      </c>
      <c r="F738" s="12" t="s">
        <v>23</v>
      </c>
      <c r="G738" s="12"/>
      <c r="H738" s="13">
        <f t="shared" si="11"/>
        <v>0</v>
      </c>
    </row>
    <row r="739" spans="2:8" ht="13.5" thickBot="1" x14ac:dyDescent="0.35">
      <c r="B739" s="9"/>
      <c r="C739" s="14" t="s">
        <v>449</v>
      </c>
      <c r="D739" s="14" t="s">
        <v>278</v>
      </c>
      <c r="E739" s="18" t="s">
        <v>0</v>
      </c>
      <c r="F739" s="17" t="s">
        <v>23</v>
      </c>
      <c r="G739" s="17">
        <f>G738*8</f>
        <v>0</v>
      </c>
      <c r="H739" s="13">
        <f t="shared" si="11"/>
        <v>0</v>
      </c>
    </row>
    <row r="740" spans="2:8" ht="13.5" thickBot="1" x14ac:dyDescent="0.35">
      <c r="B740" s="9"/>
      <c r="C740" s="14" t="s">
        <v>582</v>
      </c>
      <c r="D740" s="14" t="s">
        <v>278</v>
      </c>
      <c r="E740" s="18" t="s">
        <v>9</v>
      </c>
      <c r="F740" s="17" t="s">
        <v>23</v>
      </c>
      <c r="G740" s="17">
        <f>G738</f>
        <v>0</v>
      </c>
      <c r="H740" s="13">
        <f t="shared" si="11"/>
        <v>0</v>
      </c>
    </row>
    <row r="741" spans="2:8" ht="13.5" thickBot="1" x14ac:dyDescent="0.35">
      <c r="B741" s="9"/>
      <c r="C741" s="14" t="s">
        <v>451</v>
      </c>
      <c r="D741" s="14" t="s">
        <v>278</v>
      </c>
      <c r="E741" s="18" t="s">
        <v>0</v>
      </c>
      <c r="F741" s="17" t="s">
        <v>23</v>
      </c>
      <c r="G741" s="17">
        <f>G738*8</f>
        <v>0</v>
      </c>
      <c r="H741" s="13">
        <f t="shared" si="11"/>
        <v>0</v>
      </c>
    </row>
    <row r="742" spans="2:8" ht="13.5" thickBot="1" x14ac:dyDescent="0.35">
      <c r="B742" s="9"/>
      <c r="C742" s="14" t="s">
        <v>452</v>
      </c>
      <c r="D742" s="14" t="s">
        <v>278</v>
      </c>
      <c r="E742" s="18" t="s">
        <v>0</v>
      </c>
      <c r="F742" s="17" t="s">
        <v>23</v>
      </c>
      <c r="G742" s="17">
        <f>G738*8</f>
        <v>0</v>
      </c>
      <c r="H742" s="13">
        <f t="shared" si="11"/>
        <v>0</v>
      </c>
    </row>
    <row r="743" spans="2:8" ht="13.5" thickBot="1" x14ac:dyDescent="0.35">
      <c r="B743" s="9"/>
      <c r="C743" s="14" t="s">
        <v>583</v>
      </c>
      <c r="D743" s="14" t="s">
        <v>278</v>
      </c>
      <c r="E743" s="18" t="s">
        <v>9</v>
      </c>
      <c r="F743" s="17" t="s">
        <v>23</v>
      </c>
      <c r="G743" s="17">
        <f>G738</f>
        <v>0</v>
      </c>
      <c r="H743" s="13">
        <f t="shared" si="11"/>
        <v>0</v>
      </c>
    </row>
    <row r="744" spans="2:8" ht="13.5" thickBot="1" x14ac:dyDescent="0.35">
      <c r="B744" s="9">
        <f>COUNT($B$4:B743)+1</f>
        <v>402</v>
      </c>
      <c r="C744" s="10" t="s">
        <v>584</v>
      </c>
      <c r="D744" s="10"/>
      <c r="E744" s="11" t="s">
        <v>9</v>
      </c>
      <c r="F744" s="12" t="s">
        <v>23</v>
      </c>
      <c r="G744" s="12"/>
      <c r="H744" s="13">
        <f t="shared" si="11"/>
        <v>0</v>
      </c>
    </row>
    <row r="745" spans="2:8" ht="13.5" thickBot="1" x14ac:dyDescent="0.35">
      <c r="B745" s="9"/>
      <c r="C745" s="14" t="s">
        <v>449</v>
      </c>
      <c r="D745" s="14" t="s">
        <v>278</v>
      </c>
      <c r="E745" s="18" t="s">
        <v>0</v>
      </c>
      <c r="F745" s="17" t="s">
        <v>23</v>
      </c>
      <c r="G745" s="17">
        <f>G744*8</f>
        <v>0</v>
      </c>
      <c r="H745" s="13">
        <f t="shared" si="11"/>
        <v>0</v>
      </c>
    </row>
    <row r="746" spans="2:8" ht="13.5" thickBot="1" x14ac:dyDescent="0.35">
      <c r="B746" s="9"/>
      <c r="C746" s="14" t="s">
        <v>585</v>
      </c>
      <c r="D746" s="14" t="s">
        <v>278</v>
      </c>
      <c r="E746" s="18" t="s">
        <v>9</v>
      </c>
      <c r="F746" s="17" t="s">
        <v>23</v>
      </c>
      <c r="G746" s="17">
        <f>G744</f>
        <v>0</v>
      </c>
      <c r="H746" s="13">
        <f t="shared" si="11"/>
        <v>0</v>
      </c>
    </row>
    <row r="747" spans="2:8" ht="13.5" thickBot="1" x14ac:dyDescent="0.35">
      <c r="B747" s="9"/>
      <c r="C747" s="14" t="s">
        <v>451</v>
      </c>
      <c r="D747" s="14" t="s">
        <v>278</v>
      </c>
      <c r="E747" s="18" t="s">
        <v>0</v>
      </c>
      <c r="F747" s="17" t="s">
        <v>23</v>
      </c>
      <c r="G747" s="17">
        <f>G744*8</f>
        <v>0</v>
      </c>
      <c r="H747" s="13">
        <f t="shared" si="11"/>
        <v>0</v>
      </c>
    </row>
    <row r="748" spans="2:8" ht="13.5" thickBot="1" x14ac:dyDescent="0.35">
      <c r="B748" s="9"/>
      <c r="C748" s="14" t="s">
        <v>452</v>
      </c>
      <c r="D748" s="14" t="s">
        <v>278</v>
      </c>
      <c r="E748" s="18" t="s">
        <v>0</v>
      </c>
      <c r="F748" s="17" t="s">
        <v>23</v>
      </c>
      <c r="G748" s="17">
        <f>G744*8</f>
        <v>0</v>
      </c>
      <c r="H748" s="13">
        <f t="shared" si="11"/>
        <v>0</v>
      </c>
    </row>
    <row r="749" spans="2:8" ht="13.5" thickBot="1" x14ac:dyDescent="0.35">
      <c r="B749" s="9"/>
      <c r="C749" s="14" t="s">
        <v>586</v>
      </c>
      <c r="D749" s="14" t="s">
        <v>278</v>
      </c>
      <c r="E749" s="18" t="s">
        <v>9</v>
      </c>
      <c r="F749" s="17" t="s">
        <v>23</v>
      </c>
      <c r="G749" s="17">
        <f>G744</f>
        <v>0</v>
      </c>
      <c r="H749" s="13">
        <f t="shared" si="11"/>
        <v>0</v>
      </c>
    </row>
    <row r="750" spans="2:8" ht="13.5" thickBot="1" x14ac:dyDescent="0.35">
      <c r="B750" s="9">
        <f>COUNT($B$4:B749)+1</f>
        <v>403</v>
      </c>
      <c r="C750" s="10" t="s">
        <v>587</v>
      </c>
      <c r="D750" s="10"/>
      <c r="E750" s="11" t="s">
        <v>9</v>
      </c>
      <c r="F750" s="12" t="s">
        <v>23</v>
      </c>
      <c r="G750" s="12"/>
      <c r="H750" s="13">
        <f t="shared" si="11"/>
        <v>0</v>
      </c>
    </row>
    <row r="751" spans="2:8" ht="13.5" thickBot="1" x14ac:dyDescent="0.35">
      <c r="B751" s="9"/>
      <c r="C751" s="14" t="s">
        <v>449</v>
      </c>
      <c r="D751" s="14" t="s">
        <v>278</v>
      </c>
      <c r="E751" s="18" t="s">
        <v>0</v>
      </c>
      <c r="F751" s="17" t="s">
        <v>23</v>
      </c>
      <c r="G751" s="17">
        <f>G750*8</f>
        <v>0</v>
      </c>
      <c r="H751" s="13">
        <f t="shared" si="11"/>
        <v>0</v>
      </c>
    </row>
    <row r="752" spans="2:8" ht="13.5" thickBot="1" x14ac:dyDescent="0.35">
      <c r="B752" s="9"/>
      <c r="C752" s="14" t="s">
        <v>588</v>
      </c>
      <c r="D752" s="14" t="s">
        <v>278</v>
      </c>
      <c r="E752" s="18" t="s">
        <v>9</v>
      </c>
      <c r="F752" s="17" t="s">
        <v>23</v>
      </c>
      <c r="G752" s="17">
        <f>G750</f>
        <v>0</v>
      </c>
      <c r="H752" s="13">
        <f t="shared" si="11"/>
        <v>0</v>
      </c>
    </row>
    <row r="753" spans="2:8" ht="13.5" thickBot="1" x14ac:dyDescent="0.35">
      <c r="B753" s="9"/>
      <c r="C753" s="14" t="s">
        <v>451</v>
      </c>
      <c r="D753" s="14" t="s">
        <v>278</v>
      </c>
      <c r="E753" s="18" t="s">
        <v>0</v>
      </c>
      <c r="F753" s="17" t="s">
        <v>23</v>
      </c>
      <c r="G753" s="17">
        <f>G750*8</f>
        <v>0</v>
      </c>
      <c r="H753" s="13">
        <f t="shared" si="11"/>
        <v>0</v>
      </c>
    </row>
    <row r="754" spans="2:8" ht="13.5" thickBot="1" x14ac:dyDescent="0.35">
      <c r="B754" s="9"/>
      <c r="C754" s="14" t="s">
        <v>452</v>
      </c>
      <c r="D754" s="14" t="s">
        <v>278</v>
      </c>
      <c r="E754" s="18" t="s">
        <v>0</v>
      </c>
      <c r="F754" s="17" t="s">
        <v>23</v>
      </c>
      <c r="G754" s="17">
        <f>G750*8</f>
        <v>0</v>
      </c>
      <c r="H754" s="13">
        <f t="shared" si="11"/>
        <v>0</v>
      </c>
    </row>
    <row r="755" spans="2:8" ht="13.5" thickBot="1" x14ac:dyDescent="0.35">
      <c r="B755" s="9"/>
      <c r="C755" s="14" t="s">
        <v>589</v>
      </c>
      <c r="D755" s="14" t="s">
        <v>278</v>
      </c>
      <c r="E755" s="18" t="s">
        <v>9</v>
      </c>
      <c r="F755" s="17" t="s">
        <v>23</v>
      </c>
      <c r="G755" s="17">
        <f>G750</f>
        <v>0</v>
      </c>
      <c r="H755" s="13">
        <f t="shared" si="11"/>
        <v>0</v>
      </c>
    </row>
    <row r="756" spans="2:8" ht="13.5" thickBot="1" x14ac:dyDescent="0.35">
      <c r="B756" s="9">
        <f>COUNT($B$4:B755)+1</f>
        <v>404</v>
      </c>
      <c r="C756" s="10" t="s">
        <v>590</v>
      </c>
      <c r="D756" s="10"/>
      <c r="E756" s="11" t="s">
        <v>9</v>
      </c>
      <c r="F756" s="12" t="s">
        <v>23</v>
      </c>
      <c r="G756" s="12"/>
      <c r="H756" s="13">
        <f t="shared" si="11"/>
        <v>0</v>
      </c>
    </row>
    <row r="757" spans="2:8" ht="13.5" thickBot="1" x14ac:dyDescent="0.35">
      <c r="B757" s="9"/>
      <c r="C757" s="14" t="s">
        <v>449</v>
      </c>
      <c r="D757" s="14" t="s">
        <v>278</v>
      </c>
      <c r="E757" s="18" t="s">
        <v>0</v>
      </c>
      <c r="F757" s="17" t="s">
        <v>23</v>
      </c>
      <c r="G757" s="17">
        <f>G756*8</f>
        <v>0</v>
      </c>
      <c r="H757" s="13">
        <f t="shared" si="11"/>
        <v>0</v>
      </c>
    </row>
    <row r="758" spans="2:8" ht="13.5" thickBot="1" x14ac:dyDescent="0.35">
      <c r="B758" s="9"/>
      <c r="C758" s="14" t="s">
        <v>591</v>
      </c>
      <c r="D758" s="14" t="s">
        <v>278</v>
      </c>
      <c r="E758" s="18" t="s">
        <v>9</v>
      </c>
      <c r="F758" s="17" t="s">
        <v>23</v>
      </c>
      <c r="G758" s="17">
        <f>G756</f>
        <v>0</v>
      </c>
      <c r="H758" s="13">
        <f t="shared" si="11"/>
        <v>0</v>
      </c>
    </row>
    <row r="759" spans="2:8" ht="13.5" thickBot="1" x14ac:dyDescent="0.35">
      <c r="B759" s="9"/>
      <c r="C759" s="14" t="s">
        <v>451</v>
      </c>
      <c r="D759" s="14" t="s">
        <v>278</v>
      </c>
      <c r="E759" s="18" t="s">
        <v>0</v>
      </c>
      <c r="F759" s="17" t="s">
        <v>23</v>
      </c>
      <c r="G759" s="17">
        <f>G756*8</f>
        <v>0</v>
      </c>
      <c r="H759" s="13">
        <f t="shared" si="11"/>
        <v>0</v>
      </c>
    </row>
    <row r="760" spans="2:8" ht="13.5" thickBot="1" x14ac:dyDescent="0.35">
      <c r="B760" s="9"/>
      <c r="C760" s="14" t="s">
        <v>452</v>
      </c>
      <c r="D760" s="14" t="s">
        <v>278</v>
      </c>
      <c r="E760" s="18" t="s">
        <v>0</v>
      </c>
      <c r="F760" s="17" t="s">
        <v>23</v>
      </c>
      <c r="G760" s="17">
        <f>G756*8</f>
        <v>0</v>
      </c>
      <c r="H760" s="13">
        <f t="shared" si="11"/>
        <v>0</v>
      </c>
    </row>
    <row r="761" spans="2:8" ht="13.5" thickBot="1" x14ac:dyDescent="0.35">
      <c r="B761" s="9"/>
      <c r="C761" s="14" t="s">
        <v>592</v>
      </c>
      <c r="D761" s="14" t="s">
        <v>278</v>
      </c>
      <c r="E761" s="18" t="s">
        <v>9</v>
      </c>
      <c r="F761" s="17" t="s">
        <v>23</v>
      </c>
      <c r="G761" s="17">
        <f>G756</f>
        <v>0</v>
      </c>
      <c r="H761" s="13">
        <f t="shared" si="11"/>
        <v>0</v>
      </c>
    </row>
    <row r="762" spans="2:8" ht="13.5" thickBot="1" x14ac:dyDescent="0.35">
      <c r="B762" s="9">
        <f>COUNT($B$4:B761)+1</f>
        <v>405</v>
      </c>
      <c r="C762" s="10" t="s">
        <v>593</v>
      </c>
      <c r="D762" s="10"/>
      <c r="E762" s="11" t="s">
        <v>9</v>
      </c>
      <c r="F762" s="12" t="s">
        <v>23</v>
      </c>
      <c r="G762" s="12"/>
      <c r="H762" s="13">
        <f t="shared" si="11"/>
        <v>0</v>
      </c>
    </row>
    <row r="763" spans="2:8" ht="13.5" thickBot="1" x14ac:dyDescent="0.35">
      <c r="B763" s="9"/>
      <c r="C763" s="14" t="s">
        <v>449</v>
      </c>
      <c r="D763" s="14" t="s">
        <v>278</v>
      </c>
      <c r="E763" s="18" t="s">
        <v>0</v>
      </c>
      <c r="F763" s="17" t="s">
        <v>23</v>
      </c>
      <c r="G763" s="17">
        <f>G762*8</f>
        <v>0</v>
      </c>
      <c r="H763" s="13">
        <f t="shared" si="11"/>
        <v>0</v>
      </c>
    </row>
    <row r="764" spans="2:8" ht="13.5" thickBot="1" x14ac:dyDescent="0.35">
      <c r="B764" s="9"/>
      <c r="C764" s="14" t="s">
        <v>594</v>
      </c>
      <c r="D764" s="14" t="s">
        <v>278</v>
      </c>
      <c r="E764" s="18" t="s">
        <v>9</v>
      </c>
      <c r="F764" s="17" t="s">
        <v>23</v>
      </c>
      <c r="G764" s="17">
        <f>G762</f>
        <v>0</v>
      </c>
      <c r="H764" s="13">
        <f t="shared" si="11"/>
        <v>0</v>
      </c>
    </row>
    <row r="765" spans="2:8" ht="13.5" thickBot="1" x14ac:dyDescent="0.35">
      <c r="B765" s="9"/>
      <c r="C765" s="14" t="s">
        <v>451</v>
      </c>
      <c r="D765" s="14" t="s">
        <v>278</v>
      </c>
      <c r="E765" s="18" t="s">
        <v>0</v>
      </c>
      <c r="F765" s="17" t="s">
        <v>23</v>
      </c>
      <c r="G765" s="17">
        <f>G762*8</f>
        <v>0</v>
      </c>
      <c r="H765" s="13">
        <f t="shared" si="11"/>
        <v>0</v>
      </c>
    </row>
    <row r="766" spans="2:8" ht="13.5" thickBot="1" x14ac:dyDescent="0.35">
      <c r="B766" s="9"/>
      <c r="C766" s="14" t="s">
        <v>452</v>
      </c>
      <c r="D766" s="14" t="s">
        <v>278</v>
      </c>
      <c r="E766" s="18" t="s">
        <v>0</v>
      </c>
      <c r="F766" s="17" t="s">
        <v>23</v>
      </c>
      <c r="G766" s="17">
        <f>G762*8</f>
        <v>0</v>
      </c>
      <c r="H766" s="13">
        <f t="shared" si="11"/>
        <v>0</v>
      </c>
    </row>
    <row r="767" spans="2:8" ht="13.5" thickBot="1" x14ac:dyDescent="0.35">
      <c r="B767" s="9"/>
      <c r="C767" s="14" t="s">
        <v>595</v>
      </c>
      <c r="D767" s="14" t="s">
        <v>278</v>
      </c>
      <c r="E767" s="18" t="s">
        <v>9</v>
      </c>
      <c r="F767" s="17" t="s">
        <v>23</v>
      </c>
      <c r="G767" s="17">
        <f>G762</f>
        <v>0</v>
      </c>
      <c r="H767" s="13">
        <f t="shared" si="11"/>
        <v>0</v>
      </c>
    </row>
    <row r="768" spans="2:8" ht="13.5" thickBot="1" x14ac:dyDescent="0.35">
      <c r="B768" s="9">
        <f>COUNT($B$4:B767)+1</f>
        <v>406</v>
      </c>
      <c r="C768" s="10" t="s">
        <v>596</v>
      </c>
      <c r="D768" s="10"/>
      <c r="E768" s="11" t="s">
        <v>9</v>
      </c>
      <c r="F768" s="12" t="s">
        <v>23</v>
      </c>
      <c r="G768" s="12"/>
      <c r="H768" s="13">
        <f t="shared" si="11"/>
        <v>0</v>
      </c>
    </row>
    <row r="769" spans="2:8" ht="13.5" thickBot="1" x14ac:dyDescent="0.35">
      <c r="B769" s="9"/>
      <c r="C769" s="14" t="s">
        <v>449</v>
      </c>
      <c r="D769" s="14" t="s">
        <v>278</v>
      </c>
      <c r="E769" s="18" t="s">
        <v>0</v>
      </c>
      <c r="F769" s="17" t="s">
        <v>23</v>
      </c>
      <c r="G769" s="17">
        <f>G768*8</f>
        <v>0</v>
      </c>
      <c r="H769" s="13">
        <f t="shared" si="11"/>
        <v>0</v>
      </c>
    </row>
    <row r="770" spans="2:8" ht="13.5" thickBot="1" x14ac:dyDescent="0.35">
      <c r="B770" s="9"/>
      <c r="C770" s="14" t="s">
        <v>597</v>
      </c>
      <c r="D770" s="14" t="s">
        <v>278</v>
      </c>
      <c r="E770" s="18" t="s">
        <v>9</v>
      </c>
      <c r="F770" s="17" t="s">
        <v>23</v>
      </c>
      <c r="G770" s="17">
        <f>G768</f>
        <v>0</v>
      </c>
      <c r="H770" s="13">
        <f t="shared" si="11"/>
        <v>0</v>
      </c>
    </row>
    <row r="771" spans="2:8" ht="13.5" thickBot="1" x14ac:dyDescent="0.35">
      <c r="B771" s="9"/>
      <c r="C771" s="14" t="s">
        <v>451</v>
      </c>
      <c r="D771" s="14" t="s">
        <v>278</v>
      </c>
      <c r="E771" s="18" t="s">
        <v>0</v>
      </c>
      <c r="F771" s="17" t="s">
        <v>23</v>
      </c>
      <c r="G771" s="17">
        <f>G768*8</f>
        <v>0</v>
      </c>
      <c r="H771" s="13">
        <f t="shared" si="11"/>
        <v>0</v>
      </c>
    </row>
    <row r="772" spans="2:8" ht="13.5" thickBot="1" x14ac:dyDescent="0.35">
      <c r="B772" s="9"/>
      <c r="C772" s="14" t="s">
        <v>452</v>
      </c>
      <c r="D772" s="14" t="s">
        <v>278</v>
      </c>
      <c r="E772" s="18" t="s">
        <v>0</v>
      </c>
      <c r="F772" s="17" t="s">
        <v>23</v>
      </c>
      <c r="G772" s="17">
        <f>G768*8</f>
        <v>0</v>
      </c>
      <c r="H772" s="13">
        <f t="shared" si="11"/>
        <v>0</v>
      </c>
    </row>
    <row r="773" spans="2:8" ht="13.5" thickBot="1" x14ac:dyDescent="0.35">
      <c r="B773" s="9"/>
      <c r="C773" s="14" t="s">
        <v>598</v>
      </c>
      <c r="D773" s="14" t="s">
        <v>278</v>
      </c>
      <c r="E773" s="18" t="s">
        <v>9</v>
      </c>
      <c r="F773" s="17" t="s">
        <v>23</v>
      </c>
      <c r="G773" s="17">
        <f>G768</f>
        <v>0</v>
      </c>
      <c r="H773" s="13">
        <f t="shared" ref="H773:H836" si="12">SUM(G773:G773)</f>
        <v>0</v>
      </c>
    </row>
    <row r="774" spans="2:8" ht="13.5" thickBot="1" x14ac:dyDescent="0.35">
      <c r="B774" s="9">
        <f>COUNT($B$4:B773)+1</f>
        <v>407</v>
      </c>
      <c r="C774" s="10" t="s">
        <v>599</v>
      </c>
      <c r="D774" s="10"/>
      <c r="E774" s="11" t="s">
        <v>9</v>
      </c>
      <c r="F774" s="12" t="s">
        <v>23</v>
      </c>
      <c r="G774" s="12"/>
      <c r="H774" s="13">
        <f t="shared" si="12"/>
        <v>0</v>
      </c>
    </row>
    <row r="775" spans="2:8" ht="13.5" thickBot="1" x14ac:dyDescent="0.35">
      <c r="B775" s="9"/>
      <c r="C775" s="14" t="s">
        <v>449</v>
      </c>
      <c r="D775" s="14" t="s">
        <v>278</v>
      </c>
      <c r="E775" s="18" t="s">
        <v>0</v>
      </c>
      <c r="F775" s="17" t="s">
        <v>23</v>
      </c>
      <c r="G775" s="17">
        <f>G774*8</f>
        <v>0</v>
      </c>
      <c r="H775" s="13">
        <f t="shared" si="12"/>
        <v>0</v>
      </c>
    </row>
    <row r="776" spans="2:8" ht="13.5" thickBot="1" x14ac:dyDescent="0.35">
      <c r="B776" s="9"/>
      <c r="C776" s="14" t="s">
        <v>600</v>
      </c>
      <c r="D776" s="14" t="s">
        <v>278</v>
      </c>
      <c r="E776" s="18" t="s">
        <v>9</v>
      </c>
      <c r="F776" s="17" t="s">
        <v>23</v>
      </c>
      <c r="G776" s="17">
        <f>G774</f>
        <v>0</v>
      </c>
      <c r="H776" s="13">
        <f t="shared" si="12"/>
        <v>0</v>
      </c>
    </row>
    <row r="777" spans="2:8" ht="13.5" thickBot="1" x14ac:dyDescent="0.35">
      <c r="B777" s="9"/>
      <c r="C777" s="14" t="s">
        <v>451</v>
      </c>
      <c r="D777" s="14" t="s">
        <v>278</v>
      </c>
      <c r="E777" s="18" t="s">
        <v>0</v>
      </c>
      <c r="F777" s="17" t="s">
        <v>23</v>
      </c>
      <c r="G777" s="17">
        <f>G774*8</f>
        <v>0</v>
      </c>
      <c r="H777" s="13">
        <f t="shared" si="12"/>
        <v>0</v>
      </c>
    </row>
    <row r="778" spans="2:8" ht="13.5" thickBot="1" x14ac:dyDescent="0.35">
      <c r="B778" s="9"/>
      <c r="C778" s="14" t="s">
        <v>452</v>
      </c>
      <c r="D778" s="14" t="s">
        <v>278</v>
      </c>
      <c r="E778" s="18" t="s">
        <v>0</v>
      </c>
      <c r="F778" s="17" t="s">
        <v>23</v>
      </c>
      <c r="G778" s="17">
        <f>G774*8</f>
        <v>0</v>
      </c>
      <c r="H778" s="13">
        <f t="shared" si="12"/>
        <v>0</v>
      </c>
    </row>
    <row r="779" spans="2:8" ht="13.5" thickBot="1" x14ac:dyDescent="0.35">
      <c r="B779" s="9"/>
      <c r="C779" s="14" t="s">
        <v>601</v>
      </c>
      <c r="D779" s="14" t="s">
        <v>278</v>
      </c>
      <c r="E779" s="18" t="s">
        <v>9</v>
      </c>
      <c r="F779" s="17" t="s">
        <v>23</v>
      </c>
      <c r="G779" s="17">
        <f>G774</f>
        <v>0</v>
      </c>
      <c r="H779" s="13">
        <f t="shared" si="12"/>
        <v>0</v>
      </c>
    </row>
    <row r="780" spans="2:8" ht="13.5" thickBot="1" x14ac:dyDescent="0.35">
      <c r="B780" s="9">
        <f>COUNT($B$4:B779)+1</f>
        <v>408</v>
      </c>
      <c r="C780" s="10" t="s">
        <v>602</v>
      </c>
      <c r="D780" s="10"/>
      <c r="E780" s="11" t="s">
        <v>9</v>
      </c>
      <c r="F780" s="12" t="s">
        <v>23</v>
      </c>
      <c r="G780" s="12"/>
      <c r="H780" s="13">
        <f t="shared" si="12"/>
        <v>0</v>
      </c>
    </row>
    <row r="781" spans="2:8" ht="13.5" thickBot="1" x14ac:dyDescent="0.35">
      <c r="B781" s="9"/>
      <c r="C781" s="14" t="s">
        <v>449</v>
      </c>
      <c r="D781" s="14" t="s">
        <v>278</v>
      </c>
      <c r="E781" s="18" t="s">
        <v>0</v>
      </c>
      <c r="F781" s="17" t="s">
        <v>23</v>
      </c>
      <c r="G781" s="17">
        <f>G780*8</f>
        <v>0</v>
      </c>
      <c r="H781" s="13">
        <f t="shared" si="12"/>
        <v>0</v>
      </c>
    </row>
    <row r="782" spans="2:8" ht="13.5" thickBot="1" x14ac:dyDescent="0.35">
      <c r="B782" s="9"/>
      <c r="C782" s="14" t="s">
        <v>603</v>
      </c>
      <c r="D782" s="14" t="s">
        <v>278</v>
      </c>
      <c r="E782" s="18" t="s">
        <v>9</v>
      </c>
      <c r="F782" s="17" t="s">
        <v>23</v>
      </c>
      <c r="G782" s="17">
        <f>G780</f>
        <v>0</v>
      </c>
      <c r="H782" s="13">
        <f t="shared" si="12"/>
        <v>0</v>
      </c>
    </row>
    <row r="783" spans="2:8" ht="13.5" thickBot="1" x14ac:dyDescent="0.35">
      <c r="B783" s="9"/>
      <c r="C783" s="14" t="s">
        <v>451</v>
      </c>
      <c r="D783" s="14" t="s">
        <v>278</v>
      </c>
      <c r="E783" s="18" t="s">
        <v>0</v>
      </c>
      <c r="F783" s="17" t="s">
        <v>23</v>
      </c>
      <c r="G783" s="17">
        <f>G780*8</f>
        <v>0</v>
      </c>
      <c r="H783" s="13">
        <f t="shared" si="12"/>
        <v>0</v>
      </c>
    </row>
    <row r="784" spans="2:8" ht="13.5" thickBot="1" x14ac:dyDescent="0.35">
      <c r="B784" s="9"/>
      <c r="C784" s="14" t="s">
        <v>452</v>
      </c>
      <c r="D784" s="14" t="s">
        <v>278</v>
      </c>
      <c r="E784" s="18" t="s">
        <v>0</v>
      </c>
      <c r="F784" s="17" t="s">
        <v>23</v>
      </c>
      <c r="G784" s="17">
        <f>G780*8</f>
        <v>0</v>
      </c>
      <c r="H784" s="13">
        <f t="shared" si="12"/>
        <v>0</v>
      </c>
    </row>
    <row r="785" spans="2:8" ht="13.5" thickBot="1" x14ac:dyDescent="0.35">
      <c r="B785" s="9"/>
      <c r="C785" s="14" t="s">
        <v>604</v>
      </c>
      <c r="D785" s="14" t="s">
        <v>278</v>
      </c>
      <c r="E785" s="18" t="s">
        <v>9</v>
      </c>
      <c r="F785" s="17" t="s">
        <v>23</v>
      </c>
      <c r="G785" s="17">
        <f>G780</f>
        <v>0</v>
      </c>
      <c r="H785" s="13">
        <f t="shared" si="12"/>
        <v>0</v>
      </c>
    </row>
    <row r="786" spans="2:8" ht="13.5" thickBot="1" x14ac:dyDescent="0.35">
      <c r="B786" s="9">
        <f>COUNT($B$4:B785)+1</f>
        <v>409</v>
      </c>
      <c r="C786" s="10" t="s">
        <v>605</v>
      </c>
      <c r="D786" s="10"/>
      <c r="E786" s="11" t="s">
        <v>9</v>
      </c>
      <c r="F786" s="12" t="s">
        <v>23</v>
      </c>
      <c r="G786" s="12"/>
      <c r="H786" s="13">
        <f t="shared" si="12"/>
        <v>0</v>
      </c>
    </row>
    <row r="787" spans="2:8" ht="13.5" thickBot="1" x14ac:dyDescent="0.35">
      <c r="B787" s="9"/>
      <c r="C787" s="14" t="s">
        <v>449</v>
      </c>
      <c r="D787" s="14" t="s">
        <v>278</v>
      </c>
      <c r="E787" s="18" t="s">
        <v>0</v>
      </c>
      <c r="F787" s="17" t="s">
        <v>23</v>
      </c>
      <c r="G787" s="17">
        <f>G786*8</f>
        <v>0</v>
      </c>
      <c r="H787" s="13">
        <f t="shared" si="12"/>
        <v>0</v>
      </c>
    </row>
    <row r="788" spans="2:8" ht="13.5" thickBot="1" x14ac:dyDescent="0.35">
      <c r="B788" s="9"/>
      <c r="C788" s="14" t="s">
        <v>606</v>
      </c>
      <c r="D788" s="14" t="s">
        <v>278</v>
      </c>
      <c r="E788" s="18" t="s">
        <v>9</v>
      </c>
      <c r="F788" s="17" t="s">
        <v>23</v>
      </c>
      <c r="G788" s="17">
        <f>G786</f>
        <v>0</v>
      </c>
      <c r="H788" s="13">
        <f t="shared" si="12"/>
        <v>0</v>
      </c>
    </row>
    <row r="789" spans="2:8" ht="13.5" thickBot="1" x14ac:dyDescent="0.35">
      <c r="B789" s="9"/>
      <c r="C789" s="14" t="s">
        <v>451</v>
      </c>
      <c r="D789" s="14" t="s">
        <v>278</v>
      </c>
      <c r="E789" s="18" t="s">
        <v>0</v>
      </c>
      <c r="F789" s="17" t="s">
        <v>23</v>
      </c>
      <c r="G789" s="17">
        <f>G786*8</f>
        <v>0</v>
      </c>
      <c r="H789" s="13">
        <f t="shared" si="12"/>
        <v>0</v>
      </c>
    </row>
    <row r="790" spans="2:8" ht="13.5" thickBot="1" x14ac:dyDescent="0.35">
      <c r="B790" s="9"/>
      <c r="C790" s="14" t="s">
        <v>452</v>
      </c>
      <c r="D790" s="14" t="s">
        <v>278</v>
      </c>
      <c r="E790" s="18" t="s">
        <v>0</v>
      </c>
      <c r="F790" s="17" t="s">
        <v>23</v>
      </c>
      <c r="G790" s="17">
        <f>G786*8</f>
        <v>0</v>
      </c>
      <c r="H790" s="13">
        <f t="shared" si="12"/>
        <v>0</v>
      </c>
    </row>
    <row r="791" spans="2:8" ht="13.5" thickBot="1" x14ac:dyDescent="0.35">
      <c r="B791" s="9"/>
      <c r="C791" s="14" t="s">
        <v>607</v>
      </c>
      <c r="D791" s="14" t="s">
        <v>278</v>
      </c>
      <c r="E791" s="18" t="s">
        <v>9</v>
      </c>
      <c r="F791" s="17" t="s">
        <v>23</v>
      </c>
      <c r="G791" s="17">
        <f>G786</f>
        <v>0</v>
      </c>
      <c r="H791" s="13">
        <f t="shared" si="12"/>
        <v>0</v>
      </c>
    </row>
    <row r="792" spans="2:8" ht="13.5" thickBot="1" x14ac:dyDescent="0.35">
      <c r="B792" s="9">
        <f>COUNT($B$4:B791)+1</f>
        <v>410</v>
      </c>
      <c r="C792" s="10" t="s">
        <v>608</v>
      </c>
      <c r="D792" s="10"/>
      <c r="E792" s="11" t="s">
        <v>9</v>
      </c>
      <c r="F792" s="12" t="s">
        <v>23</v>
      </c>
      <c r="G792" s="12"/>
      <c r="H792" s="13">
        <f t="shared" si="12"/>
        <v>0</v>
      </c>
    </row>
    <row r="793" spans="2:8" ht="13.5" thickBot="1" x14ac:dyDescent="0.35">
      <c r="B793" s="9"/>
      <c r="C793" s="14" t="s">
        <v>449</v>
      </c>
      <c r="D793" s="14" t="s">
        <v>278</v>
      </c>
      <c r="E793" s="18" t="s">
        <v>0</v>
      </c>
      <c r="F793" s="17" t="s">
        <v>23</v>
      </c>
      <c r="G793" s="17">
        <f>G792*8</f>
        <v>0</v>
      </c>
      <c r="H793" s="13">
        <f t="shared" si="12"/>
        <v>0</v>
      </c>
    </row>
    <row r="794" spans="2:8" ht="13.5" thickBot="1" x14ac:dyDescent="0.35">
      <c r="B794" s="9"/>
      <c r="C794" s="14" t="s">
        <v>609</v>
      </c>
      <c r="D794" s="14" t="s">
        <v>278</v>
      </c>
      <c r="E794" s="18" t="s">
        <v>9</v>
      </c>
      <c r="F794" s="17" t="s">
        <v>23</v>
      </c>
      <c r="G794" s="17">
        <f>G792</f>
        <v>0</v>
      </c>
      <c r="H794" s="13">
        <f t="shared" si="12"/>
        <v>0</v>
      </c>
    </row>
    <row r="795" spans="2:8" ht="13.5" thickBot="1" x14ac:dyDescent="0.35">
      <c r="B795" s="9"/>
      <c r="C795" s="14" t="s">
        <v>451</v>
      </c>
      <c r="D795" s="14" t="s">
        <v>278</v>
      </c>
      <c r="E795" s="18" t="s">
        <v>0</v>
      </c>
      <c r="F795" s="17" t="s">
        <v>23</v>
      </c>
      <c r="G795" s="17">
        <f>G792*8</f>
        <v>0</v>
      </c>
      <c r="H795" s="13">
        <f t="shared" si="12"/>
        <v>0</v>
      </c>
    </row>
    <row r="796" spans="2:8" ht="13.5" thickBot="1" x14ac:dyDescent="0.35">
      <c r="B796" s="9"/>
      <c r="C796" s="14" t="s">
        <v>452</v>
      </c>
      <c r="D796" s="14" t="s">
        <v>278</v>
      </c>
      <c r="E796" s="18" t="s">
        <v>0</v>
      </c>
      <c r="F796" s="17" t="s">
        <v>23</v>
      </c>
      <c r="G796" s="17">
        <f>G792*8</f>
        <v>0</v>
      </c>
      <c r="H796" s="13">
        <f t="shared" si="12"/>
        <v>0</v>
      </c>
    </row>
    <row r="797" spans="2:8" ht="13.5" thickBot="1" x14ac:dyDescent="0.35">
      <c r="B797" s="9"/>
      <c r="C797" s="14" t="s">
        <v>610</v>
      </c>
      <c r="D797" s="14" t="s">
        <v>278</v>
      </c>
      <c r="E797" s="18" t="s">
        <v>9</v>
      </c>
      <c r="F797" s="17" t="s">
        <v>23</v>
      </c>
      <c r="G797" s="17">
        <f>G792</f>
        <v>0</v>
      </c>
      <c r="H797" s="13">
        <f t="shared" si="12"/>
        <v>0</v>
      </c>
    </row>
    <row r="798" spans="2:8" ht="13.5" thickBot="1" x14ac:dyDescent="0.35">
      <c r="B798" s="9">
        <f>COUNT($B$4:B797)+1</f>
        <v>411</v>
      </c>
      <c r="C798" s="10" t="s">
        <v>611</v>
      </c>
      <c r="D798" s="10"/>
      <c r="E798" s="11" t="s">
        <v>9</v>
      </c>
      <c r="F798" s="12" t="s">
        <v>23</v>
      </c>
      <c r="G798" s="12"/>
      <c r="H798" s="13">
        <f t="shared" si="12"/>
        <v>0</v>
      </c>
    </row>
    <row r="799" spans="2:8" ht="13.5" thickBot="1" x14ac:dyDescent="0.35">
      <c r="B799" s="9"/>
      <c r="C799" s="14" t="s">
        <v>449</v>
      </c>
      <c r="D799" s="14" t="s">
        <v>278</v>
      </c>
      <c r="E799" s="18" t="s">
        <v>0</v>
      </c>
      <c r="F799" s="17" t="s">
        <v>23</v>
      </c>
      <c r="G799" s="17">
        <f>G798*8</f>
        <v>0</v>
      </c>
      <c r="H799" s="13">
        <f t="shared" si="12"/>
        <v>0</v>
      </c>
    </row>
    <row r="800" spans="2:8" ht="13.5" thickBot="1" x14ac:dyDescent="0.35">
      <c r="B800" s="9"/>
      <c r="C800" s="14" t="s">
        <v>612</v>
      </c>
      <c r="D800" s="14" t="s">
        <v>278</v>
      </c>
      <c r="E800" s="18" t="s">
        <v>9</v>
      </c>
      <c r="F800" s="17" t="s">
        <v>23</v>
      </c>
      <c r="G800" s="17">
        <f>G798</f>
        <v>0</v>
      </c>
      <c r="H800" s="13">
        <f t="shared" si="12"/>
        <v>0</v>
      </c>
    </row>
    <row r="801" spans="2:8" ht="13.5" thickBot="1" x14ac:dyDescent="0.35">
      <c r="B801" s="9"/>
      <c r="C801" s="14" t="s">
        <v>451</v>
      </c>
      <c r="D801" s="14" t="s">
        <v>278</v>
      </c>
      <c r="E801" s="18" t="s">
        <v>0</v>
      </c>
      <c r="F801" s="17" t="s">
        <v>23</v>
      </c>
      <c r="G801" s="17">
        <f>G798*8</f>
        <v>0</v>
      </c>
      <c r="H801" s="13">
        <f t="shared" si="12"/>
        <v>0</v>
      </c>
    </row>
    <row r="802" spans="2:8" ht="13.5" thickBot="1" x14ac:dyDescent="0.35">
      <c r="B802" s="9"/>
      <c r="C802" s="14" t="s">
        <v>452</v>
      </c>
      <c r="D802" s="14" t="s">
        <v>278</v>
      </c>
      <c r="E802" s="18" t="s">
        <v>0</v>
      </c>
      <c r="F802" s="17" t="s">
        <v>23</v>
      </c>
      <c r="G802" s="17">
        <f>G798*8</f>
        <v>0</v>
      </c>
      <c r="H802" s="13">
        <f t="shared" si="12"/>
        <v>0</v>
      </c>
    </row>
    <row r="803" spans="2:8" ht="13.5" thickBot="1" x14ac:dyDescent="0.35">
      <c r="B803" s="9"/>
      <c r="C803" s="14" t="s">
        <v>613</v>
      </c>
      <c r="D803" s="14" t="s">
        <v>278</v>
      </c>
      <c r="E803" s="18" t="s">
        <v>9</v>
      </c>
      <c r="F803" s="17" t="s">
        <v>23</v>
      </c>
      <c r="G803" s="17">
        <f>G798</f>
        <v>0</v>
      </c>
      <c r="H803" s="13">
        <f t="shared" si="12"/>
        <v>0</v>
      </c>
    </row>
    <row r="804" spans="2:8" ht="13.5" thickBot="1" x14ac:dyDescent="0.35">
      <c r="B804" s="9">
        <f>COUNT($B$4:B803)+1</f>
        <v>412</v>
      </c>
      <c r="C804" s="10" t="s">
        <v>614</v>
      </c>
      <c r="D804" s="10"/>
      <c r="E804" s="11" t="s">
        <v>9</v>
      </c>
      <c r="F804" s="12" t="s">
        <v>23</v>
      </c>
      <c r="G804" s="12"/>
      <c r="H804" s="13">
        <f t="shared" si="12"/>
        <v>0</v>
      </c>
    </row>
    <row r="805" spans="2:8" ht="13.5" thickBot="1" x14ac:dyDescent="0.35">
      <c r="B805" s="9"/>
      <c r="C805" s="14" t="s">
        <v>449</v>
      </c>
      <c r="D805" s="14" t="s">
        <v>278</v>
      </c>
      <c r="E805" s="18" t="s">
        <v>0</v>
      </c>
      <c r="F805" s="17" t="s">
        <v>23</v>
      </c>
      <c r="G805" s="17">
        <f>G804*8</f>
        <v>0</v>
      </c>
      <c r="H805" s="13">
        <f t="shared" si="12"/>
        <v>0</v>
      </c>
    </row>
    <row r="806" spans="2:8" ht="13.5" thickBot="1" x14ac:dyDescent="0.35">
      <c r="B806" s="9"/>
      <c r="C806" s="14" t="s">
        <v>615</v>
      </c>
      <c r="D806" s="14" t="s">
        <v>278</v>
      </c>
      <c r="E806" s="18" t="s">
        <v>9</v>
      </c>
      <c r="F806" s="17" t="s">
        <v>23</v>
      </c>
      <c r="G806" s="17">
        <f>G804</f>
        <v>0</v>
      </c>
      <c r="H806" s="13">
        <f t="shared" si="12"/>
        <v>0</v>
      </c>
    </row>
    <row r="807" spans="2:8" ht="13.5" thickBot="1" x14ac:dyDescent="0.35">
      <c r="B807" s="9"/>
      <c r="C807" s="14" t="s">
        <v>451</v>
      </c>
      <c r="D807" s="14" t="s">
        <v>278</v>
      </c>
      <c r="E807" s="18" t="s">
        <v>0</v>
      </c>
      <c r="F807" s="17" t="s">
        <v>23</v>
      </c>
      <c r="G807" s="17">
        <f>G804*8</f>
        <v>0</v>
      </c>
      <c r="H807" s="13">
        <f t="shared" si="12"/>
        <v>0</v>
      </c>
    </row>
    <row r="808" spans="2:8" ht="13.5" thickBot="1" x14ac:dyDescent="0.35">
      <c r="B808" s="9"/>
      <c r="C808" s="14" t="s">
        <v>452</v>
      </c>
      <c r="D808" s="14" t="s">
        <v>278</v>
      </c>
      <c r="E808" s="18" t="s">
        <v>0</v>
      </c>
      <c r="F808" s="17" t="s">
        <v>23</v>
      </c>
      <c r="G808" s="17">
        <f>G804*8</f>
        <v>0</v>
      </c>
      <c r="H808" s="13">
        <f t="shared" si="12"/>
        <v>0</v>
      </c>
    </row>
    <row r="809" spans="2:8" ht="13.5" thickBot="1" x14ac:dyDescent="0.35">
      <c r="B809" s="9"/>
      <c r="C809" s="14" t="s">
        <v>616</v>
      </c>
      <c r="D809" s="14" t="s">
        <v>278</v>
      </c>
      <c r="E809" s="18" t="s">
        <v>9</v>
      </c>
      <c r="F809" s="17" t="s">
        <v>23</v>
      </c>
      <c r="G809" s="17">
        <f>G804</f>
        <v>0</v>
      </c>
      <c r="H809" s="13">
        <f t="shared" si="12"/>
        <v>0</v>
      </c>
    </row>
    <row r="810" spans="2:8" ht="13.5" thickBot="1" x14ac:dyDescent="0.35">
      <c r="B810" s="9">
        <f>COUNT($B$4:B809)+1</f>
        <v>413</v>
      </c>
      <c r="C810" s="10" t="s">
        <v>617</v>
      </c>
      <c r="D810" s="10"/>
      <c r="E810" s="11" t="s">
        <v>9</v>
      </c>
      <c r="F810" s="12" t="s">
        <v>23</v>
      </c>
      <c r="G810" s="12"/>
      <c r="H810" s="13">
        <f t="shared" si="12"/>
        <v>0</v>
      </c>
    </row>
    <row r="811" spans="2:8" ht="13.5" thickBot="1" x14ac:dyDescent="0.35">
      <c r="B811" s="9"/>
      <c r="C811" s="14" t="s">
        <v>449</v>
      </c>
      <c r="D811" s="14" t="s">
        <v>278</v>
      </c>
      <c r="E811" s="18" t="s">
        <v>0</v>
      </c>
      <c r="F811" s="17" t="s">
        <v>23</v>
      </c>
      <c r="G811" s="17">
        <f>G810*8</f>
        <v>0</v>
      </c>
      <c r="H811" s="13">
        <f t="shared" si="12"/>
        <v>0</v>
      </c>
    </row>
    <row r="812" spans="2:8" ht="13.5" thickBot="1" x14ac:dyDescent="0.35">
      <c r="B812" s="9"/>
      <c r="C812" s="14" t="s">
        <v>618</v>
      </c>
      <c r="D812" s="14" t="s">
        <v>278</v>
      </c>
      <c r="E812" s="18" t="s">
        <v>9</v>
      </c>
      <c r="F812" s="17" t="s">
        <v>23</v>
      </c>
      <c r="G812" s="17">
        <f>G810</f>
        <v>0</v>
      </c>
      <c r="H812" s="13">
        <f t="shared" si="12"/>
        <v>0</v>
      </c>
    </row>
    <row r="813" spans="2:8" ht="13.5" thickBot="1" x14ac:dyDescent="0.35">
      <c r="B813" s="9"/>
      <c r="C813" s="14" t="s">
        <v>451</v>
      </c>
      <c r="D813" s="14" t="s">
        <v>278</v>
      </c>
      <c r="E813" s="18" t="s">
        <v>0</v>
      </c>
      <c r="F813" s="17" t="s">
        <v>23</v>
      </c>
      <c r="G813" s="17">
        <f>G810*8</f>
        <v>0</v>
      </c>
      <c r="H813" s="13">
        <f t="shared" si="12"/>
        <v>0</v>
      </c>
    </row>
    <row r="814" spans="2:8" ht="13.5" thickBot="1" x14ac:dyDescent="0.35">
      <c r="B814" s="9"/>
      <c r="C814" s="14" t="s">
        <v>452</v>
      </c>
      <c r="D814" s="14" t="s">
        <v>278</v>
      </c>
      <c r="E814" s="18" t="s">
        <v>0</v>
      </c>
      <c r="F814" s="17" t="s">
        <v>23</v>
      </c>
      <c r="G814" s="17">
        <f>G810*8</f>
        <v>0</v>
      </c>
      <c r="H814" s="13">
        <f t="shared" si="12"/>
        <v>0</v>
      </c>
    </row>
    <row r="815" spans="2:8" ht="13.5" thickBot="1" x14ac:dyDescent="0.35">
      <c r="B815" s="9"/>
      <c r="C815" s="14" t="s">
        <v>619</v>
      </c>
      <c r="D815" s="14" t="s">
        <v>278</v>
      </c>
      <c r="E815" s="18" t="s">
        <v>9</v>
      </c>
      <c r="F815" s="17" t="s">
        <v>23</v>
      </c>
      <c r="G815" s="17">
        <f>G810</f>
        <v>0</v>
      </c>
      <c r="H815" s="13">
        <f t="shared" si="12"/>
        <v>0</v>
      </c>
    </row>
    <row r="816" spans="2:8" ht="13.5" thickBot="1" x14ac:dyDescent="0.35">
      <c r="B816" s="9">
        <f>COUNT($B$4:B815)+1</f>
        <v>414</v>
      </c>
      <c r="C816" s="10" t="s">
        <v>620</v>
      </c>
      <c r="D816" s="10"/>
      <c r="E816" s="11" t="s">
        <v>9</v>
      </c>
      <c r="F816" s="12" t="s">
        <v>23</v>
      </c>
      <c r="G816" s="12"/>
      <c r="H816" s="13">
        <f t="shared" si="12"/>
        <v>0</v>
      </c>
    </row>
    <row r="817" spans="2:8" ht="13.5" thickBot="1" x14ac:dyDescent="0.35">
      <c r="B817" s="9"/>
      <c r="C817" s="14" t="s">
        <v>449</v>
      </c>
      <c r="D817" s="14" t="s">
        <v>278</v>
      </c>
      <c r="E817" s="18" t="s">
        <v>0</v>
      </c>
      <c r="F817" s="17" t="s">
        <v>23</v>
      </c>
      <c r="G817" s="17">
        <f>G816*8</f>
        <v>0</v>
      </c>
      <c r="H817" s="13">
        <f t="shared" si="12"/>
        <v>0</v>
      </c>
    </row>
    <row r="818" spans="2:8" ht="13.5" thickBot="1" x14ac:dyDescent="0.35">
      <c r="B818" s="9"/>
      <c r="C818" s="14" t="s">
        <v>621</v>
      </c>
      <c r="D818" s="14" t="s">
        <v>278</v>
      </c>
      <c r="E818" s="18" t="s">
        <v>9</v>
      </c>
      <c r="F818" s="17" t="s">
        <v>23</v>
      </c>
      <c r="G818" s="17">
        <f>G816</f>
        <v>0</v>
      </c>
      <c r="H818" s="13">
        <f t="shared" si="12"/>
        <v>0</v>
      </c>
    </row>
    <row r="819" spans="2:8" ht="13.5" thickBot="1" x14ac:dyDescent="0.35">
      <c r="B819" s="9"/>
      <c r="C819" s="14" t="s">
        <v>451</v>
      </c>
      <c r="D819" s="14" t="s">
        <v>278</v>
      </c>
      <c r="E819" s="18" t="s">
        <v>0</v>
      </c>
      <c r="F819" s="17" t="s">
        <v>23</v>
      </c>
      <c r="G819" s="17">
        <f>G816*8</f>
        <v>0</v>
      </c>
      <c r="H819" s="13">
        <f t="shared" si="12"/>
        <v>0</v>
      </c>
    </row>
    <row r="820" spans="2:8" ht="13.5" thickBot="1" x14ac:dyDescent="0.35">
      <c r="B820" s="9"/>
      <c r="C820" s="14" t="s">
        <v>452</v>
      </c>
      <c r="D820" s="14" t="s">
        <v>278</v>
      </c>
      <c r="E820" s="18" t="s">
        <v>0</v>
      </c>
      <c r="F820" s="17" t="s">
        <v>23</v>
      </c>
      <c r="G820" s="17">
        <f>G816*8</f>
        <v>0</v>
      </c>
      <c r="H820" s="13">
        <f t="shared" si="12"/>
        <v>0</v>
      </c>
    </row>
    <row r="821" spans="2:8" ht="13.5" thickBot="1" x14ac:dyDescent="0.35">
      <c r="B821" s="9"/>
      <c r="C821" s="14" t="s">
        <v>622</v>
      </c>
      <c r="D821" s="14" t="s">
        <v>278</v>
      </c>
      <c r="E821" s="18" t="s">
        <v>9</v>
      </c>
      <c r="F821" s="17" t="s">
        <v>23</v>
      </c>
      <c r="G821" s="17">
        <f>G816</f>
        <v>0</v>
      </c>
      <c r="H821" s="13">
        <f t="shared" si="12"/>
        <v>0</v>
      </c>
    </row>
    <row r="822" spans="2:8" ht="13.5" thickBot="1" x14ac:dyDescent="0.35">
      <c r="B822" s="9">
        <f>COUNT($B$4:B821)+1</f>
        <v>415</v>
      </c>
      <c r="C822" s="10" t="s">
        <v>623</v>
      </c>
      <c r="D822" s="10"/>
      <c r="E822" s="11" t="s">
        <v>9</v>
      </c>
      <c r="F822" s="12" t="s">
        <v>23</v>
      </c>
      <c r="G822" s="12"/>
      <c r="H822" s="13">
        <f t="shared" si="12"/>
        <v>0</v>
      </c>
    </row>
    <row r="823" spans="2:8" ht="13.5" thickBot="1" x14ac:dyDescent="0.35">
      <c r="B823" s="9"/>
      <c r="C823" s="14" t="s">
        <v>449</v>
      </c>
      <c r="D823" s="14" t="s">
        <v>278</v>
      </c>
      <c r="E823" s="18" t="s">
        <v>0</v>
      </c>
      <c r="F823" s="17" t="s">
        <v>23</v>
      </c>
      <c r="G823" s="17">
        <f>G822*8</f>
        <v>0</v>
      </c>
      <c r="H823" s="13">
        <f t="shared" si="12"/>
        <v>0</v>
      </c>
    </row>
    <row r="824" spans="2:8" ht="13.5" thickBot="1" x14ac:dyDescent="0.35">
      <c r="B824" s="9"/>
      <c r="C824" s="14" t="s">
        <v>624</v>
      </c>
      <c r="D824" s="14" t="s">
        <v>278</v>
      </c>
      <c r="E824" s="18" t="s">
        <v>9</v>
      </c>
      <c r="F824" s="17" t="s">
        <v>23</v>
      </c>
      <c r="G824" s="17">
        <f>G822</f>
        <v>0</v>
      </c>
      <c r="H824" s="13">
        <f t="shared" si="12"/>
        <v>0</v>
      </c>
    </row>
    <row r="825" spans="2:8" ht="13.5" thickBot="1" x14ac:dyDescent="0.35">
      <c r="B825" s="9"/>
      <c r="C825" s="14" t="s">
        <v>451</v>
      </c>
      <c r="D825" s="14" t="s">
        <v>278</v>
      </c>
      <c r="E825" s="18" t="s">
        <v>0</v>
      </c>
      <c r="F825" s="17" t="s">
        <v>23</v>
      </c>
      <c r="G825" s="17">
        <f>G822*8</f>
        <v>0</v>
      </c>
      <c r="H825" s="13">
        <f t="shared" si="12"/>
        <v>0</v>
      </c>
    </row>
    <row r="826" spans="2:8" ht="13.5" thickBot="1" x14ac:dyDescent="0.35">
      <c r="B826" s="9"/>
      <c r="C826" s="14" t="s">
        <v>452</v>
      </c>
      <c r="D826" s="14" t="s">
        <v>278</v>
      </c>
      <c r="E826" s="18" t="s">
        <v>0</v>
      </c>
      <c r="F826" s="17" t="s">
        <v>23</v>
      </c>
      <c r="G826" s="17">
        <f>G822*8</f>
        <v>0</v>
      </c>
      <c r="H826" s="13">
        <f t="shared" si="12"/>
        <v>0</v>
      </c>
    </row>
    <row r="827" spans="2:8" ht="13.5" thickBot="1" x14ac:dyDescent="0.35">
      <c r="B827" s="9"/>
      <c r="C827" s="14" t="s">
        <v>625</v>
      </c>
      <c r="D827" s="14" t="s">
        <v>278</v>
      </c>
      <c r="E827" s="18" t="s">
        <v>9</v>
      </c>
      <c r="F827" s="17" t="s">
        <v>23</v>
      </c>
      <c r="G827" s="17">
        <f>G822</f>
        <v>0</v>
      </c>
      <c r="H827" s="13">
        <f t="shared" si="12"/>
        <v>0</v>
      </c>
    </row>
    <row r="828" spans="2:8" ht="13.5" thickBot="1" x14ac:dyDescent="0.35">
      <c r="B828" s="9">
        <f>COUNT($B$4:B827)+1</f>
        <v>416</v>
      </c>
      <c r="C828" s="10" t="s">
        <v>626</v>
      </c>
      <c r="D828" s="10"/>
      <c r="E828" s="11" t="s">
        <v>9</v>
      </c>
      <c r="F828" s="12" t="s">
        <v>23</v>
      </c>
      <c r="G828" s="12"/>
      <c r="H828" s="13">
        <f t="shared" si="12"/>
        <v>0</v>
      </c>
    </row>
    <row r="829" spans="2:8" ht="13.5" thickBot="1" x14ac:dyDescent="0.35">
      <c r="B829" s="9"/>
      <c r="C829" s="14" t="s">
        <v>449</v>
      </c>
      <c r="D829" s="14" t="s">
        <v>278</v>
      </c>
      <c r="E829" s="18" t="s">
        <v>0</v>
      </c>
      <c r="F829" s="17" t="s">
        <v>23</v>
      </c>
      <c r="G829" s="17">
        <f>G828*8</f>
        <v>0</v>
      </c>
      <c r="H829" s="13">
        <f t="shared" si="12"/>
        <v>0</v>
      </c>
    </row>
    <row r="830" spans="2:8" ht="13.5" thickBot="1" x14ac:dyDescent="0.35">
      <c r="B830" s="9"/>
      <c r="C830" s="14" t="s">
        <v>627</v>
      </c>
      <c r="D830" s="14" t="s">
        <v>278</v>
      </c>
      <c r="E830" s="18" t="s">
        <v>9</v>
      </c>
      <c r="F830" s="17" t="s">
        <v>23</v>
      </c>
      <c r="G830" s="17">
        <f>G828</f>
        <v>0</v>
      </c>
      <c r="H830" s="13">
        <f t="shared" si="12"/>
        <v>0</v>
      </c>
    </row>
    <row r="831" spans="2:8" ht="13.5" thickBot="1" x14ac:dyDescent="0.35">
      <c r="B831" s="9"/>
      <c r="C831" s="14" t="s">
        <v>451</v>
      </c>
      <c r="D831" s="14" t="s">
        <v>278</v>
      </c>
      <c r="E831" s="18" t="s">
        <v>0</v>
      </c>
      <c r="F831" s="17" t="s">
        <v>23</v>
      </c>
      <c r="G831" s="17">
        <f>G828*8</f>
        <v>0</v>
      </c>
      <c r="H831" s="13">
        <f t="shared" si="12"/>
        <v>0</v>
      </c>
    </row>
    <row r="832" spans="2:8" ht="13.5" thickBot="1" x14ac:dyDescent="0.35">
      <c r="B832" s="9"/>
      <c r="C832" s="14" t="s">
        <v>452</v>
      </c>
      <c r="D832" s="14" t="s">
        <v>278</v>
      </c>
      <c r="E832" s="18" t="s">
        <v>0</v>
      </c>
      <c r="F832" s="17" t="s">
        <v>23</v>
      </c>
      <c r="G832" s="17">
        <f>G828*8</f>
        <v>0</v>
      </c>
      <c r="H832" s="13">
        <f t="shared" si="12"/>
        <v>0</v>
      </c>
    </row>
    <row r="833" spans="2:8" ht="13.5" thickBot="1" x14ac:dyDescent="0.35">
      <c r="B833" s="9"/>
      <c r="C833" s="14" t="s">
        <v>628</v>
      </c>
      <c r="D833" s="14" t="s">
        <v>278</v>
      </c>
      <c r="E833" s="18" t="s">
        <v>9</v>
      </c>
      <c r="F833" s="17" t="s">
        <v>23</v>
      </c>
      <c r="G833" s="17">
        <f>G828</f>
        <v>0</v>
      </c>
      <c r="H833" s="13">
        <f t="shared" si="12"/>
        <v>0</v>
      </c>
    </row>
    <row r="834" spans="2:8" ht="13.5" thickBot="1" x14ac:dyDescent="0.35">
      <c r="B834" s="9">
        <f>COUNT($B$4:B833)+1</f>
        <v>417</v>
      </c>
      <c r="C834" s="10" t="s">
        <v>629</v>
      </c>
      <c r="D834" s="10"/>
      <c r="E834" s="11" t="s">
        <v>9</v>
      </c>
      <c r="F834" s="12" t="s">
        <v>23</v>
      </c>
      <c r="G834" s="12"/>
      <c r="H834" s="13">
        <f t="shared" si="12"/>
        <v>0</v>
      </c>
    </row>
    <row r="835" spans="2:8" ht="13.5" thickBot="1" x14ac:dyDescent="0.35">
      <c r="B835" s="9"/>
      <c r="C835" s="14" t="s">
        <v>449</v>
      </c>
      <c r="D835" s="14" t="s">
        <v>278</v>
      </c>
      <c r="E835" s="18" t="s">
        <v>0</v>
      </c>
      <c r="F835" s="17" t="s">
        <v>23</v>
      </c>
      <c r="G835" s="17">
        <f>G834*8</f>
        <v>0</v>
      </c>
      <c r="H835" s="13">
        <f t="shared" si="12"/>
        <v>0</v>
      </c>
    </row>
    <row r="836" spans="2:8" ht="13.5" thickBot="1" x14ac:dyDescent="0.35">
      <c r="B836" s="9"/>
      <c r="C836" s="14" t="s">
        <v>630</v>
      </c>
      <c r="D836" s="14" t="s">
        <v>278</v>
      </c>
      <c r="E836" s="18" t="s">
        <v>9</v>
      </c>
      <c r="F836" s="17" t="s">
        <v>23</v>
      </c>
      <c r="G836" s="17">
        <f>G834</f>
        <v>0</v>
      </c>
      <c r="H836" s="13">
        <f t="shared" si="12"/>
        <v>0</v>
      </c>
    </row>
    <row r="837" spans="2:8" ht="13.5" thickBot="1" x14ac:dyDescent="0.35">
      <c r="B837" s="9"/>
      <c r="C837" s="14" t="s">
        <v>451</v>
      </c>
      <c r="D837" s="14" t="s">
        <v>278</v>
      </c>
      <c r="E837" s="18" t="s">
        <v>0</v>
      </c>
      <c r="F837" s="17" t="s">
        <v>23</v>
      </c>
      <c r="G837" s="17">
        <f>G834*8</f>
        <v>0</v>
      </c>
      <c r="H837" s="13">
        <f t="shared" ref="H837:H900" si="13">SUM(G837:G837)</f>
        <v>0</v>
      </c>
    </row>
    <row r="838" spans="2:8" ht="13.5" thickBot="1" x14ac:dyDescent="0.35">
      <c r="B838" s="9"/>
      <c r="C838" s="14" t="s">
        <v>452</v>
      </c>
      <c r="D838" s="14" t="s">
        <v>278</v>
      </c>
      <c r="E838" s="18" t="s">
        <v>0</v>
      </c>
      <c r="F838" s="17" t="s">
        <v>23</v>
      </c>
      <c r="G838" s="17">
        <f>G834*8</f>
        <v>0</v>
      </c>
      <c r="H838" s="13">
        <f t="shared" si="13"/>
        <v>0</v>
      </c>
    </row>
    <row r="839" spans="2:8" ht="13.5" thickBot="1" x14ac:dyDescent="0.35">
      <c r="B839" s="9"/>
      <c r="C839" s="14" t="s">
        <v>631</v>
      </c>
      <c r="D839" s="14" t="s">
        <v>278</v>
      </c>
      <c r="E839" s="18" t="s">
        <v>9</v>
      </c>
      <c r="F839" s="17" t="s">
        <v>23</v>
      </c>
      <c r="G839" s="17">
        <f>G834</f>
        <v>0</v>
      </c>
      <c r="H839" s="13">
        <f t="shared" si="13"/>
        <v>0</v>
      </c>
    </row>
    <row r="840" spans="2:8" ht="13.5" thickBot="1" x14ac:dyDescent="0.35">
      <c r="B840" s="9">
        <f>COUNT($B$4:B839)+1</f>
        <v>418</v>
      </c>
      <c r="C840" s="10" t="s">
        <v>632</v>
      </c>
      <c r="D840" s="10"/>
      <c r="E840" s="11" t="s">
        <v>9</v>
      </c>
      <c r="F840" s="12" t="s">
        <v>23</v>
      </c>
      <c r="G840" s="12"/>
      <c r="H840" s="13">
        <f t="shared" si="13"/>
        <v>0</v>
      </c>
    </row>
    <row r="841" spans="2:8" ht="13.5" thickBot="1" x14ac:dyDescent="0.35">
      <c r="B841" s="9"/>
      <c r="C841" s="14" t="s">
        <v>449</v>
      </c>
      <c r="D841" s="14" t="s">
        <v>278</v>
      </c>
      <c r="E841" s="18" t="s">
        <v>0</v>
      </c>
      <c r="F841" s="17" t="s">
        <v>23</v>
      </c>
      <c r="G841" s="17">
        <f>G840*8</f>
        <v>0</v>
      </c>
      <c r="H841" s="13">
        <f t="shared" si="13"/>
        <v>0</v>
      </c>
    </row>
    <row r="842" spans="2:8" ht="13.5" thickBot="1" x14ac:dyDescent="0.35">
      <c r="B842" s="9"/>
      <c r="C842" s="14" t="s">
        <v>633</v>
      </c>
      <c r="D842" s="14" t="s">
        <v>278</v>
      </c>
      <c r="E842" s="18" t="s">
        <v>9</v>
      </c>
      <c r="F842" s="17" t="s">
        <v>23</v>
      </c>
      <c r="G842" s="17">
        <f>G840</f>
        <v>0</v>
      </c>
      <c r="H842" s="13">
        <f t="shared" si="13"/>
        <v>0</v>
      </c>
    </row>
    <row r="843" spans="2:8" ht="13.5" thickBot="1" x14ac:dyDescent="0.35">
      <c r="B843" s="9"/>
      <c r="C843" s="14" t="s">
        <v>451</v>
      </c>
      <c r="D843" s="14" t="s">
        <v>278</v>
      </c>
      <c r="E843" s="18" t="s">
        <v>0</v>
      </c>
      <c r="F843" s="17" t="s">
        <v>23</v>
      </c>
      <c r="G843" s="17">
        <f>G840*8</f>
        <v>0</v>
      </c>
      <c r="H843" s="13">
        <f t="shared" si="13"/>
        <v>0</v>
      </c>
    </row>
    <row r="844" spans="2:8" ht="13.5" thickBot="1" x14ac:dyDescent="0.35">
      <c r="B844" s="9"/>
      <c r="C844" s="14" t="s">
        <v>452</v>
      </c>
      <c r="D844" s="14" t="s">
        <v>278</v>
      </c>
      <c r="E844" s="18" t="s">
        <v>0</v>
      </c>
      <c r="F844" s="17" t="s">
        <v>23</v>
      </c>
      <c r="G844" s="17">
        <f>G840*8</f>
        <v>0</v>
      </c>
      <c r="H844" s="13">
        <f t="shared" si="13"/>
        <v>0</v>
      </c>
    </row>
    <row r="845" spans="2:8" ht="13.5" thickBot="1" x14ac:dyDescent="0.35">
      <c r="B845" s="9"/>
      <c r="C845" s="14" t="s">
        <v>634</v>
      </c>
      <c r="D845" s="14" t="s">
        <v>278</v>
      </c>
      <c r="E845" s="18" t="s">
        <v>9</v>
      </c>
      <c r="F845" s="17" t="s">
        <v>23</v>
      </c>
      <c r="G845" s="17">
        <f>G840</f>
        <v>0</v>
      </c>
      <c r="H845" s="13">
        <f t="shared" si="13"/>
        <v>0</v>
      </c>
    </row>
    <row r="846" spans="2:8" ht="13.5" thickBot="1" x14ac:dyDescent="0.35">
      <c r="B846" s="9">
        <f>COUNT($B$4:B845)+1</f>
        <v>419</v>
      </c>
      <c r="C846" s="10" t="s">
        <v>635</v>
      </c>
      <c r="D846" s="10"/>
      <c r="E846" s="11" t="s">
        <v>9</v>
      </c>
      <c r="F846" s="12" t="s">
        <v>23</v>
      </c>
      <c r="G846" s="12"/>
      <c r="H846" s="13">
        <f t="shared" si="13"/>
        <v>0</v>
      </c>
    </row>
    <row r="847" spans="2:8" ht="13.5" thickBot="1" x14ac:dyDescent="0.35">
      <c r="B847" s="9"/>
      <c r="C847" s="14" t="s">
        <v>449</v>
      </c>
      <c r="D847" s="14" t="s">
        <v>278</v>
      </c>
      <c r="E847" s="18" t="s">
        <v>0</v>
      </c>
      <c r="F847" s="17" t="s">
        <v>23</v>
      </c>
      <c r="G847" s="17">
        <f>G846*8</f>
        <v>0</v>
      </c>
      <c r="H847" s="13">
        <f t="shared" si="13"/>
        <v>0</v>
      </c>
    </row>
    <row r="848" spans="2:8" ht="13.5" thickBot="1" x14ac:dyDescent="0.35">
      <c r="B848" s="9"/>
      <c r="C848" s="14" t="s">
        <v>636</v>
      </c>
      <c r="D848" s="14" t="s">
        <v>278</v>
      </c>
      <c r="E848" s="18" t="s">
        <v>9</v>
      </c>
      <c r="F848" s="17" t="s">
        <v>23</v>
      </c>
      <c r="G848" s="17">
        <f>G846</f>
        <v>0</v>
      </c>
      <c r="H848" s="13">
        <f t="shared" si="13"/>
        <v>0</v>
      </c>
    </row>
    <row r="849" spans="2:8" ht="13.5" thickBot="1" x14ac:dyDescent="0.35">
      <c r="B849" s="9"/>
      <c r="C849" s="14" t="s">
        <v>451</v>
      </c>
      <c r="D849" s="14" t="s">
        <v>278</v>
      </c>
      <c r="E849" s="18" t="s">
        <v>0</v>
      </c>
      <c r="F849" s="17" t="s">
        <v>23</v>
      </c>
      <c r="G849" s="17">
        <f>G846*8</f>
        <v>0</v>
      </c>
      <c r="H849" s="13">
        <f t="shared" si="13"/>
        <v>0</v>
      </c>
    </row>
    <row r="850" spans="2:8" ht="13.5" thickBot="1" x14ac:dyDescent="0.35">
      <c r="B850" s="9"/>
      <c r="C850" s="14" t="s">
        <v>452</v>
      </c>
      <c r="D850" s="14" t="s">
        <v>278</v>
      </c>
      <c r="E850" s="18" t="s">
        <v>0</v>
      </c>
      <c r="F850" s="17" t="s">
        <v>23</v>
      </c>
      <c r="G850" s="17">
        <f>G846*8</f>
        <v>0</v>
      </c>
      <c r="H850" s="13">
        <f t="shared" si="13"/>
        <v>0</v>
      </c>
    </row>
    <row r="851" spans="2:8" ht="13.5" thickBot="1" x14ac:dyDescent="0.35">
      <c r="B851" s="9"/>
      <c r="C851" s="14" t="s">
        <v>637</v>
      </c>
      <c r="D851" s="14" t="s">
        <v>278</v>
      </c>
      <c r="E851" s="18" t="s">
        <v>9</v>
      </c>
      <c r="F851" s="17" t="s">
        <v>23</v>
      </c>
      <c r="G851" s="17">
        <f>G846</f>
        <v>0</v>
      </c>
      <c r="H851" s="13">
        <f t="shared" si="13"/>
        <v>0</v>
      </c>
    </row>
    <row r="852" spans="2:8" ht="13.5" thickBot="1" x14ac:dyDescent="0.35">
      <c r="B852" s="9">
        <f>COUNT($B$4:B851)+1</f>
        <v>420</v>
      </c>
      <c r="C852" s="10" t="s">
        <v>638</v>
      </c>
      <c r="D852" s="10"/>
      <c r="E852" s="11" t="s">
        <v>9</v>
      </c>
      <c r="F852" s="12" t="s">
        <v>23</v>
      </c>
      <c r="G852" s="12"/>
      <c r="H852" s="13">
        <f t="shared" si="13"/>
        <v>0</v>
      </c>
    </row>
    <row r="853" spans="2:8" ht="13.5" thickBot="1" x14ac:dyDescent="0.35">
      <c r="B853" s="9"/>
      <c r="C853" s="14" t="s">
        <v>449</v>
      </c>
      <c r="D853" s="14" t="s">
        <v>278</v>
      </c>
      <c r="E853" s="18" t="s">
        <v>0</v>
      </c>
      <c r="F853" s="17" t="s">
        <v>23</v>
      </c>
      <c r="G853" s="17">
        <f>G852*8</f>
        <v>0</v>
      </c>
      <c r="H853" s="13">
        <f t="shared" si="13"/>
        <v>0</v>
      </c>
    </row>
    <row r="854" spans="2:8" ht="13.5" thickBot="1" x14ac:dyDescent="0.35">
      <c r="B854" s="9"/>
      <c r="C854" s="14" t="s">
        <v>639</v>
      </c>
      <c r="D854" s="14" t="s">
        <v>278</v>
      </c>
      <c r="E854" s="18" t="s">
        <v>9</v>
      </c>
      <c r="F854" s="17" t="s">
        <v>23</v>
      </c>
      <c r="G854" s="17">
        <f>G852</f>
        <v>0</v>
      </c>
      <c r="H854" s="13">
        <f t="shared" si="13"/>
        <v>0</v>
      </c>
    </row>
    <row r="855" spans="2:8" ht="13.5" thickBot="1" x14ac:dyDescent="0.35">
      <c r="B855" s="9"/>
      <c r="C855" s="14" t="s">
        <v>451</v>
      </c>
      <c r="D855" s="14" t="s">
        <v>278</v>
      </c>
      <c r="E855" s="18" t="s">
        <v>0</v>
      </c>
      <c r="F855" s="17" t="s">
        <v>23</v>
      </c>
      <c r="G855" s="17">
        <f>G852*8</f>
        <v>0</v>
      </c>
      <c r="H855" s="13">
        <f t="shared" si="13"/>
        <v>0</v>
      </c>
    </row>
    <row r="856" spans="2:8" ht="13.5" thickBot="1" x14ac:dyDescent="0.35">
      <c r="B856" s="9"/>
      <c r="C856" s="14" t="s">
        <v>452</v>
      </c>
      <c r="D856" s="14" t="s">
        <v>278</v>
      </c>
      <c r="E856" s="18" t="s">
        <v>0</v>
      </c>
      <c r="F856" s="17" t="s">
        <v>23</v>
      </c>
      <c r="G856" s="17">
        <f>G852*8</f>
        <v>0</v>
      </c>
      <c r="H856" s="13">
        <f t="shared" si="13"/>
        <v>0</v>
      </c>
    </row>
    <row r="857" spans="2:8" ht="13.5" thickBot="1" x14ac:dyDescent="0.35">
      <c r="B857" s="9"/>
      <c r="C857" s="14" t="s">
        <v>640</v>
      </c>
      <c r="D857" s="14" t="s">
        <v>278</v>
      </c>
      <c r="E857" s="18" t="s">
        <v>9</v>
      </c>
      <c r="F857" s="17" t="s">
        <v>23</v>
      </c>
      <c r="G857" s="17">
        <f>G852</f>
        <v>0</v>
      </c>
      <c r="H857" s="13">
        <f t="shared" si="13"/>
        <v>0</v>
      </c>
    </row>
    <row r="858" spans="2:8" ht="13.5" thickBot="1" x14ac:dyDescent="0.35">
      <c r="B858" s="9">
        <f>COUNT($B$4:B857)+1</f>
        <v>421</v>
      </c>
      <c r="C858" s="10" t="s">
        <v>641</v>
      </c>
      <c r="D858" s="10"/>
      <c r="E858" s="11" t="s">
        <v>9</v>
      </c>
      <c r="F858" s="12" t="s">
        <v>23</v>
      </c>
      <c r="G858" s="12"/>
      <c r="H858" s="13">
        <f t="shared" si="13"/>
        <v>0</v>
      </c>
    </row>
    <row r="859" spans="2:8" ht="13.5" thickBot="1" x14ac:dyDescent="0.35">
      <c r="B859" s="9"/>
      <c r="C859" s="14" t="s">
        <v>449</v>
      </c>
      <c r="D859" s="14" t="s">
        <v>278</v>
      </c>
      <c r="E859" s="18" t="s">
        <v>0</v>
      </c>
      <c r="F859" s="17" t="s">
        <v>23</v>
      </c>
      <c r="G859" s="17">
        <f>G858*8</f>
        <v>0</v>
      </c>
      <c r="H859" s="13">
        <f t="shared" si="13"/>
        <v>0</v>
      </c>
    </row>
    <row r="860" spans="2:8" ht="13.5" thickBot="1" x14ac:dyDescent="0.35">
      <c r="B860" s="9"/>
      <c r="C860" s="14" t="s">
        <v>642</v>
      </c>
      <c r="D860" s="14" t="s">
        <v>278</v>
      </c>
      <c r="E860" s="18" t="s">
        <v>9</v>
      </c>
      <c r="F860" s="17" t="s">
        <v>23</v>
      </c>
      <c r="G860" s="17">
        <f>G858</f>
        <v>0</v>
      </c>
      <c r="H860" s="13">
        <f t="shared" si="13"/>
        <v>0</v>
      </c>
    </row>
    <row r="861" spans="2:8" ht="13.5" thickBot="1" x14ac:dyDescent="0.35">
      <c r="B861" s="9"/>
      <c r="C861" s="14" t="s">
        <v>451</v>
      </c>
      <c r="D861" s="14" t="s">
        <v>278</v>
      </c>
      <c r="E861" s="18" t="s">
        <v>0</v>
      </c>
      <c r="F861" s="17" t="s">
        <v>23</v>
      </c>
      <c r="G861" s="17">
        <f>G858*8</f>
        <v>0</v>
      </c>
      <c r="H861" s="13">
        <f t="shared" si="13"/>
        <v>0</v>
      </c>
    </row>
    <row r="862" spans="2:8" ht="13.5" thickBot="1" x14ac:dyDescent="0.35">
      <c r="B862" s="9"/>
      <c r="C862" s="14" t="s">
        <v>452</v>
      </c>
      <c r="D862" s="14" t="s">
        <v>278</v>
      </c>
      <c r="E862" s="18" t="s">
        <v>0</v>
      </c>
      <c r="F862" s="17" t="s">
        <v>23</v>
      </c>
      <c r="G862" s="17">
        <f>G858*8</f>
        <v>0</v>
      </c>
      <c r="H862" s="13">
        <f t="shared" si="13"/>
        <v>0</v>
      </c>
    </row>
    <row r="863" spans="2:8" ht="13.5" thickBot="1" x14ac:dyDescent="0.35">
      <c r="B863" s="9"/>
      <c r="C863" s="14" t="s">
        <v>643</v>
      </c>
      <c r="D863" s="14" t="s">
        <v>278</v>
      </c>
      <c r="E863" s="18" t="s">
        <v>9</v>
      </c>
      <c r="F863" s="17" t="s">
        <v>23</v>
      </c>
      <c r="G863" s="17">
        <f>G858</f>
        <v>0</v>
      </c>
      <c r="H863" s="13">
        <f t="shared" si="13"/>
        <v>0</v>
      </c>
    </row>
    <row r="864" spans="2:8" ht="13.5" thickBot="1" x14ac:dyDescent="0.35">
      <c r="B864" s="9">
        <f>COUNT($B$4:B863)+1</f>
        <v>422</v>
      </c>
      <c r="C864" s="10" t="s">
        <v>644</v>
      </c>
      <c r="D864" s="10"/>
      <c r="E864" s="11" t="s">
        <v>9</v>
      </c>
      <c r="F864" s="12" t="s">
        <v>23</v>
      </c>
      <c r="G864" s="12"/>
      <c r="H864" s="13">
        <f t="shared" si="13"/>
        <v>0</v>
      </c>
    </row>
    <row r="865" spans="2:8" ht="13.5" thickBot="1" x14ac:dyDescent="0.35">
      <c r="B865" s="9"/>
      <c r="C865" s="14" t="s">
        <v>449</v>
      </c>
      <c r="D865" s="14" t="s">
        <v>278</v>
      </c>
      <c r="E865" s="18" t="s">
        <v>0</v>
      </c>
      <c r="F865" s="17" t="s">
        <v>23</v>
      </c>
      <c r="G865" s="17">
        <f>G864*8</f>
        <v>0</v>
      </c>
      <c r="H865" s="13">
        <f t="shared" si="13"/>
        <v>0</v>
      </c>
    </row>
    <row r="866" spans="2:8" ht="13.5" thickBot="1" x14ac:dyDescent="0.35">
      <c r="B866" s="9"/>
      <c r="C866" s="14" t="s">
        <v>645</v>
      </c>
      <c r="D866" s="14" t="s">
        <v>278</v>
      </c>
      <c r="E866" s="18" t="s">
        <v>9</v>
      </c>
      <c r="F866" s="17" t="s">
        <v>23</v>
      </c>
      <c r="G866" s="17">
        <f>G864</f>
        <v>0</v>
      </c>
      <c r="H866" s="13">
        <f t="shared" si="13"/>
        <v>0</v>
      </c>
    </row>
    <row r="867" spans="2:8" ht="13.5" thickBot="1" x14ac:dyDescent="0.35">
      <c r="B867" s="9"/>
      <c r="C867" s="14" t="s">
        <v>451</v>
      </c>
      <c r="D867" s="14" t="s">
        <v>278</v>
      </c>
      <c r="E867" s="18" t="s">
        <v>0</v>
      </c>
      <c r="F867" s="17" t="s">
        <v>23</v>
      </c>
      <c r="G867" s="17">
        <f>G864*8</f>
        <v>0</v>
      </c>
      <c r="H867" s="13">
        <f t="shared" si="13"/>
        <v>0</v>
      </c>
    </row>
    <row r="868" spans="2:8" ht="13.5" thickBot="1" x14ac:dyDescent="0.35">
      <c r="B868" s="9"/>
      <c r="C868" s="14" t="s">
        <v>452</v>
      </c>
      <c r="D868" s="14" t="s">
        <v>278</v>
      </c>
      <c r="E868" s="18" t="s">
        <v>0</v>
      </c>
      <c r="F868" s="17" t="s">
        <v>23</v>
      </c>
      <c r="G868" s="17">
        <f>G864*8</f>
        <v>0</v>
      </c>
      <c r="H868" s="13">
        <f t="shared" si="13"/>
        <v>0</v>
      </c>
    </row>
    <row r="869" spans="2:8" ht="13.5" thickBot="1" x14ac:dyDescent="0.35">
      <c r="B869" s="9"/>
      <c r="C869" s="14" t="s">
        <v>646</v>
      </c>
      <c r="D869" s="14" t="s">
        <v>278</v>
      </c>
      <c r="E869" s="18" t="s">
        <v>9</v>
      </c>
      <c r="F869" s="17" t="s">
        <v>23</v>
      </c>
      <c r="G869" s="17">
        <f>G864</f>
        <v>0</v>
      </c>
      <c r="H869" s="13">
        <f t="shared" si="13"/>
        <v>0</v>
      </c>
    </row>
    <row r="870" spans="2:8" ht="13.5" thickBot="1" x14ac:dyDescent="0.35">
      <c r="B870" s="9">
        <f>COUNT($B$4:B869)+1</f>
        <v>423</v>
      </c>
      <c r="C870" s="10" t="s">
        <v>647</v>
      </c>
      <c r="D870" s="10"/>
      <c r="E870" s="11" t="s">
        <v>9</v>
      </c>
      <c r="F870" s="12" t="s">
        <v>23</v>
      </c>
      <c r="G870" s="12"/>
      <c r="H870" s="13">
        <f t="shared" si="13"/>
        <v>0</v>
      </c>
    </row>
    <row r="871" spans="2:8" ht="13.5" thickBot="1" x14ac:dyDescent="0.35">
      <c r="B871" s="9"/>
      <c r="C871" s="14" t="s">
        <v>449</v>
      </c>
      <c r="D871" s="14" t="s">
        <v>278</v>
      </c>
      <c r="E871" s="18" t="s">
        <v>0</v>
      </c>
      <c r="F871" s="17" t="s">
        <v>23</v>
      </c>
      <c r="G871" s="17">
        <f>G870*8</f>
        <v>0</v>
      </c>
      <c r="H871" s="13">
        <f t="shared" si="13"/>
        <v>0</v>
      </c>
    </row>
    <row r="872" spans="2:8" ht="13.5" thickBot="1" x14ac:dyDescent="0.35">
      <c r="B872" s="9"/>
      <c r="C872" s="14" t="s">
        <v>648</v>
      </c>
      <c r="D872" s="14" t="s">
        <v>278</v>
      </c>
      <c r="E872" s="18" t="s">
        <v>9</v>
      </c>
      <c r="F872" s="17" t="s">
        <v>23</v>
      </c>
      <c r="G872" s="17">
        <f>G870</f>
        <v>0</v>
      </c>
      <c r="H872" s="13">
        <f t="shared" si="13"/>
        <v>0</v>
      </c>
    </row>
    <row r="873" spans="2:8" ht="13.5" thickBot="1" x14ac:dyDescent="0.35">
      <c r="B873" s="9"/>
      <c r="C873" s="14" t="s">
        <v>451</v>
      </c>
      <c r="D873" s="14" t="s">
        <v>278</v>
      </c>
      <c r="E873" s="18" t="s">
        <v>0</v>
      </c>
      <c r="F873" s="17" t="s">
        <v>23</v>
      </c>
      <c r="G873" s="17">
        <f>G870*8</f>
        <v>0</v>
      </c>
      <c r="H873" s="13">
        <f t="shared" si="13"/>
        <v>0</v>
      </c>
    </row>
    <row r="874" spans="2:8" ht="13.5" thickBot="1" x14ac:dyDescent="0.35">
      <c r="B874" s="9"/>
      <c r="C874" s="14" t="s">
        <v>452</v>
      </c>
      <c r="D874" s="14" t="s">
        <v>278</v>
      </c>
      <c r="E874" s="18" t="s">
        <v>0</v>
      </c>
      <c r="F874" s="17" t="s">
        <v>23</v>
      </c>
      <c r="G874" s="17">
        <f>G870*8</f>
        <v>0</v>
      </c>
      <c r="H874" s="13">
        <f t="shared" si="13"/>
        <v>0</v>
      </c>
    </row>
    <row r="875" spans="2:8" ht="13.5" thickBot="1" x14ac:dyDescent="0.35">
      <c r="B875" s="9"/>
      <c r="C875" s="14" t="s">
        <v>649</v>
      </c>
      <c r="D875" s="14" t="s">
        <v>278</v>
      </c>
      <c r="E875" s="18" t="s">
        <v>9</v>
      </c>
      <c r="F875" s="17" t="s">
        <v>23</v>
      </c>
      <c r="G875" s="17">
        <f>G870</f>
        <v>0</v>
      </c>
      <c r="H875" s="13">
        <f t="shared" si="13"/>
        <v>0</v>
      </c>
    </row>
    <row r="876" spans="2:8" ht="13.5" thickBot="1" x14ac:dyDescent="0.35">
      <c r="B876" s="9">
        <f>COUNT($B$4:B875)+1</f>
        <v>424</v>
      </c>
      <c r="C876" s="10" t="s">
        <v>650</v>
      </c>
      <c r="D876" s="10"/>
      <c r="E876" s="11" t="s">
        <v>9</v>
      </c>
      <c r="F876" s="12" t="s">
        <v>23</v>
      </c>
      <c r="G876" s="12"/>
      <c r="H876" s="13">
        <f t="shared" si="13"/>
        <v>0</v>
      </c>
    </row>
    <row r="877" spans="2:8" ht="13.5" thickBot="1" x14ac:dyDescent="0.35">
      <c r="B877" s="9"/>
      <c r="C877" s="14" t="s">
        <v>449</v>
      </c>
      <c r="D877" s="14" t="s">
        <v>278</v>
      </c>
      <c r="E877" s="18" t="s">
        <v>0</v>
      </c>
      <c r="F877" s="17" t="s">
        <v>23</v>
      </c>
      <c r="G877" s="17">
        <f>G876*8</f>
        <v>0</v>
      </c>
      <c r="H877" s="13">
        <f t="shared" si="13"/>
        <v>0</v>
      </c>
    </row>
    <row r="878" spans="2:8" ht="13.5" thickBot="1" x14ac:dyDescent="0.35">
      <c r="B878" s="9"/>
      <c r="C878" s="14" t="s">
        <v>651</v>
      </c>
      <c r="D878" s="14" t="s">
        <v>278</v>
      </c>
      <c r="E878" s="18" t="s">
        <v>9</v>
      </c>
      <c r="F878" s="17" t="s">
        <v>23</v>
      </c>
      <c r="G878" s="17">
        <f>G876</f>
        <v>0</v>
      </c>
      <c r="H878" s="13">
        <f t="shared" si="13"/>
        <v>0</v>
      </c>
    </row>
    <row r="879" spans="2:8" ht="13.5" thickBot="1" x14ac:dyDescent="0.35">
      <c r="B879" s="9"/>
      <c r="C879" s="14" t="s">
        <v>451</v>
      </c>
      <c r="D879" s="14" t="s">
        <v>278</v>
      </c>
      <c r="E879" s="18" t="s">
        <v>0</v>
      </c>
      <c r="F879" s="17" t="s">
        <v>23</v>
      </c>
      <c r="G879" s="17">
        <f>G876*8</f>
        <v>0</v>
      </c>
      <c r="H879" s="13">
        <f t="shared" si="13"/>
        <v>0</v>
      </c>
    </row>
    <row r="880" spans="2:8" ht="13.5" thickBot="1" x14ac:dyDescent="0.35">
      <c r="B880" s="9"/>
      <c r="C880" s="14" t="s">
        <v>452</v>
      </c>
      <c r="D880" s="14" t="s">
        <v>278</v>
      </c>
      <c r="E880" s="18" t="s">
        <v>0</v>
      </c>
      <c r="F880" s="17" t="s">
        <v>23</v>
      </c>
      <c r="G880" s="17">
        <f>G876*8</f>
        <v>0</v>
      </c>
      <c r="H880" s="13">
        <f t="shared" si="13"/>
        <v>0</v>
      </c>
    </row>
    <row r="881" spans="2:8" ht="13.5" thickBot="1" x14ac:dyDescent="0.35">
      <c r="B881" s="9"/>
      <c r="C881" s="14" t="s">
        <v>652</v>
      </c>
      <c r="D881" s="14" t="s">
        <v>278</v>
      </c>
      <c r="E881" s="18" t="s">
        <v>9</v>
      </c>
      <c r="F881" s="17" t="s">
        <v>23</v>
      </c>
      <c r="G881" s="17">
        <f>G876</f>
        <v>0</v>
      </c>
      <c r="H881" s="13">
        <f t="shared" si="13"/>
        <v>0</v>
      </c>
    </row>
    <row r="882" spans="2:8" ht="13.5" thickBot="1" x14ac:dyDescent="0.35">
      <c r="B882" s="9">
        <f>COUNT($B$4:B881)+1</f>
        <v>425</v>
      </c>
      <c r="C882" s="10" t="s">
        <v>653</v>
      </c>
      <c r="D882" s="10"/>
      <c r="E882" s="11" t="s">
        <v>9</v>
      </c>
      <c r="F882" s="12" t="s">
        <v>23</v>
      </c>
      <c r="G882" s="12"/>
      <c r="H882" s="13">
        <f t="shared" si="13"/>
        <v>0</v>
      </c>
    </row>
    <row r="883" spans="2:8" ht="13.5" thickBot="1" x14ac:dyDescent="0.35">
      <c r="B883" s="9"/>
      <c r="C883" s="14" t="s">
        <v>449</v>
      </c>
      <c r="D883" s="14" t="s">
        <v>278</v>
      </c>
      <c r="E883" s="18" t="s">
        <v>0</v>
      </c>
      <c r="F883" s="17" t="s">
        <v>23</v>
      </c>
      <c r="G883" s="17">
        <f>G882*8</f>
        <v>0</v>
      </c>
      <c r="H883" s="13">
        <f t="shared" si="13"/>
        <v>0</v>
      </c>
    </row>
    <row r="884" spans="2:8" ht="13.5" thickBot="1" x14ac:dyDescent="0.35">
      <c r="B884" s="9"/>
      <c r="C884" s="14" t="s">
        <v>654</v>
      </c>
      <c r="D884" s="14" t="s">
        <v>278</v>
      </c>
      <c r="E884" s="18" t="s">
        <v>9</v>
      </c>
      <c r="F884" s="17" t="s">
        <v>23</v>
      </c>
      <c r="G884" s="17">
        <f>G882</f>
        <v>0</v>
      </c>
      <c r="H884" s="13">
        <f t="shared" si="13"/>
        <v>0</v>
      </c>
    </row>
    <row r="885" spans="2:8" ht="13.5" thickBot="1" x14ac:dyDescent="0.35">
      <c r="B885" s="9"/>
      <c r="C885" s="14" t="s">
        <v>451</v>
      </c>
      <c r="D885" s="14" t="s">
        <v>278</v>
      </c>
      <c r="E885" s="18" t="s">
        <v>0</v>
      </c>
      <c r="F885" s="17" t="s">
        <v>23</v>
      </c>
      <c r="G885" s="17">
        <f>G882*8</f>
        <v>0</v>
      </c>
      <c r="H885" s="13">
        <f t="shared" si="13"/>
        <v>0</v>
      </c>
    </row>
    <row r="886" spans="2:8" ht="13.5" thickBot="1" x14ac:dyDescent="0.35">
      <c r="B886" s="9"/>
      <c r="C886" s="14" t="s">
        <v>452</v>
      </c>
      <c r="D886" s="14" t="s">
        <v>278</v>
      </c>
      <c r="E886" s="18" t="s">
        <v>0</v>
      </c>
      <c r="F886" s="17" t="s">
        <v>23</v>
      </c>
      <c r="G886" s="17">
        <f>G882*8</f>
        <v>0</v>
      </c>
      <c r="H886" s="13">
        <f t="shared" si="13"/>
        <v>0</v>
      </c>
    </row>
    <row r="887" spans="2:8" ht="13.5" thickBot="1" x14ac:dyDescent="0.35">
      <c r="B887" s="9"/>
      <c r="C887" s="14" t="s">
        <v>655</v>
      </c>
      <c r="D887" s="14" t="s">
        <v>278</v>
      </c>
      <c r="E887" s="18" t="s">
        <v>9</v>
      </c>
      <c r="F887" s="17" t="s">
        <v>23</v>
      </c>
      <c r="G887" s="17">
        <f>G882</f>
        <v>0</v>
      </c>
      <c r="H887" s="13">
        <f t="shared" si="13"/>
        <v>0</v>
      </c>
    </row>
    <row r="888" spans="2:8" ht="13.5" thickBot="1" x14ac:dyDescent="0.35">
      <c r="B888" s="9">
        <f>COUNT($B$4:B887)+1</f>
        <v>426</v>
      </c>
      <c r="C888" s="10" t="s">
        <v>656</v>
      </c>
      <c r="D888" s="10"/>
      <c r="E888" s="11" t="s">
        <v>9</v>
      </c>
      <c r="F888" s="12" t="s">
        <v>23</v>
      </c>
      <c r="G888" s="12"/>
      <c r="H888" s="13">
        <f t="shared" si="13"/>
        <v>0</v>
      </c>
    </row>
    <row r="889" spans="2:8" ht="13.5" thickBot="1" x14ac:dyDescent="0.35">
      <c r="B889" s="9"/>
      <c r="C889" s="14" t="s">
        <v>449</v>
      </c>
      <c r="D889" s="14" t="s">
        <v>278</v>
      </c>
      <c r="E889" s="18" t="s">
        <v>0</v>
      </c>
      <c r="F889" s="17" t="s">
        <v>23</v>
      </c>
      <c r="G889" s="17">
        <f>G888*8</f>
        <v>0</v>
      </c>
      <c r="H889" s="13">
        <f t="shared" si="13"/>
        <v>0</v>
      </c>
    </row>
    <row r="890" spans="2:8" ht="13.5" thickBot="1" x14ac:dyDescent="0.35">
      <c r="B890" s="9"/>
      <c r="C890" s="14" t="s">
        <v>657</v>
      </c>
      <c r="D890" s="14" t="s">
        <v>278</v>
      </c>
      <c r="E890" s="18" t="s">
        <v>9</v>
      </c>
      <c r="F890" s="17" t="s">
        <v>23</v>
      </c>
      <c r="G890" s="17">
        <f>G888</f>
        <v>0</v>
      </c>
      <c r="H890" s="13">
        <f t="shared" si="13"/>
        <v>0</v>
      </c>
    </row>
    <row r="891" spans="2:8" ht="13.5" thickBot="1" x14ac:dyDescent="0.35">
      <c r="B891" s="9"/>
      <c r="C891" s="14" t="s">
        <v>451</v>
      </c>
      <c r="D891" s="14" t="s">
        <v>278</v>
      </c>
      <c r="E891" s="18" t="s">
        <v>0</v>
      </c>
      <c r="F891" s="17" t="s">
        <v>23</v>
      </c>
      <c r="G891" s="17">
        <f>G888*8</f>
        <v>0</v>
      </c>
      <c r="H891" s="13">
        <f t="shared" si="13"/>
        <v>0</v>
      </c>
    </row>
    <row r="892" spans="2:8" ht="13.5" thickBot="1" x14ac:dyDescent="0.35">
      <c r="B892" s="9"/>
      <c r="C892" s="14" t="s">
        <v>452</v>
      </c>
      <c r="D892" s="14" t="s">
        <v>278</v>
      </c>
      <c r="E892" s="18" t="s">
        <v>0</v>
      </c>
      <c r="F892" s="17" t="s">
        <v>23</v>
      </c>
      <c r="G892" s="17">
        <f>G888*8</f>
        <v>0</v>
      </c>
      <c r="H892" s="13">
        <f t="shared" si="13"/>
        <v>0</v>
      </c>
    </row>
    <row r="893" spans="2:8" ht="13.5" thickBot="1" x14ac:dyDescent="0.35">
      <c r="B893" s="9"/>
      <c r="C893" s="14" t="s">
        <v>658</v>
      </c>
      <c r="D893" s="14" t="s">
        <v>278</v>
      </c>
      <c r="E893" s="18" t="s">
        <v>9</v>
      </c>
      <c r="F893" s="17" t="s">
        <v>23</v>
      </c>
      <c r="G893" s="17">
        <f>G888</f>
        <v>0</v>
      </c>
      <c r="H893" s="13">
        <f t="shared" si="13"/>
        <v>0</v>
      </c>
    </row>
    <row r="894" spans="2:8" ht="13.5" thickBot="1" x14ac:dyDescent="0.35">
      <c r="B894" s="9">
        <f>COUNT($B$4:B893)+1</f>
        <v>427</v>
      </c>
      <c r="C894" s="10" t="s">
        <v>659</v>
      </c>
      <c r="D894" s="10"/>
      <c r="E894" s="11" t="s">
        <v>9</v>
      </c>
      <c r="F894" s="12" t="s">
        <v>23</v>
      </c>
      <c r="G894" s="12"/>
      <c r="H894" s="13">
        <f t="shared" si="13"/>
        <v>0</v>
      </c>
    </row>
    <row r="895" spans="2:8" ht="13.5" thickBot="1" x14ac:dyDescent="0.35">
      <c r="B895" s="9"/>
      <c r="C895" s="14" t="s">
        <v>449</v>
      </c>
      <c r="D895" s="14" t="s">
        <v>278</v>
      </c>
      <c r="E895" s="18" t="s">
        <v>0</v>
      </c>
      <c r="F895" s="17" t="s">
        <v>23</v>
      </c>
      <c r="G895" s="17">
        <f>G894*8</f>
        <v>0</v>
      </c>
      <c r="H895" s="13">
        <f t="shared" si="13"/>
        <v>0</v>
      </c>
    </row>
    <row r="896" spans="2:8" ht="13.5" thickBot="1" x14ac:dyDescent="0.35">
      <c r="B896" s="9"/>
      <c r="C896" s="14" t="s">
        <v>660</v>
      </c>
      <c r="D896" s="14" t="s">
        <v>278</v>
      </c>
      <c r="E896" s="18" t="s">
        <v>9</v>
      </c>
      <c r="F896" s="17" t="s">
        <v>23</v>
      </c>
      <c r="G896" s="17">
        <f>G894</f>
        <v>0</v>
      </c>
      <c r="H896" s="13">
        <f t="shared" si="13"/>
        <v>0</v>
      </c>
    </row>
    <row r="897" spans="2:8" ht="13.5" thickBot="1" x14ac:dyDescent="0.35">
      <c r="B897" s="9"/>
      <c r="C897" s="14" t="s">
        <v>451</v>
      </c>
      <c r="D897" s="14" t="s">
        <v>278</v>
      </c>
      <c r="E897" s="18" t="s">
        <v>0</v>
      </c>
      <c r="F897" s="17" t="s">
        <v>23</v>
      </c>
      <c r="G897" s="17">
        <f>G894*8</f>
        <v>0</v>
      </c>
      <c r="H897" s="13">
        <f t="shared" si="13"/>
        <v>0</v>
      </c>
    </row>
    <row r="898" spans="2:8" ht="13.5" thickBot="1" x14ac:dyDescent="0.35">
      <c r="B898" s="9"/>
      <c r="C898" s="14" t="s">
        <v>452</v>
      </c>
      <c r="D898" s="14" t="s">
        <v>278</v>
      </c>
      <c r="E898" s="18" t="s">
        <v>0</v>
      </c>
      <c r="F898" s="17" t="s">
        <v>23</v>
      </c>
      <c r="G898" s="17">
        <f>G894*8</f>
        <v>0</v>
      </c>
      <c r="H898" s="13">
        <f t="shared" si="13"/>
        <v>0</v>
      </c>
    </row>
    <row r="899" spans="2:8" ht="13.5" thickBot="1" x14ac:dyDescent="0.35">
      <c r="B899" s="9"/>
      <c r="C899" s="14" t="s">
        <v>661</v>
      </c>
      <c r="D899" s="14" t="s">
        <v>278</v>
      </c>
      <c r="E899" s="18" t="s">
        <v>9</v>
      </c>
      <c r="F899" s="17" t="s">
        <v>23</v>
      </c>
      <c r="G899" s="17">
        <f>G894</f>
        <v>0</v>
      </c>
      <c r="H899" s="13">
        <f t="shared" si="13"/>
        <v>0</v>
      </c>
    </row>
    <row r="900" spans="2:8" ht="13.5" thickBot="1" x14ac:dyDescent="0.35">
      <c r="B900" s="9">
        <f>COUNT($B$4:B899)+1</f>
        <v>428</v>
      </c>
      <c r="C900" s="10" t="s">
        <v>662</v>
      </c>
      <c r="D900" s="10"/>
      <c r="E900" s="11" t="s">
        <v>9</v>
      </c>
      <c r="F900" s="12" t="s">
        <v>23</v>
      </c>
      <c r="G900" s="12"/>
      <c r="H900" s="13">
        <f t="shared" si="13"/>
        <v>0</v>
      </c>
    </row>
    <row r="901" spans="2:8" ht="13.5" thickBot="1" x14ac:dyDescent="0.35">
      <c r="B901" s="9"/>
      <c r="C901" s="14" t="s">
        <v>449</v>
      </c>
      <c r="D901" s="14" t="s">
        <v>278</v>
      </c>
      <c r="E901" s="18" t="s">
        <v>0</v>
      </c>
      <c r="F901" s="17" t="s">
        <v>23</v>
      </c>
      <c r="G901" s="17">
        <f>G900*8</f>
        <v>0</v>
      </c>
      <c r="H901" s="13">
        <f t="shared" ref="H901:H964" si="14">SUM(G901:G901)</f>
        <v>0</v>
      </c>
    </row>
    <row r="902" spans="2:8" ht="13.5" thickBot="1" x14ac:dyDescent="0.35">
      <c r="B902" s="9"/>
      <c r="C902" s="14" t="s">
        <v>663</v>
      </c>
      <c r="D902" s="14" t="s">
        <v>278</v>
      </c>
      <c r="E902" s="18" t="s">
        <v>9</v>
      </c>
      <c r="F902" s="17" t="s">
        <v>23</v>
      </c>
      <c r="G902" s="17">
        <f>G900</f>
        <v>0</v>
      </c>
      <c r="H902" s="13">
        <f t="shared" si="14"/>
        <v>0</v>
      </c>
    </row>
    <row r="903" spans="2:8" ht="13.5" thickBot="1" x14ac:dyDescent="0.35">
      <c r="B903" s="9"/>
      <c r="C903" s="14" t="s">
        <v>451</v>
      </c>
      <c r="D903" s="14" t="s">
        <v>278</v>
      </c>
      <c r="E903" s="18" t="s">
        <v>0</v>
      </c>
      <c r="F903" s="17" t="s">
        <v>23</v>
      </c>
      <c r="G903" s="17">
        <f>G900*8</f>
        <v>0</v>
      </c>
      <c r="H903" s="13">
        <f t="shared" si="14"/>
        <v>0</v>
      </c>
    </row>
    <row r="904" spans="2:8" ht="13.5" thickBot="1" x14ac:dyDescent="0.35">
      <c r="B904" s="9"/>
      <c r="C904" s="14" t="s">
        <v>452</v>
      </c>
      <c r="D904" s="14" t="s">
        <v>278</v>
      </c>
      <c r="E904" s="18" t="s">
        <v>0</v>
      </c>
      <c r="F904" s="17" t="s">
        <v>23</v>
      </c>
      <c r="G904" s="17">
        <f>G900*8</f>
        <v>0</v>
      </c>
      <c r="H904" s="13">
        <f t="shared" si="14"/>
        <v>0</v>
      </c>
    </row>
    <row r="905" spans="2:8" ht="13.5" thickBot="1" x14ac:dyDescent="0.35">
      <c r="B905" s="9"/>
      <c r="C905" s="14" t="s">
        <v>664</v>
      </c>
      <c r="D905" s="14" t="s">
        <v>278</v>
      </c>
      <c r="E905" s="18" t="s">
        <v>9</v>
      </c>
      <c r="F905" s="17" t="s">
        <v>23</v>
      </c>
      <c r="G905" s="17">
        <f>G900</f>
        <v>0</v>
      </c>
      <c r="H905" s="13">
        <f t="shared" si="14"/>
        <v>0</v>
      </c>
    </row>
    <row r="906" spans="2:8" ht="13.5" thickBot="1" x14ac:dyDescent="0.35">
      <c r="B906" s="9">
        <f>COUNT($B$4:B905)+1</f>
        <v>429</v>
      </c>
      <c r="C906" s="10" t="s">
        <v>665</v>
      </c>
      <c r="D906" s="10"/>
      <c r="E906" s="11" t="s">
        <v>9</v>
      </c>
      <c r="F906" s="12" t="s">
        <v>23</v>
      </c>
      <c r="G906" s="12"/>
      <c r="H906" s="13">
        <f t="shared" si="14"/>
        <v>0</v>
      </c>
    </row>
    <row r="907" spans="2:8" ht="13.5" thickBot="1" x14ac:dyDescent="0.35">
      <c r="B907" s="9"/>
      <c r="C907" s="14" t="s">
        <v>449</v>
      </c>
      <c r="D907" s="14" t="s">
        <v>278</v>
      </c>
      <c r="E907" s="18" t="s">
        <v>0</v>
      </c>
      <c r="F907" s="17" t="s">
        <v>23</v>
      </c>
      <c r="G907" s="17">
        <f>G906*8</f>
        <v>0</v>
      </c>
      <c r="H907" s="13">
        <f t="shared" si="14"/>
        <v>0</v>
      </c>
    </row>
    <row r="908" spans="2:8" ht="13.5" thickBot="1" x14ac:dyDescent="0.35">
      <c r="B908" s="9"/>
      <c r="C908" s="14" t="s">
        <v>666</v>
      </c>
      <c r="D908" s="14" t="s">
        <v>278</v>
      </c>
      <c r="E908" s="18" t="s">
        <v>9</v>
      </c>
      <c r="F908" s="17" t="s">
        <v>23</v>
      </c>
      <c r="G908" s="17">
        <f>G906</f>
        <v>0</v>
      </c>
      <c r="H908" s="13">
        <f t="shared" si="14"/>
        <v>0</v>
      </c>
    </row>
    <row r="909" spans="2:8" ht="13.5" thickBot="1" x14ac:dyDescent="0.35">
      <c r="B909" s="9"/>
      <c r="C909" s="14" t="s">
        <v>451</v>
      </c>
      <c r="D909" s="14" t="s">
        <v>278</v>
      </c>
      <c r="E909" s="18" t="s">
        <v>0</v>
      </c>
      <c r="F909" s="17" t="s">
        <v>23</v>
      </c>
      <c r="G909" s="17">
        <f>G906*8</f>
        <v>0</v>
      </c>
      <c r="H909" s="13">
        <f t="shared" si="14"/>
        <v>0</v>
      </c>
    </row>
    <row r="910" spans="2:8" ht="13.5" thickBot="1" x14ac:dyDescent="0.35">
      <c r="B910" s="9"/>
      <c r="C910" s="14" t="s">
        <v>452</v>
      </c>
      <c r="D910" s="14" t="s">
        <v>278</v>
      </c>
      <c r="E910" s="18" t="s">
        <v>0</v>
      </c>
      <c r="F910" s="17" t="s">
        <v>23</v>
      </c>
      <c r="G910" s="17">
        <f>G906*8</f>
        <v>0</v>
      </c>
      <c r="H910" s="13">
        <f t="shared" si="14"/>
        <v>0</v>
      </c>
    </row>
    <row r="911" spans="2:8" ht="13.5" thickBot="1" x14ac:dyDescent="0.35">
      <c r="B911" s="9"/>
      <c r="C911" s="14" t="s">
        <v>667</v>
      </c>
      <c r="D911" s="14" t="s">
        <v>278</v>
      </c>
      <c r="E911" s="18" t="s">
        <v>9</v>
      </c>
      <c r="F911" s="17" t="s">
        <v>23</v>
      </c>
      <c r="G911" s="17">
        <f>G906</f>
        <v>0</v>
      </c>
      <c r="H911" s="13">
        <f t="shared" si="14"/>
        <v>0</v>
      </c>
    </row>
    <row r="912" spans="2:8" ht="13.5" thickBot="1" x14ac:dyDescent="0.35">
      <c r="B912" s="9">
        <f>COUNT($B$4:B911)+1</f>
        <v>430</v>
      </c>
      <c r="C912" s="10" t="s">
        <v>668</v>
      </c>
      <c r="D912" s="10"/>
      <c r="E912" s="11" t="s">
        <v>9</v>
      </c>
      <c r="F912" s="12" t="s">
        <v>23</v>
      </c>
      <c r="G912" s="12"/>
      <c r="H912" s="13">
        <f t="shared" si="14"/>
        <v>0</v>
      </c>
    </row>
    <row r="913" spans="2:8" ht="13.5" thickBot="1" x14ac:dyDescent="0.35">
      <c r="B913" s="9"/>
      <c r="C913" s="14" t="s">
        <v>449</v>
      </c>
      <c r="D913" s="14" t="s">
        <v>278</v>
      </c>
      <c r="E913" s="18" t="s">
        <v>0</v>
      </c>
      <c r="F913" s="17" t="s">
        <v>23</v>
      </c>
      <c r="G913" s="17">
        <f>G912*16</f>
        <v>0</v>
      </c>
      <c r="H913" s="13">
        <f t="shared" si="14"/>
        <v>0</v>
      </c>
    </row>
    <row r="914" spans="2:8" ht="13.5" thickBot="1" x14ac:dyDescent="0.35">
      <c r="B914" s="9"/>
      <c r="C914" s="14" t="s">
        <v>669</v>
      </c>
      <c r="D914" s="14" t="s">
        <v>278</v>
      </c>
      <c r="E914" s="18" t="s">
        <v>9</v>
      </c>
      <c r="F914" s="17" t="s">
        <v>23</v>
      </c>
      <c r="G914" s="17">
        <f>G912</f>
        <v>0</v>
      </c>
      <c r="H914" s="13">
        <f t="shared" si="14"/>
        <v>0</v>
      </c>
    </row>
    <row r="915" spans="2:8" ht="13.5" thickBot="1" x14ac:dyDescent="0.35">
      <c r="B915" s="9"/>
      <c r="C915" s="14" t="s">
        <v>451</v>
      </c>
      <c r="D915" s="14" t="s">
        <v>278</v>
      </c>
      <c r="E915" s="18" t="s">
        <v>0</v>
      </c>
      <c r="F915" s="17" t="s">
        <v>23</v>
      </c>
      <c r="G915" s="17">
        <f>G912*16</f>
        <v>0</v>
      </c>
      <c r="H915" s="13">
        <f t="shared" si="14"/>
        <v>0</v>
      </c>
    </row>
    <row r="916" spans="2:8" ht="13.5" thickBot="1" x14ac:dyDescent="0.35">
      <c r="B916" s="9"/>
      <c r="C916" s="14" t="s">
        <v>452</v>
      </c>
      <c r="D916" s="14" t="s">
        <v>278</v>
      </c>
      <c r="E916" s="18" t="s">
        <v>0</v>
      </c>
      <c r="F916" s="17" t="s">
        <v>23</v>
      </c>
      <c r="G916" s="17">
        <f>G912*16</f>
        <v>0</v>
      </c>
      <c r="H916" s="13">
        <f t="shared" si="14"/>
        <v>0</v>
      </c>
    </row>
    <row r="917" spans="2:8" ht="13.5" thickBot="1" x14ac:dyDescent="0.35">
      <c r="B917" s="9"/>
      <c r="C917" s="14" t="s">
        <v>670</v>
      </c>
      <c r="D917" s="14" t="s">
        <v>278</v>
      </c>
      <c r="E917" s="18" t="s">
        <v>9</v>
      </c>
      <c r="F917" s="17" t="s">
        <v>23</v>
      </c>
      <c r="G917" s="17">
        <f>G912</f>
        <v>0</v>
      </c>
      <c r="H917" s="13">
        <f t="shared" si="14"/>
        <v>0</v>
      </c>
    </row>
    <row r="918" spans="2:8" ht="13.5" thickBot="1" x14ac:dyDescent="0.35">
      <c r="B918" s="9">
        <f>COUNT($B$4:B917)+1</f>
        <v>431</v>
      </c>
      <c r="C918" s="10" t="s">
        <v>671</v>
      </c>
      <c r="D918" s="10"/>
      <c r="E918" s="11" t="s">
        <v>9</v>
      </c>
      <c r="F918" s="12" t="s">
        <v>23</v>
      </c>
      <c r="G918" s="12"/>
      <c r="H918" s="13">
        <f t="shared" si="14"/>
        <v>0</v>
      </c>
    </row>
    <row r="919" spans="2:8" ht="13.5" thickBot="1" x14ac:dyDescent="0.35">
      <c r="B919" s="9"/>
      <c r="C919" s="14" t="s">
        <v>449</v>
      </c>
      <c r="D919" s="14" t="s">
        <v>278</v>
      </c>
      <c r="E919" s="18" t="s">
        <v>0</v>
      </c>
      <c r="F919" s="17" t="s">
        <v>23</v>
      </c>
      <c r="G919" s="17">
        <f>G918*16</f>
        <v>0</v>
      </c>
      <c r="H919" s="13">
        <f t="shared" si="14"/>
        <v>0</v>
      </c>
    </row>
    <row r="920" spans="2:8" ht="13.5" thickBot="1" x14ac:dyDescent="0.35">
      <c r="B920" s="9"/>
      <c r="C920" s="14" t="s">
        <v>672</v>
      </c>
      <c r="D920" s="14" t="s">
        <v>278</v>
      </c>
      <c r="E920" s="18" t="s">
        <v>9</v>
      </c>
      <c r="F920" s="17" t="s">
        <v>23</v>
      </c>
      <c r="G920" s="17">
        <f>G918</f>
        <v>0</v>
      </c>
      <c r="H920" s="13">
        <f t="shared" si="14"/>
        <v>0</v>
      </c>
    </row>
    <row r="921" spans="2:8" ht="13.5" thickBot="1" x14ac:dyDescent="0.35">
      <c r="B921" s="9"/>
      <c r="C921" s="14" t="s">
        <v>451</v>
      </c>
      <c r="D921" s="14" t="s">
        <v>278</v>
      </c>
      <c r="E921" s="18" t="s">
        <v>0</v>
      </c>
      <c r="F921" s="17" t="s">
        <v>23</v>
      </c>
      <c r="G921" s="17">
        <f>G918*16</f>
        <v>0</v>
      </c>
      <c r="H921" s="13">
        <f t="shared" si="14"/>
        <v>0</v>
      </c>
    </row>
    <row r="922" spans="2:8" ht="13.5" thickBot="1" x14ac:dyDescent="0.35">
      <c r="B922" s="9"/>
      <c r="C922" s="14" t="s">
        <v>452</v>
      </c>
      <c r="D922" s="14" t="s">
        <v>278</v>
      </c>
      <c r="E922" s="18" t="s">
        <v>0</v>
      </c>
      <c r="F922" s="17" t="s">
        <v>23</v>
      </c>
      <c r="G922" s="17">
        <f>G918*16</f>
        <v>0</v>
      </c>
      <c r="H922" s="13">
        <f t="shared" si="14"/>
        <v>0</v>
      </c>
    </row>
    <row r="923" spans="2:8" ht="13.5" thickBot="1" x14ac:dyDescent="0.35">
      <c r="B923" s="9"/>
      <c r="C923" s="14" t="s">
        <v>673</v>
      </c>
      <c r="D923" s="14" t="s">
        <v>278</v>
      </c>
      <c r="E923" s="18" t="s">
        <v>9</v>
      </c>
      <c r="F923" s="17" t="s">
        <v>23</v>
      </c>
      <c r="G923" s="17">
        <f>G918</f>
        <v>0</v>
      </c>
      <c r="H923" s="13">
        <f t="shared" si="14"/>
        <v>0</v>
      </c>
    </row>
    <row r="924" spans="2:8" ht="13.5" thickBot="1" x14ac:dyDescent="0.35">
      <c r="B924" s="9">
        <f>COUNT($B$4:B923)+1</f>
        <v>432</v>
      </c>
      <c r="C924" s="10" t="s">
        <v>674</v>
      </c>
      <c r="D924" s="10"/>
      <c r="E924" s="11" t="s">
        <v>9</v>
      </c>
      <c r="F924" s="12" t="s">
        <v>23</v>
      </c>
      <c r="G924" s="12"/>
      <c r="H924" s="13">
        <f t="shared" si="14"/>
        <v>0</v>
      </c>
    </row>
    <row r="925" spans="2:8" ht="13.5" thickBot="1" x14ac:dyDescent="0.35">
      <c r="B925" s="9"/>
      <c r="C925" s="14" t="s">
        <v>449</v>
      </c>
      <c r="D925" s="14" t="s">
        <v>278</v>
      </c>
      <c r="E925" s="18" t="s">
        <v>0</v>
      </c>
      <c r="F925" s="17" t="s">
        <v>23</v>
      </c>
      <c r="G925" s="17">
        <f>G924*16</f>
        <v>0</v>
      </c>
      <c r="H925" s="13">
        <f t="shared" si="14"/>
        <v>0</v>
      </c>
    </row>
    <row r="926" spans="2:8" ht="13.5" thickBot="1" x14ac:dyDescent="0.35">
      <c r="B926" s="9"/>
      <c r="C926" s="14" t="s">
        <v>675</v>
      </c>
      <c r="D926" s="14" t="s">
        <v>278</v>
      </c>
      <c r="E926" s="18" t="s">
        <v>9</v>
      </c>
      <c r="F926" s="17" t="s">
        <v>23</v>
      </c>
      <c r="G926" s="17">
        <f>G924</f>
        <v>0</v>
      </c>
      <c r="H926" s="13">
        <f t="shared" si="14"/>
        <v>0</v>
      </c>
    </row>
    <row r="927" spans="2:8" ht="13.5" thickBot="1" x14ac:dyDescent="0.35">
      <c r="B927" s="9"/>
      <c r="C927" s="14" t="s">
        <v>451</v>
      </c>
      <c r="D927" s="14" t="s">
        <v>278</v>
      </c>
      <c r="E927" s="18" t="s">
        <v>0</v>
      </c>
      <c r="F927" s="17" t="s">
        <v>23</v>
      </c>
      <c r="G927" s="17">
        <f>G924*16</f>
        <v>0</v>
      </c>
      <c r="H927" s="13">
        <f t="shared" si="14"/>
        <v>0</v>
      </c>
    </row>
    <row r="928" spans="2:8" ht="13.5" thickBot="1" x14ac:dyDescent="0.35">
      <c r="B928" s="9"/>
      <c r="C928" s="14" t="s">
        <v>452</v>
      </c>
      <c r="D928" s="14" t="s">
        <v>278</v>
      </c>
      <c r="E928" s="18" t="s">
        <v>0</v>
      </c>
      <c r="F928" s="17" t="s">
        <v>23</v>
      </c>
      <c r="G928" s="17">
        <f>G924*16</f>
        <v>0</v>
      </c>
      <c r="H928" s="13">
        <f t="shared" si="14"/>
        <v>0</v>
      </c>
    </row>
    <row r="929" spans="2:8" ht="13.5" thickBot="1" x14ac:dyDescent="0.35">
      <c r="B929" s="9"/>
      <c r="C929" s="14" t="s">
        <v>676</v>
      </c>
      <c r="D929" s="14" t="s">
        <v>278</v>
      </c>
      <c r="E929" s="18" t="s">
        <v>9</v>
      </c>
      <c r="F929" s="17" t="s">
        <v>23</v>
      </c>
      <c r="G929" s="17">
        <f>G924</f>
        <v>0</v>
      </c>
      <c r="H929" s="13">
        <f t="shared" si="14"/>
        <v>0</v>
      </c>
    </row>
    <row r="930" spans="2:8" ht="13.5" thickBot="1" x14ac:dyDescent="0.35">
      <c r="B930" s="9">
        <f>COUNT($B$4:B929)+1</f>
        <v>433</v>
      </c>
      <c r="C930" s="10" t="s">
        <v>677</v>
      </c>
      <c r="D930" s="10"/>
      <c r="E930" s="11" t="s">
        <v>9</v>
      </c>
      <c r="F930" s="12" t="s">
        <v>23</v>
      </c>
      <c r="G930" s="12"/>
      <c r="H930" s="13">
        <f t="shared" si="14"/>
        <v>0</v>
      </c>
    </row>
    <row r="931" spans="2:8" ht="13.5" thickBot="1" x14ac:dyDescent="0.35">
      <c r="B931" s="9"/>
      <c r="C931" s="14" t="s">
        <v>449</v>
      </c>
      <c r="D931" s="14" t="s">
        <v>278</v>
      </c>
      <c r="E931" s="18" t="s">
        <v>0</v>
      </c>
      <c r="F931" s="17" t="s">
        <v>23</v>
      </c>
      <c r="G931" s="17">
        <f>G930*16</f>
        <v>0</v>
      </c>
      <c r="H931" s="13">
        <f t="shared" si="14"/>
        <v>0</v>
      </c>
    </row>
    <row r="932" spans="2:8" ht="13.5" thickBot="1" x14ac:dyDescent="0.35">
      <c r="B932" s="9"/>
      <c r="C932" s="14" t="s">
        <v>678</v>
      </c>
      <c r="D932" s="14" t="s">
        <v>278</v>
      </c>
      <c r="E932" s="18" t="s">
        <v>9</v>
      </c>
      <c r="F932" s="17" t="s">
        <v>23</v>
      </c>
      <c r="G932" s="17">
        <f>G930</f>
        <v>0</v>
      </c>
      <c r="H932" s="13">
        <f t="shared" si="14"/>
        <v>0</v>
      </c>
    </row>
    <row r="933" spans="2:8" ht="13.5" thickBot="1" x14ac:dyDescent="0.35">
      <c r="B933" s="9"/>
      <c r="C933" s="14" t="s">
        <v>451</v>
      </c>
      <c r="D933" s="14" t="s">
        <v>278</v>
      </c>
      <c r="E933" s="18" t="s">
        <v>0</v>
      </c>
      <c r="F933" s="17" t="s">
        <v>23</v>
      </c>
      <c r="G933" s="17">
        <f>G930*16</f>
        <v>0</v>
      </c>
      <c r="H933" s="13">
        <f t="shared" si="14"/>
        <v>0</v>
      </c>
    </row>
    <row r="934" spans="2:8" ht="13.5" thickBot="1" x14ac:dyDescent="0.35">
      <c r="B934" s="9"/>
      <c r="C934" s="14" t="s">
        <v>452</v>
      </c>
      <c r="D934" s="14" t="s">
        <v>278</v>
      </c>
      <c r="E934" s="18" t="s">
        <v>0</v>
      </c>
      <c r="F934" s="17" t="s">
        <v>23</v>
      </c>
      <c r="G934" s="17">
        <f>G930*16</f>
        <v>0</v>
      </c>
      <c r="H934" s="13">
        <f t="shared" si="14"/>
        <v>0</v>
      </c>
    </row>
    <row r="935" spans="2:8" ht="13.5" thickBot="1" x14ac:dyDescent="0.35">
      <c r="B935" s="9"/>
      <c r="C935" s="14" t="s">
        <v>679</v>
      </c>
      <c r="D935" s="14" t="s">
        <v>278</v>
      </c>
      <c r="E935" s="18" t="s">
        <v>9</v>
      </c>
      <c r="F935" s="17" t="s">
        <v>23</v>
      </c>
      <c r="G935" s="17">
        <f>G930</f>
        <v>0</v>
      </c>
      <c r="H935" s="13">
        <f t="shared" si="14"/>
        <v>0</v>
      </c>
    </row>
    <row r="936" spans="2:8" ht="13.5" thickBot="1" x14ac:dyDescent="0.35">
      <c r="B936" s="9">
        <f>COUNT($B$4:B935)+1</f>
        <v>434</v>
      </c>
      <c r="C936" s="10" t="s">
        <v>680</v>
      </c>
      <c r="D936" s="10"/>
      <c r="E936" s="11" t="s">
        <v>9</v>
      </c>
      <c r="F936" s="12" t="s">
        <v>23</v>
      </c>
      <c r="G936" s="12"/>
      <c r="H936" s="13">
        <f t="shared" si="14"/>
        <v>0</v>
      </c>
    </row>
    <row r="937" spans="2:8" ht="13.5" thickBot="1" x14ac:dyDescent="0.35">
      <c r="B937" s="9"/>
      <c r="C937" s="14" t="s">
        <v>449</v>
      </c>
      <c r="D937" s="14" t="s">
        <v>278</v>
      </c>
      <c r="E937" s="18" t="s">
        <v>0</v>
      </c>
      <c r="F937" s="17" t="s">
        <v>23</v>
      </c>
      <c r="G937" s="17">
        <f>G936*16</f>
        <v>0</v>
      </c>
      <c r="H937" s="13">
        <f t="shared" si="14"/>
        <v>0</v>
      </c>
    </row>
    <row r="938" spans="2:8" ht="13.5" thickBot="1" x14ac:dyDescent="0.35">
      <c r="B938" s="9"/>
      <c r="C938" s="14" t="s">
        <v>681</v>
      </c>
      <c r="D938" s="14" t="s">
        <v>278</v>
      </c>
      <c r="E938" s="18" t="s">
        <v>9</v>
      </c>
      <c r="F938" s="17" t="s">
        <v>23</v>
      </c>
      <c r="G938" s="17">
        <f>G936</f>
        <v>0</v>
      </c>
      <c r="H938" s="13">
        <f t="shared" si="14"/>
        <v>0</v>
      </c>
    </row>
    <row r="939" spans="2:8" ht="13.5" thickBot="1" x14ac:dyDescent="0.35">
      <c r="B939" s="9"/>
      <c r="C939" s="14" t="s">
        <v>451</v>
      </c>
      <c r="D939" s="14" t="s">
        <v>278</v>
      </c>
      <c r="E939" s="18" t="s">
        <v>0</v>
      </c>
      <c r="F939" s="17" t="s">
        <v>23</v>
      </c>
      <c r="G939" s="17">
        <f>G936*16</f>
        <v>0</v>
      </c>
      <c r="H939" s="13">
        <f t="shared" si="14"/>
        <v>0</v>
      </c>
    </row>
    <row r="940" spans="2:8" ht="13.5" thickBot="1" x14ac:dyDescent="0.35">
      <c r="B940" s="9"/>
      <c r="C940" s="14" t="s">
        <v>452</v>
      </c>
      <c r="D940" s="14" t="s">
        <v>278</v>
      </c>
      <c r="E940" s="18" t="s">
        <v>0</v>
      </c>
      <c r="F940" s="17" t="s">
        <v>23</v>
      </c>
      <c r="G940" s="17">
        <f>G936*16</f>
        <v>0</v>
      </c>
      <c r="H940" s="13">
        <f t="shared" si="14"/>
        <v>0</v>
      </c>
    </row>
    <row r="941" spans="2:8" ht="13.5" thickBot="1" x14ac:dyDescent="0.35">
      <c r="B941" s="9"/>
      <c r="C941" s="14" t="s">
        <v>682</v>
      </c>
      <c r="D941" s="14" t="s">
        <v>278</v>
      </c>
      <c r="E941" s="18" t="s">
        <v>9</v>
      </c>
      <c r="F941" s="17" t="s">
        <v>23</v>
      </c>
      <c r="G941" s="17">
        <f>G936</f>
        <v>0</v>
      </c>
      <c r="H941" s="13">
        <f t="shared" si="14"/>
        <v>0</v>
      </c>
    </row>
    <row r="942" spans="2:8" ht="13.5" thickBot="1" x14ac:dyDescent="0.35">
      <c r="B942" s="9">
        <f>COUNT($B$4:B941)+1</f>
        <v>435</v>
      </c>
      <c r="C942" s="10" t="s">
        <v>683</v>
      </c>
      <c r="D942" s="10"/>
      <c r="E942" s="11" t="s">
        <v>9</v>
      </c>
      <c r="F942" s="12" t="s">
        <v>23</v>
      </c>
      <c r="G942" s="12"/>
      <c r="H942" s="13">
        <f t="shared" si="14"/>
        <v>0</v>
      </c>
    </row>
    <row r="943" spans="2:8" ht="13.5" thickBot="1" x14ac:dyDescent="0.35">
      <c r="B943" s="9"/>
      <c r="C943" s="14" t="s">
        <v>449</v>
      </c>
      <c r="D943" s="14" t="s">
        <v>278</v>
      </c>
      <c r="E943" s="18" t="s">
        <v>0</v>
      </c>
      <c r="F943" s="17" t="s">
        <v>23</v>
      </c>
      <c r="G943" s="17">
        <f>G942*16</f>
        <v>0</v>
      </c>
      <c r="H943" s="13">
        <f t="shared" si="14"/>
        <v>0</v>
      </c>
    </row>
    <row r="944" spans="2:8" ht="13.5" thickBot="1" x14ac:dyDescent="0.35">
      <c r="B944" s="9"/>
      <c r="C944" s="14" t="s">
        <v>684</v>
      </c>
      <c r="D944" s="14" t="s">
        <v>278</v>
      </c>
      <c r="E944" s="18" t="s">
        <v>9</v>
      </c>
      <c r="F944" s="17" t="s">
        <v>23</v>
      </c>
      <c r="G944" s="17">
        <f>G942</f>
        <v>0</v>
      </c>
      <c r="H944" s="13">
        <f t="shared" si="14"/>
        <v>0</v>
      </c>
    </row>
    <row r="945" spans="2:8" ht="13.5" thickBot="1" x14ac:dyDescent="0.35">
      <c r="B945" s="9"/>
      <c r="C945" s="14" t="s">
        <v>451</v>
      </c>
      <c r="D945" s="14" t="s">
        <v>278</v>
      </c>
      <c r="E945" s="18" t="s">
        <v>0</v>
      </c>
      <c r="F945" s="17" t="s">
        <v>23</v>
      </c>
      <c r="G945" s="17">
        <f>G942*16</f>
        <v>0</v>
      </c>
      <c r="H945" s="13">
        <f t="shared" si="14"/>
        <v>0</v>
      </c>
    </row>
    <row r="946" spans="2:8" ht="13.5" thickBot="1" x14ac:dyDescent="0.35">
      <c r="B946" s="9"/>
      <c r="C946" s="14" t="s">
        <v>452</v>
      </c>
      <c r="D946" s="14" t="s">
        <v>278</v>
      </c>
      <c r="E946" s="18" t="s">
        <v>0</v>
      </c>
      <c r="F946" s="17" t="s">
        <v>23</v>
      </c>
      <c r="G946" s="17">
        <f>G942*16</f>
        <v>0</v>
      </c>
      <c r="H946" s="13">
        <f t="shared" si="14"/>
        <v>0</v>
      </c>
    </row>
    <row r="947" spans="2:8" ht="13.5" thickBot="1" x14ac:dyDescent="0.35">
      <c r="B947" s="9"/>
      <c r="C947" s="14" t="s">
        <v>685</v>
      </c>
      <c r="D947" s="14" t="s">
        <v>278</v>
      </c>
      <c r="E947" s="18" t="s">
        <v>9</v>
      </c>
      <c r="F947" s="17" t="s">
        <v>23</v>
      </c>
      <c r="G947" s="17">
        <f>G942</f>
        <v>0</v>
      </c>
      <c r="H947" s="13">
        <f t="shared" si="14"/>
        <v>0</v>
      </c>
    </row>
    <row r="948" spans="2:8" ht="13.5" thickBot="1" x14ac:dyDescent="0.35">
      <c r="B948" s="9">
        <f>COUNT($B$4:B947)+1</f>
        <v>436</v>
      </c>
      <c r="C948" s="10" t="s">
        <v>686</v>
      </c>
      <c r="D948" s="10"/>
      <c r="E948" s="11" t="s">
        <v>9</v>
      </c>
      <c r="F948" s="12" t="s">
        <v>23</v>
      </c>
      <c r="G948" s="12"/>
      <c r="H948" s="13">
        <f t="shared" si="14"/>
        <v>0</v>
      </c>
    </row>
    <row r="949" spans="2:8" ht="13.5" thickBot="1" x14ac:dyDescent="0.35">
      <c r="B949" s="9"/>
      <c r="C949" s="14" t="s">
        <v>449</v>
      </c>
      <c r="D949" s="14" t="s">
        <v>278</v>
      </c>
      <c r="E949" s="18" t="s">
        <v>0</v>
      </c>
      <c r="F949" s="17" t="s">
        <v>23</v>
      </c>
      <c r="G949" s="17">
        <f>G948*16</f>
        <v>0</v>
      </c>
      <c r="H949" s="13">
        <f t="shared" si="14"/>
        <v>0</v>
      </c>
    </row>
    <row r="950" spans="2:8" ht="13.5" thickBot="1" x14ac:dyDescent="0.35">
      <c r="B950" s="9"/>
      <c r="C950" s="14" t="s">
        <v>687</v>
      </c>
      <c r="D950" s="14" t="s">
        <v>278</v>
      </c>
      <c r="E950" s="18" t="s">
        <v>9</v>
      </c>
      <c r="F950" s="17" t="s">
        <v>23</v>
      </c>
      <c r="G950" s="17">
        <f>G948</f>
        <v>0</v>
      </c>
      <c r="H950" s="13">
        <f t="shared" si="14"/>
        <v>0</v>
      </c>
    </row>
    <row r="951" spans="2:8" ht="13.5" thickBot="1" x14ac:dyDescent="0.35">
      <c r="B951" s="9"/>
      <c r="C951" s="14" t="s">
        <v>451</v>
      </c>
      <c r="D951" s="14" t="s">
        <v>278</v>
      </c>
      <c r="E951" s="18" t="s">
        <v>0</v>
      </c>
      <c r="F951" s="17" t="s">
        <v>23</v>
      </c>
      <c r="G951" s="17">
        <f>G948*16</f>
        <v>0</v>
      </c>
      <c r="H951" s="13">
        <f t="shared" si="14"/>
        <v>0</v>
      </c>
    </row>
    <row r="952" spans="2:8" ht="13.5" thickBot="1" x14ac:dyDescent="0.35">
      <c r="B952" s="9"/>
      <c r="C952" s="14" t="s">
        <v>452</v>
      </c>
      <c r="D952" s="14" t="s">
        <v>278</v>
      </c>
      <c r="E952" s="18" t="s">
        <v>0</v>
      </c>
      <c r="F952" s="17" t="s">
        <v>23</v>
      </c>
      <c r="G952" s="17">
        <f>G948*16</f>
        <v>0</v>
      </c>
      <c r="H952" s="13">
        <f t="shared" si="14"/>
        <v>0</v>
      </c>
    </row>
    <row r="953" spans="2:8" ht="13.5" thickBot="1" x14ac:dyDescent="0.35">
      <c r="B953" s="9"/>
      <c r="C953" s="14" t="s">
        <v>688</v>
      </c>
      <c r="D953" s="14" t="s">
        <v>278</v>
      </c>
      <c r="E953" s="18" t="s">
        <v>9</v>
      </c>
      <c r="F953" s="17" t="s">
        <v>23</v>
      </c>
      <c r="G953" s="17">
        <f>G948</f>
        <v>0</v>
      </c>
      <c r="H953" s="13">
        <f t="shared" si="14"/>
        <v>0</v>
      </c>
    </row>
    <row r="954" spans="2:8" ht="13.5" thickBot="1" x14ac:dyDescent="0.35">
      <c r="B954" s="9">
        <f>COUNT($B$4:B953)+1</f>
        <v>437</v>
      </c>
      <c r="C954" s="10" t="s">
        <v>689</v>
      </c>
      <c r="D954" s="10"/>
      <c r="E954" s="11" t="s">
        <v>9</v>
      </c>
      <c r="F954" s="12" t="s">
        <v>23</v>
      </c>
      <c r="G954" s="12"/>
      <c r="H954" s="13">
        <f t="shared" si="14"/>
        <v>0</v>
      </c>
    </row>
    <row r="955" spans="2:8" ht="13.5" thickBot="1" x14ac:dyDescent="0.35">
      <c r="B955" s="9"/>
      <c r="C955" s="14" t="s">
        <v>449</v>
      </c>
      <c r="D955" s="14" t="s">
        <v>278</v>
      </c>
      <c r="E955" s="18" t="s">
        <v>0</v>
      </c>
      <c r="F955" s="17" t="s">
        <v>23</v>
      </c>
      <c r="G955" s="17">
        <f>G954*16</f>
        <v>0</v>
      </c>
      <c r="H955" s="13">
        <f t="shared" si="14"/>
        <v>0</v>
      </c>
    </row>
    <row r="956" spans="2:8" ht="13.5" thickBot="1" x14ac:dyDescent="0.35">
      <c r="B956" s="9"/>
      <c r="C956" s="14" t="s">
        <v>690</v>
      </c>
      <c r="D956" s="14" t="s">
        <v>278</v>
      </c>
      <c r="E956" s="18" t="s">
        <v>9</v>
      </c>
      <c r="F956" s="17" t="s">
        <v>23</v>
      </c>
      <c r="G956" s="17">
        <f>G954</f>
        <v>0</v>
      </c>
      <c r="H956" s="13">
        <f t="shared" si="14"/>
        <v>0</v>
      </c>
    </row>
    <row r="957" spans="2:8" ht="13.5" thickBot="1" x14ac:dyDescent="0.35">
      <c r="B957" s="9"/>
      <c r="C957" s="14" t="s">
        <v>451</v>
      </c>
      <c r="D957" s="14" t="s">
        <v>278</v>
      </c>
      <c r="E957" s="18" t="s">
        <v>0</v>
      </c>
      <c r="F957" s="17" t="s">
        <v>23</v>
      </c>
      <c r="G957" s="17">
        <f>G954*16</f>
        <v>0</v>
      </c>
      <c r="H957" s="13">
        <f t="shared" si="14"/>
        <v>0</v>
      </c>
    </row>
    <row r="958" spans="2:8" ht="13.5" thickBot="1" x14ac:dyDescent="0.35">
      <c r="B958" s="9"/>
      <c r="C958" s="14" t="s">
        <v>452</v>
      </c>
      <c r="D958" s="14" t="s">
        <v>278</v>
      </c>
      <c r="E958" s="18" t="s">
        <v>0</v>
      </c>
      <c r="F958" s="17" t="s">
        <v>23</v>
      </c>
      <c r="G958" s="17">
        <f>G954*16</f>
        <v>0</v>
      </c>
      <c r="H958" s="13">
        <f t="shared" si="14"/>
        <v>0</v>
      </c>
    </row>
    <row r="959" spans="2:8" ht="13.5" thickBot="1" x14ac:dyDescent="0.35">
      <c r="B959" s="9"/>
      <c r="C959" s="14" t="s">
        <v>691</v>
      </c>
      <c r="D959" s="14" t="s">
        <v>278</v>
      </c>
      <c r="E959" s="18" t="s">
        <v>9</v>
      </c>
      <c r="F959" s="17" t="s">
        <v>23</v>
      </c>
      <c r="G959" s="17">
        <f>G954</f>
        <v>0</v>
      </c>
      <c r="H959" s="13">
        <f t="shared" si="14"/>
        <v>0</v>
      </c>
    </row>
    <row r="960" spans="2:8" ht="13.5" thickBot="1" x14ac:dyDescent="0.35">
      <c r="B960" s="9">
        <f>COUNT($B$4:B959)+1</f>
        <v>438</v>
      </c>
      <c r="C960" s="10" t="s">
        <v>692</v>
      </c>
      <c r="D960" s="10"/>
      <c r="E960" s="11" t="s">
        <v>9</v>
      </c>
      <c r="F960" s="12" t="s">
        <v>23</v>
      </c>
      <c r="G960" s="12"/>
      <c r="H960" s="13">
        <f t="shared" si="14"/>
        <v>0</v>
      </c>
    </row>
    <row r="961" spans="2:8" ht="13.5" thickBot="1" x14ac:dyDescent="0.35">
      <c r="B961" s="9"/>
      <c r="C961" s="14" t="s">
        <v>449</v>
      </c>
      <c r="D961" s="14" t="s">
        <v>278</v>
      </c>
      <c r="E961" s="18" t="s">
        <v>0</v>
      </c>
      <c r="F961" s="17" t="s">
        <v>23</v>
      </c>
      <c r="G961" s="17">
        <f>G960*8</f>
        <v>0</v>
      </c>
      <c r="H961" s="13">
        <f t="shared" si="14"/>
        <v>0</v>
      </c>
    </row>
    <row r="962" spans="2:8" ht="13.5" thickBot="1" x14ac:dyDescent="0.35">
      <c r="B962" s="9"/>
      <c r="C962" s="14" t="s">
        <v>693</v>
      </c>
      <c r="D962" s="14" t="s">
        <v>278</v>
      </c>
      <c r="E962" s="18" t="s">
        <v>9</v>
      </c>
      <c r="F962" s="17" t="s">
        <v>23</v>
      </c>
      <c r="G962" s="17">
        <f>G960</f>
        <v>0</v>
      </c>
      <c r="H962" s="13">
        <f t="shared" si="14"/>
        <v>0</v>
      </c>
    </row>
    <row r="963" spans="2:8" ht="13.5" thickBot="1" x14ac:dyDescent="0.35">
      <c r="B963" s="9"/>
      <c r="C963" s="14" t="s">
        <v>451</v>
      </c>
      <c r="D963" s="14" t="s">
        <v>278</v>
      </c>
      <c r="E963" s="18" t="s">
        <v>0</v>
      </c>
      <c r="F963" s="17" t="s">
        <v>23</v>
      </c>
      <c r="G963" s="17">
        <f>G960*8</f>
        <v>0</v>
      </c>
      <c r="H963" s="13">
        <f t="shared" si="14"/>
        <v>0</v>
      </c>
    </row>
    <row r="964" spans="2:8" ht="13.5" thickBot="1" x14ac:dyDescent="0.35">
      <c r="B964" s="9"/>
      <c r="C964" s="14" t="s">
        <v>452</v>
      </c>
      <c r="D964" s="14" t="s">
        <v>278</v>
      </c>
      <c r="E964" s="18" t="s">
        <v>0</v>
      </c>
      <c r="F964" s="17" t="s">
        <v>23</v>
      </c>
      <c r="G964" s="17">
        <f>G960*8</f>
        <v>0</v>
      </c>
      <c r="H964" s="13">
        <f t="shared" si="14"/>
        <v>0</v>
      </c>
    </row>
    <row r="965" spans="2:8" ht="13.5" thickBot="1" x14ac:dyDescent="0.35">
      <c r="B965" s="9"/>
      <c r="C965" s="14" t="s">
        <v>694</v>
      </c>
      <c r="D965" s="14" t="s">
        <v>278</v>
      </c>
      <c r="E965" s="18" t="s">
        <v>9</v>
      </c>
      <c r="F965" s="17" t="s">
        <v>23</v>
      </c>
      <c r="G965" s="17">
        <f>G960</f>
        <v>0</v>
      </c>
      <c r="H965" s="13">
        <f t="shared" ref="H965:H1028" si="15">SUM(G965:G965)</f>
        <v>0</v>
      </c>
    </row>
    <row r="966" spans="2:8" ht="13.5" thickBot="1" x14ac:dyDescent="0.35">
      <c r="B966" s="9">
        <f>COUNT($B$4:B965)+1</f>
        <v>439</v>
      </c>
      <c r="C966" s="10" t="s">
        <v>695</v>
      </c>
      <c r="D966" s="10"/>
      <c r="E966" s="11" t="s">
        <v>9</v>
      </c>
      <c r="F966" s="12" t="s">
        <v>23</v>
      </c>
      <c r="G966" s="12"/>
      <c r="H966" s="13">
        <f t="shared" si="15"/>
        <v>0</v>
      </c>
    </row>
    <row r="967" spans="2:8" ht="13.5" thickBot="1" x14ac:dyDescent="0.35">
      <c r="B967" s="9"/>
      <c r="C967" s="14" t="s">
        <v>449</v>
      </c>
      <c r="D967" s="14" t="s">
        <v>278</v>
      </c>
      <c r="E967" s="18" t="s">
        <v>0</v>
      </c>
      <c r="F967" s="17" t="s">
        <v>23</v>
      </c>
      <c r="G967" s="17">
        <f>G966*8</f>
        <v>0</v>
      </c>
      <c r="H967" s="13">
        <f t="shared" si="15"/>
        <v>0</v>
      </c>
    </row>
    <row r="968" spans="2:8" ht="13.5" thickBot="1" x14ac:dyDescent="0.35">
      <c r="B968" s="9"/>
      <c r="C968" s="14" t="s">
        <v>696</v>
      </c>
      <c r="D968" s="14" t="s">
        <v>278</v>
      </c>
      <c r="E968" s="18" t="s">
        <v>9</v>
      </c>
      <c r="F968" s="17" t="s">
        <v>23</v>
      </c>
      <c r="G968" s="17">
        <f>G966</f>
        <v>0</v>
      </c>
      <c r="H968" s="13">
        <f t="shared" si="15"/>
        <v>0</v>
      </c>
    </row>
    <row r="969" spans="2:8" ht="13.5" thickBot="1" x14ac:dyDescent="0.35">
      <c r="B969" s="9"/>
      <c r="C969" s="14" t="s">
        <v>451</v>
      </c>
      <c r="D969" s="14" t="s">
        <v>278</v>
      </c>
      <c r="E969" s="18" t="s">
        <v>0</v>
      </c>
      <c r="F969" s="17" t="s">
        <v>23</v>
      </c>
      <c r="G969" s="17">
        <f>G966*8</f>
        <v>0</v>
      </c>
      <c r="H969" s="13">
        <f t="shared" si="15"/>
        <v>0</v>
      </c>
    </row>
    <row r="970" spans="2:8" ht="13.5" thickBot="1" x14ac:dyDescent="0.35">
      <c r="B970" s="9"/>
      <c r="C970" s="14" t="s">
        <v>452</v>
      </c>
      <c r="D970" s="14" t="s">
        <v>278</v>
      </c>
      <c r="E970" s="18" t="s">
        <v>0</v>
      </c>
      <c r="F970" s="17" t="s">
        <v>23</v>
      </c>
      <c r="G970" s="17">
        <f>G966*8</f>
        <v>0</v>
      </c>
      <c r="H970" s="13">
        <f t="shared" si="15"/>
        <v>0</v>
      </c>
    </row>
    <row r="971" spans="2:8" ht="13.5" thickBot="1" x14ac:dyDescent="0.35">
      <c r="B971" s="9"/>
      <c r="C971" s="14" t="s">
        <v>697</v>
      </c>
      <c r="D971" s="14" t="s">
        <v>278</v>
      </c>
      <c r="E971" s="18" t="s">
        <v>9</v>
      </c>
      <c r="F971" s="17" t="s">
        <v>23</v>
      </c>
      <c r="G971" s="17">
        <f>G966</f>
        <v>0</v>
      </c>
      <c r="H971" s="13">
        <f t="shared" si="15"/>
        <v>0</v>
      </c>
    </row>
    <row r="972" spans="2:8" ht="13.5" thickBot="1" x14ac:dyDescent="0.35">
      <c r="B972" s="9">
        <f>COUNT($B$4:B971)+1</f>
        <v>440</v>
      </c>
      <c r="C972" s="10" t="s">
        <v>698</v>
      </c>
      <c r="D972" s="10"/>
      <c r="E972" s="11" t="s">
        <v>9</v>
      </c>
      <c r="F972" s="12" t="s">
        <v>23</v>
      </c>
      <c r="G972" s="12"/>
      <c r="H972" s="13">
        <f t="shared" si="15"/>
        <v>0</v>
      </c>
    </row>
    <row r="973" spans="2:8" ht="13.5" thickBot="1" x14ac:dyDescent="0.35">
      <c r="B973" s="9"/>
      <c r="C973" s="14" t="s">
        <v>449</v>
      </c>
      <c r="D973" s="14" t="s">
        <v>278</v>
      </c>
      <c r="E973" s="18" t="s">
        <v>0</v>
      </c>
      <c r="F973" s="17" t="s">
        <v>23</v>
      </c>
      <c r="G973" s="17">
        <f>G972*8</f>
        <v>0</v>
      </c>
      <c r="H973" s="13">
        <f t="shared" si="15"/>
        <v>0</v>
      </c>
    </row>
    <row r="974" spans="2:8" ht="13.5" thickBot="1" x14ac:dyDescent="0.35">
      <c r="B974" s="9"/>
      <c r="C974" s="14" t="s">
        <v>699</v>
      </c>
      <c r="D974" s="14" t="s">
        <v>278</v>
      </c>
      <c r="E974" s="18" t="s">
        <v>9</v>
      </c>
      <c r="F974" s="17" t="s">
        <v>23</v>
      </c>
      <c r="G974" s="17">
        <f>G972</f>
        <v>0</v>
      </c>
      <c r="H974" s="13">
        <f t="shared" si="15"/>
        <v>0</v>
      </c>
    </row>
    <row r="975" spans="2:8" ht="13.5" thickBot="1" x14ac:dyDescent="0.35">
      <c r="B975" s="9"/>
      <c r="C975" s="14" t="s">
        <v>451</v>
      </c>
      <c r="D975" s="14" t="s">
        <v>278</v>
      </c>
      <c r="E975" s="18" t="s">
        <v>0</v>
      </c>
      <c r="F975" s="17" t="s">
        <v>23</v>
      </c>
      <c r="G975" s="17">
        <f>G972*8</f>
        <v>0</v>
      </c>
      <c r="H975" s="13">
        <f t="shared" si="15"/>
        <v>0</v>
      </c>
    </row>
    <row r="976" spans="2:8" ht="13.5" thickBot="1" x14ac:dyDescent="0.35">
      <c r="B976" s="9"/>
      <c r="C976" s="14" t="s">
        <v>452</v>
      </c>
      <c r="D976" s="14" t="s">
        <v>278</v>
      </c>
      <c r="E976" s="18" t="s">
        <v>0</v>
      </c>
      <c r="F976" s="17" t="s">
        <v>23</v>
      </c>
      <c r="G976" s="17">
        <f>G972*8</f>
        <v>0</v>
      </c>
      <c r="H976" s="13">
        <f t="shared" si="15"/>
        <v>0</v>
      </c>
    </row>
    <row r="977" spans="2:8" ht="13.5" thickBot="1" x14ac:dyDescent="0.35">
      <c r="B977" s="9"/>
      <c r="C977" s="14" t="s">
        <v>700</v>
      </c>
      <c r="D977" s="14" t="s">
        <v>278</v>
      </c>
      <c r="E977" s="18" t="s">
        <v>9</v>
      </c>
      <c r="F977" s="17" t="s">
        <v>23</v>
      </c>
      <c r="G977" s="17">
        <f>G972</f>
        <v>0</v>
      </c>
      <c r="H977" s="13">
        <f t="shared" si="15"/>
        <v>0</v>
      </c>
    </row>
    <row r="978" spans="2:8" ht="13.5" thickBot="1" x14ac:dyDescent="0.35">
      <c r="B978" s="9">
        <f>COUNT($B$4:B977)+1</f>
        <v>441</v>
      </c>
      <c r="C978" s="10" t="s">
        <v>701</v>
      </c>
      <c r="D978" s="10"/>
      <c r="E978" s="11" t="s">
        <v>9</v>
      </c>
      <c r="F978" s="12" t="s">
        <v>23</v>
      </c>
      <c r="G978" s="12"/>
      <c r="H978" s="13">
        <f t="shared" si="15"/>
        <v>0</v>
      </c>
    </row>
    <row r="979" spans="2:8" ht="13.5" thickBot="1" x14ac:dyDescent="0.35">
      <c r="B979" s="9"/>
      <c r="C979" s="14" t="s">
        <v>449</v>
      </c>
      <c r="D979" s="14" t="s">
        <v>278</v>
      </c>
      <c r="E979" s="18" t="s">
        <v>0</v>
      </c>
      <c r="F979" s="17" t="s">
        <v>23</v>
      </c>
      <c r="G979" s="17">
        <f>G978*8</f>
        <v>0</v>
      </c>
      <c r="H979" s="13">
        <f t="shared" si="15"/>
        <v>0</v>
      </c>
    </row>
    <row r="980" spans="2:8" ht="13.5" thickBot="1" x14ac:dyDescent="0.35">
      <c r="B980" s="9"/>
      <c r="C980" s="14" t="s">
        <v>702</v>
      </c>
      <c r="D980" s="14" t="s">
        <v>278</v>
      </c>
      <c r="E980" s="18" t="s">
        <v>9</v>
      </c>
      <c r="F980" s="17" t="s">
        <v>23</v>
      </c>
      <c r="G980" s="17">
        <f>G978</f>
        <v>0</v>
      </c>
      <c r="H980" s="13">
        <f t="shared" si="15"/>
        <v>0</v>
      </c>
    </row>
    <row r="981" spans="2:8" ht="13.5" thickBot="1" x14ac:dyDescent="0.35">
      <c r="B981" s="9"/>
      <c r="C981" s="14" t="s">
        <v>451</v>
      </c>
      <c r="D981" s="14" t="s">
        <v>278</v>
      </c>
      <c r="E981" s="18" t="s">
        <v>0</v>
      </c>
      <c r="F981" s="17" t="s">
        <v>23</v>
      </c>
      <c r="G981" s="17">
        <f>G978*8</f>
        <v>0</v>
      </c>
      <c r="H981" s="13">
        <f t="shared" si="15"/>
        <v>0</v>
      </c>
    </row>
    <row r="982" spans="2:8" ht="13.5" thickBot="1" x14ac:dyDescent="0.35">
      <c r="B982" s="9"/>
      <c r="C982" s="14" t="s">
        <v>452</v>
      </c>
      <c r="D982" s="14" t="s">
        <v>278</v>
      </c>
      <c r="E982" s="18" t="s">
        <v>0</v>
      </c>
      <c r="F982" s="17" t="s">
        <v>23</v>
      </c>
      <c r="G982" s="17">
        <f>G978*8</f>
        <v>0</v>
      </c>
      <c r="H982" s="13">
        <f t="shared" si="15"/>
        <v>0</v>
      </c>
    </row>
    <row r="983" spans="2:8" ht="13.5" thickBot="1" x14ac:dyDescent="0.35">
      <c r="B983" s="9"/>
      <c r="C983" s="14" t="s">
        <v>703</v>
      </c>
      <c r="D983" s="14" t="s">
        <v>278</v>
      </c>
      <c r="E983" s="18" t="s">
        <v>9</v>
      </c>
      <c r="F983" s="17" t="s">
        <v>23</v>
      </c>
      <c r="G983" s="17">
        <f>G978</f>
        <v>0</v>
      </c>
      <c r="H983" s="13">
        <f t="shared" si="15"/>
        <v>0</v>
      </c>
    </row>
    <row r="984" spans="2:8" ht="13.5" thickBot="1" x14ac:dyDescent="0.35">
      <c r="B984" s="9">
        <f>COUNT($B$4:B983)+1</f>
        <v>442</v>
      </c>
      <c r="C984" s="10" t="s">
        <v>704</v>
      </c>
      <c r="D984" s="10"/>
      <c r="E984" s="11" t="s">
        <v>9</v>
      </c>
      <c r="F984" s="12" t="s">
        <v>23</v>
      </c>
      <c r="G984" s="12"/>
      <c r="H984" s="13">
        <f t="shared" si="15"/>
        <v>0</v>
      </c>
    </row>
    <row r="985" spans="2:8" ht="13.5" thickBot="1" x14ac:dyDescent="0.35">
      <c r="B985" s="9"/>
      <c r="C985" s="14" t="s">
        <v>449</v>
      </c>
      <c r="D985" s="14" t="s">
        <v>278</v>
      </c>
      <c r="E985" s="18" t="s">
        <v>0</v>
      </c>
      <c r="F985" s="17" t="s">
        <v>23</v>
      </c>
      <c r="G985" s="17">
        <f>G984*8</f>
        <v>0</v>
      </c>
      <c r="H985" s="13">
        <f t="shared" si="15"/>
        <v>0</v>
      </c>
    </row>
    <row r="986" spans="2:8" ht="13.5" thickBot="1" x14ac:dyDescent="0.35">
      <c r="B986" s="9"/>
      <c r="C986" s="14" t="s">
        <v>705</v>
      </c>
      <c r="D986" s="14" t="s">
        <v>278</v>
      </c>
      <c r="E986" s="18" t="s">
        <v>9</v>
      </c>
      <c r="F986" s="17" t="s">
        <v>23</v>
      </c>
      <c r="G986" s="17">
        <f>G984</f>
        <v>0</v>
      </c>
      <c r="H986" s="13">
        <f t="shared" si="15"/>
        <v>0</v>
      </c>
    </row>
    <row r="987" spans="2:8" ht="13.5" thickBot="1" x14ac:dyDescent="0.35">
      <c r="B987" s="9"/>
      <c r="C987" s="14" t="s">
        <v>451</v>
      </c>
      <c r="D987" s="14" t="s">
        <v>278</v>
      </c>
      <c r="E987" s="18" t="s">
        <v>0</v>
      </c>
      <c r="F987" s="17" t="s">
        <v>23</v>
      </c>
      <c r="G987" s="17">
        <f>G984*8</f>
        <v>0</v>
      </c>
      <c r="H987" s="13">
        <f t="shared" si="15"/>
        <v>0</v>
      </c>
    </row>
    <row r="988" spans="2:8" ht="13.5" thickBot="1" x14ac:dyDescent="0.35">
      <c r="B988" s="9"/>
      <c r="C988" s="14" t="s">
        <v>452</v>
      </c>
      <c r="D988" s="14" t="s">
        <v>278</v>
      </c>
      <c r="E988" s="18" t="s">
        <v>0</v>
      </c>
      <c r="F988" s="17" t="s">
        <v>23</v>
      </c>
      <c r="G988" s="17">
        <f>G984*8</f>
        <v>0</v>
      </c>
      <c r="H988" s="13">
        <f t="shared" si="15"/>
        <v>0</v>
      </c>
    </row>
    <row r="989" spans="2:8" ht="13.5" thickBot="1" x14ac:dyDescent="0.35">
      <c r="B989" s="9"/>
      <c r="C989" s="14" t="s">
        <v>706</v>
      </c>
      <c r="D989" s="14" t="s">
        <v>278</v>
      </c>
      <c r="E989" s="18" t="s">
        <v>9</v>
      </c>
      <c r="F989" s="17" t="s">
        <v>23</v>
      </c>
      <c r="G989" s="17">
        <f>G984</f>
        <v>0</v>
      </c>
      <c r="H989" s="13">
        <f t="shared" si="15"/>
        <v>0</v>
      </c>
    </row>
    <row r="990" spans="2:8" ht="13.5" thickBot="1" x14ac:dyDescent="0.35">
      <c r="B990" s="9">
        <f>COUNT($B$4:B989)+1</f>
        <v>443</v>
      </c>
      <c r="C990" s="10" t="s">
        <v>707</v>
      </c>
      <c r="D990" s="10"/>
      <c r="E990" s="11" t="s">
        <v>9</v>
      </c>
      <c r="F990" s="12" t="s">
        <v>23</v>
      </c>
      <c r="G990" s="12"/>
      <c r="H990" s="13">
        <f t="shared" si="15"/>
        <v>0</v>
      </c>
    </row>
    <row r="991" spans="2:8" ht="13.5" thickBot="1" x14ac:dyDescent="0.35">
      <c r="B991" s="9"/>
      <c r="C991" s="14" t="s">
        <v>449</v>
      </c>
      <c r="D991" s="14" t="s">
        <v>278</v>
      </c>
      <c r="E991" s="18" t="s">
        <v>0</v>
      </c>
      <c r="F991" s="17" t="s">
        <v>23</v>
      </c>
      <c r="G991" s="17">
        <f>G990*8</f>
        <v>0</v>
      </c>
      <c r="H991" s="13">
        <f t="shared" si="15"/>
        <v>0</v>
      </c>
    </row>
    <row r="992" spans="2:8" ht="13.5" thickBot="1" x14ac:dyDescent="0.35">
      <c r="B992" s="9"/>
      <c r="C992" s="14" t="s">
        <v>708</v>
      </c>
      <c r="D992" s="14" t="s">
        <v>278</v>
      </c>
      <c r="E992" s="18" t="s">
        <v>9</v>
      </c>
      <c r="F992" s="17" t="s">
        <v>23</v>
      </c>
      <c r="G992" s="17">
        <f>G990</f>
        <v>0</v>
      </c>
      <c r="H992" s="13">
        <f t="shared" si="15"/>
        <v>0</v>
      </c>
    </row>
    <row r="993" spans="2:8" ht="13.5" thickBot="1" x14ac:dyDescent="0.35">
      <c r="B993" s="9"/>
      <c r="C993" s="14" t="s">
        <v>451</v>
      </c>
      <c r="D993" s="14" t="s">
        <v>278</v>
      </c>
      <c r="E993" s="18" t="s">
        <v>0</v>
      </c>
      <c r="F993" s="17" t="s">
        <v>23</v>
      </c>
      <c r="G993" s="17">
        <f>G990*8</f>
        <v>0</v>
      </c>
      <c r="H993" s="13">
        <f t="shared" si="15"/>
        <v>0</v>
      </c>
    </row>
    <row r="994" spans="2:8" ht="13.5" thickBot="1" x14ac:dyDescent="0.35">
      <c r="B994" s="9"/>
      <c r="C994" s="14" t="s">
        <v>452</v>
      </c>
      <c r="D994" s="14" t="s">
        <v>278</v>
      </c>
      <c r="E994" s="18" t="s">
        <v>0</v>
      </c>
      <c r="F994" s="17" t="s">
        <v>23</v>
      </c>
      <c r="G994" s="17">
        <f>G990*8</f>
        <v>0</v>
      </c>
      <c r="H994" s="13">
        <f t="shared" si="15"/>
        <v>0</v>
      </c>
    </row>
    <row r="995" spans="2:8" ht="13.5" thickBot="1" x14ac:dyDescent="0.35">
      <c r="B995" s="9"/>
      <c r="C995" s="14" t="s">
        <v>709</v>
      </c>
      <c r="D995" s="14" t="s">
        <v>278</v>
      </c>
      <c r="E995" s="18" t="s">
        <v>9</v>
      </c>
      <c r="F995" s="17" t="s">
        <v>23</v>
      </c>
      <c r="G995" s="17">
        <f>G990</f>
        <v>0</v>
      </c>
      <c r="H995" s="13">
        <f t="shared" si="15"/>
        <v>0</v>
      </c>
    </row>
    <row r="996" spans="2:8" ht="13.5" thickBot="1" x14ac:dyDescent="0.35">
      <c r="B996" s="9">
        <f>COUNT($B$4:B995)+1</f>
        <v>444</v>
      </c>
      <c r="C996" s="10" t="s">
        <v>710</v>
      </c>
      <c r="D996" s="10"/>
      <c r="E996" s="11" t="s">
        <v>9</v>
      </c>
      <c r="F996" s="12" t="s">
        <v>23</v>
      </c>
      <c r="G996" s="12"/>
      <c r="H996" s="13">
        <f t="shared" si="15"/>
        <v>0</v>
      </c>
    </row>
    <row r="997" spans="2:8" ht="13.5" thickBot="1" x14ac:dyDescent="0.35">
      <c r="B997" s="9"/>
      <c r="C997" s="14" t="s">
        <v>449</v>
      </c>
      <c r="D997" s="14" t="s">
        <v>278</v>
      </c>
      <c r="E997" s="18" t="s">
        <v>0</v>
      </c>
      <c r="F997" s="17" t="s">
        <v>23</v>
      </c>
      <c r="G997" s="17">
        <f>G996*8</f>
        <v>0</v>
      </c>
      <c r="H997" s="13">
        <f t="shared" si="15"/>
        <v>0</v>
      </c>
    </row>
    <row r="998" spans="2:8" ht="13.5" thickBot="1" x14ac:dyDescent="0.35">
      <c r="B998" s="9"/>
      <c r="C998" s="14" t="s">
        <v>711</v>
      </c>
      <c r="D998" s="14" t="s">
        <v>278</v>
      </c>
      <c r="E998" s="18" t="s">
        <v>9</v>
      </c>
      <c r="F998" s="17" t="s">
        <v>23</v>
      </c>
      <c r="G998" s="17">
        <f>G996</f>
        <v>0</v>
      </c>
      <c r="H998" s="13">
        <f t="shared" si="15"/>
        <v>0</v>
      </c>
    </row>
    <row r="999" spans="2:8" ht="13.5" thickBot="1" x14ac:dyDescent="0.35">
      <c r="B999" s="9"/>
      <c r="C999" s="14" t="s">
        <v>451</v>
      </c>
      <c r="D999" s="14" t="s">
        <v>278</v>
      </c>
      <c r="E999" s="18" t="s">
        <v>0</v>
      </c>
      <c r="F999" s="17" t="s">
        <v>23</v>
      </c>
      <c r="G999" s="17">
        <f>G996*8</f>
        <v>0</v>
      </c>
      <c r="H999" s="13">
        <f t="shared" si="15"/>
        <v>0</v>
      </c>
    </row>
    <row r="1000" spans="2:8" ht="13.5" thickBot="1" x14ac:dyDescent="0.35">
      <c r="B1000" s="9"/>
      <c r="C1000" s="14" t="s">
        <v>452</v>
      </c>
      <c r="D1000" s="14" t="s">
        <v>278</v>
      </c>
      <c r="E1000" s="18" t="s">
        <v>0</v>
      </c>
      <c r="F1000" s="17" t="s">
        <v>23</v>
      </c>
      <c r="G1000" s="17">
        <f>G996*8</f>
        <v>0</v>
      </c>
      <c r="H1000" s="13">
        <f t="shared" si="15"/>
        <v>0</v>
      </c>
    </row>
    <row r="1001" spans="2:8" ht="13.5" thickBot="1" x14ac:dyDescent="0.35">
      <c r="B1001" s="9"/>
      <c r="C1001" s="14" t="s">
        <v>712</v>
      </c>
      <c r="D1001" s="14" t="s">
        <v>278</v>
      </c>
      <c r="E1001" s="18" t="s">
        <v>9</v>
      </c>
      <c r="F1001" s="17" t="s">
        <v>23</v>
      </c>
      <c r="G1001" s="17">
        <f>G996</f>
        <v>0</v>
      </c>
      <c r="H1001" s="13">
        <f t="shared" si="15"/>
        <v>0</v>
      </c>
    </row>
    <row r="1002" spans="2:8" ht="13.5" thickBot="1" x14ac:dyDescent="0.35">
      <c r="B1002" s="9">
        <f>COUNT($B$4:B1001)+1</f>
        <v>445</v>
      </c>
      <c r="C1002" s="10" t="s">
        <v>713</v>
      </c>
      <c r="D1002" s="10"/>
      <c r="E1002" s="11" t="s">
        <v>9</v>
      </c>
      <c r="F1002" s="12" t="s">
        <v>23</v>
      </c>
      <c r="G1002" s="12"/>
      <c r="H1002" s="13">
        <f t="shared" si="15"/>
        <v>0</v>
      </c>
    </row>
    <row r="1003" spans="2:8" ht="13.5" thickBot="1" x14ac:dyDescent="0.35">
      <c r="B1003" s="9"/>
      <c r="C1003" s="14" t="s">
        <v>449</v>
      </c>
      <c r="D1003" s="14" t="s">
        <v>278</v>
      </c>
      <c r="E1003" s="18" t="s">
        <v>0</v>
      </c>
      <c r="F1003" s="17" t="s">
        <v>23</v>
      </c>
      <c r="G1003" s="17">
        <f>G1002*8</f>
        <v>0</v>
      </c>
      <c r="H1003" s="13">
        <f t="shared" si="15"/>
        <v>0</v>
      </c>
    </row>
    <row r="1004" spans="2:8" ht="13.5" thickBot="1" x14ac:dyDescent="0.35">
      <c r="B1004" s="9"/>
      <c r="C1004" s="14" t="s">
        <v>714</v>
      </c>
      <c r="D1004" s="14" t="s">
        <v>278</v>
      </c>
      <c r="E1004" s="18" t="s">
        <v>9</v>
      </c>
      <c r="F1004" s="17" t="s">
        <v>23</v>
      </c>
      <c r="G1004" s="17">
        <f>G1002</f>
        <v>0</v>
      </c>
      <c r="H1004" s="13">
        <f t="shared" si="15"/>
        <v>0</v>
      </c>
    </row>
    <row r="1005" spans="2:8" ht="13.5" thickBot="1" x14ac:dyDescent="0.35">
      <c r="B1005" s="9"/>
      <c r="C1005" s="14" t="s">
        <v>451</v>
      </c>
      <c r="D1005" s="14" t="s">
        <v>278</v>
      </c>
      <c r="E1005" s="18" t="s">
        <v>0</v>
      </c>
      <c r="F1005" s="17" t="s">
        <v>23</v>
      </c>
      <c r="G1005" s="17">
        <f>G1002*8</f>
        <v>0</v>
      </c>
      <c r="H1005" s="13">
        <f t="shared" si="15"/>
        <v>0</v>
      </c>
    </row>
    <row r="1006" spans="2:8" ht="13.5" thickBot="1" x14ac:dyDescent="0.35">
      <c r="B1006" s="9"/>
      <c r="C1006" s="14" t="s">
        <v>452</v>
      </c>
      <c r="D1006" s="14" t="s">
        <v>278</v>
      </c>
      <c r="E1006" s="18" t="s">
        <v>0</v>
      </c>
      <c r="F1006" s="17" t="s">
        <v>23</v>
      </c>
      <c r="G1006" s="17">
        <f>G1002*8</f>
        <v>0</v>
      </c>
      <c r="H1006" s="13">
        <f t="shared" si="15"/>
        <v>0</v>
      </c>
    </row>
    <row r="1007" spans="2:8" ht="13.5" thickBot="1" x14ac:dyDescent="0.35">
      <c r="B1007" s="9"/>
      <c r="C1007" s="14" t="s">
        <v>715</v>
      </c>
      <c r="D1007" s="14" t="s">
        <v>278</v>
      </c>
      <c r="E1007" s="18" t="s">
        <v>9</v>
      </c>
      <c r="F1007" s="17" t="s">
        <v>23</v>
      </c>
      <c r="G1007" s="17">
        <f>G1002</f>
        <v>0</v>
      </c>
      <c r="H1007" s="13">
        <f t="shared" si="15"/>
        <v>0</v>
      </c>
    </row>
    <row r="1008" spans="2:8" ht="13.5" thickBot="1" x14ac:dyDescent="0.35">
      <c r="B1008" s="9">
        <f>COUNT($B$4:B1007)+1</f>
        <v>446</v>
      </c>
      <c r="C1008" s="10" t="s">
        <v>716</v>
      </c>
      <c r="D1008" s="10"/>
      <c r="E1008" s="11" t="s">
        <v>9</v>
      </c>
      <c r="F1008" s="12" t="s">
        <v>23</v>
      </c>
      <c r="G1008" s="12"/>
      <c r="H1008" s="13">
        <f t="shared" si="15"/>
        <v>0</v>
      </c>
    </row>
    <row r="1009" spans="2:8" ht="13.5" thickBot="1" x14ac:dyDescent="0.35">
      <c r="B1009" s="9"/>
      <c r="C1009" s="14" t="s">
        <v>449</v>
      </c>
      <c r="D1009" s="14" t="s">
        <v>278</v>
      </c>
      <c r="E1009" s="18" t="s">
        <v>0</v>
      </c>
      <c r="F1009" s="17" t="s">
        <v>23</v>
      </c>
      <c r="G1009" s="17">
        <f>G1008*8</f>
        <v>0</v>
      </c>
      <c r="H1009" s="13">
        <f t="shared" si="15"/>
        <v>0</v>
      </c>
    </row>
    <row r="1010" spans="2:8" ht="13.5" thickBot="1" x14ac:dyDescent="0.35">
      <c r="B1010" s="9"/>
      <c r="C1010" s="14" t="s">
        <v>717</v>
      </c>
      <c r="D1010" s="14" t="s">
        <v>278</v>
      </c>
      <c r="E1010" s="18" t="s">
        <v>9</v>
      </c>
      <c r="F1010" s="17" t="s">
        <v>23</v>
      </c>
      <c r="G1010" s="17">
        <f>G1008</f>
        <v>0</v>
      </c>
      <c r="H1010" s="13">
        <f t="shared" si="15"/>
        <v>0</v>
      </c>
    </row>
    <row r="1011" spans="2:8" ht="13.5" thickBot="1" x14ac:dyDescent="0.35">
      <c r="B1011" s="9"/>
      <c r="C1011" s="14" t="s">
        <v>451</v>
      </c>
      <c r="D1011" s="14" t="s">
        <v>278</v>
      </c>
      <c r="E1011" s="18" t="s">
        <v>0</v>
      </c>
      <c r="F1011" s="17" t="s">
        <v>23</v>
      </c>
      <c r="G1011" s="17">
        <f>G1008*8</f>
        <v>0</v>
      </c>
      <c r="H1011" s="13">
        <f t="shared" si="15"/>
        <v>0</v>
      </c>
    </row>
    <row r="1012" spans="2:8" ht="13.5" thickBot="1" x14ac:dyDescent="0.35">
      <c r="B1012" s="9"/>
      <c r="C1012" s="14" t="s">
        <v>452</v>
      </c>
      <c r="D1012" s="14" t="s">
        <v>278</v>
      </c>
      <c r="E1012" s="18" t="s">
        <v>0</v>
      </c>
      <c r="F1012" s="17" t="s">
        <v>23</v>
      </c>
      <c r="G1012" s="17">
        <f>G1008*8</f>
        <v>0</v>
      </c>
      <c r="H1012" s="13">
        <f t="shared" si="15"/>
        <v>0</v>
      </c>
    </row>
    <row r="1013" spans="2:8" ht="13.5" thickBot="1" x14ac:dyDescent="0.35">
      <c r="B1013" s="9"/>
      <c r="C1013" s="14" t="s">
        <v>718</v>
      </c>
      <c r="D1013" s="14" t="s">
        <v>278</v>
      </c>
      <c r="E1013" s="18" t="s">
        <v>9</v>
      </c>
      <c r="F1013" s="17" t="s">
        <v>23</v>
      </c>
      <c r="G1013" s="17">
        <f>G1008</f>
        <v>0</v>
      </c>
      <c r="H1013" s="13">
        <f t="shared" si="15"/>
        <v>0</v>
      </c>
    </row>
    <row r="1014" spans="2:8" ht="13.5" thickBot="1" x14ac:dyDescent="0.35">
      <c r="B1014" s="9">
        <f>COUNT($B$4:B1013)+1</f>
        <v>447</v>
      </c>
      <c r="C1014" s="10" t="s">
        <v>719</v>
      </c>
      <c r="D1014" s="10"/>
      <c r="E1014" s="11" t="s">
        <v>9</v>
      </c>
      <c r="F1014" s="12" t="s">
        <v>23</v>
      </c>
      <c r="G1014" s="12"/>
      <c r="H1014" s="13">
        <f t="shared" si="15"/>
        <v>0</v>
      </c>
    </row>
    <row r="1015" spans="2:8" ht="13.5" thickBot="1" x14ac:dyDescent="0.35">
      <c r="B1015" s="9"/>
      <c r="C1015" s="14" t="s">
        <v>449</v>
      </c>
      <c r="D1015" s="14" t="s">
        <v>278</v>
      </c>
      <c r="E1015" s="18" t="s">
        <v>0</v>
      </c>
      <c r="F1015" s="17" t="s">
        <v>23</v>
      </c>
      <c r="G1015" s="17">
        <f>G1014*8</f>
        <v>0</v>
      </c>
      <c r="H1015" s="13">
        <f t="shared" si="15"/>
        <v>0</v>
      </c>
    </row>
    <row r="1016" spans="2:8" ht="13.5" thickBot="1" x14ac:dyDescent="0.35">
      <c r="B1016" s="9"/>
      <c r="C1016" s="14" t="s">
        <v>720</v>
      </c>
      <c r="D1016" s="14" t="s">
        <v>278</v>
      </c>
      <c r="E1016" s="18" t="s">
        <v>9</v>
      </c>
      <c r="F1016" s="17" t="s">
        <v>23</v>
      </c>
      <c r="G1016" s="17">
        <f>G1014</f>
        <v>0</v>
      </c>
      <c r="H1016" s="13">
        <f t="shared" si="15"/>
        <v>0</v>
      </c>
    </row>
    <row r="1017" spans="2:8" ht="13.5" thickBot="1" x14ac:dyDescent="0.35">
      <c r="B1017" s="9"/>
      <c r="C1017" s="14" t="s">
        <v>451</v>
      </c>
      <c r="D1017" s="14" t="s">
        <v>278</v>
      </c>
      <c r="E1017" s="18" t="s">
        <v>0</v>
      </c>
      <c r="F1017" s="17" t="s">
        <v>23</v>
      </c>
      <c r="G1017" s="17">
        <f>G1014*8</f>
        <v>0</v>
      </c>
      <c r="H1017" s="13">
        <f t="shared" si="15"/>
        <v>0</v>
      </c>
    </row>
    <row r="1018" spans="2:8" ht="13.5" thickBot="1" x14ac:dyDescent="0.35">
      <c r="B1018" s="9"/>
      <c r="C1018" s="14" t="s">
        <v>452</v>
      </c>
      <c r="D1018" s="14" t="s">
        <v>278</v>
      </c>
      <c r="E1018" s="18" t="s">
        <v>0</v>
      </c>
      <c r="F1018" s="17" t="s">
        <v>23</v>
      </c>
      <c r="G1018" s="17">
        <f>G1014*8</f>
        <v>0</v>
      </c>
      <c r="H1018" s="13">
        <f t="shared" si="15"/>
        <v>0</v>
      </c>
    </row>
    <row r="1019" spans="2:8" ht="13.5" thickBot="1" x14ac:dyDescent="0.35">
      <c r="B1019" s="9"/>
      <c r="C1019" s="14" t="s">
        <v>721</v>
      </c>
      <c r="D1019" s="14" t="s">
        <v>278</v>
      </c>
      <c r="E1019" s="18" t="s">
        <v>9</v>
      </c>
      <c r="F1019" s="17" t="s">
        <v>23</v>
      </c>
      <c r="G1019" s="17">
        <f>G1014</f>
        <v>0</v>
      </c>
      <c r="H1019" s="13">
        <f t="shared" si="15"/>
        <v>0</v>
      </c>
    </row>
    <row r="1020" spans="2:8" ht="13.5" thickBot="1" x14ac:dyDescent="0.35">
      <c r="B1020" s="9">
        <f>COUNT($B$4:B1019)+1</f>
        <v>448</v>
      </c>
      <c r="C1020" s="10" t="s">
        <v>722</v>
      </c>
      <c r="D1020" s="10"/>
      <c r="E1020" s="11" t="s">
        <v>9</v>
      </c>
      <c r="F1020" s="12" t="s">
        <v>23</v>
      </c>
      <c r="G1020" s="12"/>
      <c r="H1020" s="13">
        <f t="shared" si="15"/>
        <v>0</v>
      </c>
    </row>
    <row r="1021" spans="2:8" ht="13.5" thickBot="1" x14ac:dyDescent="0.35">
      <c r="B1021" s="9"/>
      <c r="C1021" s="14" t="s">
        <v>449</v>
      </c>
      <c r="D1021" s="14" t="s">
        <v>278</v>
      </c>
      <c r="E1021" s="18" t="s">
        <v>0</v>
      </c>
      <c r="F1021" s="17" t="s">
        <v>23</v>
      </c>
      <c r="G1021" s="17">
        <f>G1020*8</f>
        <v>0</v>
      </c>
      <c r="H1021" s="13">
        <f t="shared" si="15"/>
        <v>0</v>
      </c>
    </row>
    <row r="1022" spans="2:8" ht="13.5" thickBot="1" x14ac:dyDescent="0.35">
      <c r="B1022" s="9"/>
      <c r="C1022" s="14" t="s">
        <v>723</v>
      </c>
      <c r="D1022" s="14" t="s">
        <v>278</v>
      </c>
      <c r="E1022" s="18" t="s">
        <v>9</v>
      </c>
      <c r="F1022" s="17" t="s">
        <v>23</v>
      </c>
      <c r="G1022" s="17">
        <f>G1020</f>
        <v>0</v>
      </c>
      <c r="H1022" s="13">
        <f t="shared" si="15"/>
        <v>0</v>
      </c>
    </row>
    <row r="1023" spans="2:8" ht="13.5" thickBot="1" x14ac:dyDescent="0.35">
      <c r="B1023" s="9"/>
      <c r="C1023" s="14" t="s">
        <v>451</v>
      </c>
      <c r="D1023" s="14" t="s">
        <v>278</v>
      </c>
      <c r="E1023" s="18" t="s">
        <v>0</v>
      </c>
      <c r="F1023" s="17" t="s">
        <v>23</v>
      </c>
      <c r="G1023" s="17">
        <f>G1020*8</f>
        <v>0</v>
      </c>
      <c r="H1023" s="13">
        <f t="shared" si="15"/>
        <v>0</v>
      </c>
    </row>
    <row r="1024" spans="2:8" ht="13.5" thickBot="1" x14ac:dyDescent="0.35">
      <c r="B1024" s="9"/>
      <c r="C1024" s="14" t="s">
        <v>452</v>
      </c>
      <c r="D1024" s="14" t="s">
        <v>278</v>
      </c>
      <c r="E1024" s="18" t="s">
        <v>0</v>
      </c>
      <c r="F1024" s="17" t="s">
        <v>23</v>
      </c>
      <c r="G1024" s="17">
        <f>G1020*8</f>
        <v>0</v>
      </c>
      <c r="H1024" s="13">
        <f t="shared" si="15"/>
        <v>0</v>
      </c>
    </row>
    <row r="1025" spans="2:8" ht="13.5" thickBot="1" x14ac:dyDescent="0.35">
      <c r="B1025" s="9"/>
      <c r="C1025" s="14" t="s">
        <v>724</v>
      </c>
      <c r="D1025" s="14" t="s">
        <v>278</v>
      </c>
      <c r="E1025" s="18" t="s">
        <v>9</v>
      </c>
      <c r="F1025" s="17" t="s">
        <v>23</v>
      </c>
      <c r="G1025" s="17">
        <f>G1020</f>
        <v>0</v>
      </c>
      <c r="H1025" s="13">
        <f t="shared" si="15"/>
        <v>0</v>
      </c>
    </row>
    <row r="1026" spans="2:8" ht="13.5" thickBot="1" x14ac:dyDescent="0.35">
      <c r="B1026" s="9">
        <f>COUNT($B$4:B1025)+1</f>
        <v>449</v>
      </c>
      <c r="C1026" s="10" t="s">
        <v>725</v>
      </c>
      <c r="D1026" s="10"/>
      <c r="E1026" s="11" t="s">
        <v>9</v>
      </c>
      <c r="F1026" s="12" t="s">
        <v>23</v>
      </c>
      <c r="G1026" s="12"/>
      <c r="H1026" s="13">
        <f t="shared" si="15"/>
        <v>0</v>
      </c>
    </row>
    <row r="1027" spans="2:8" ht="13.5" thickBot="1" x14ac:dyDescent="0.35">
      <c r="B1027" s="9"/>
      <c r="C1027" s="14" t="s">
        <v>449</v>
      </c>
      <c r="D1027" s="14" t="s">
        <v>278</v>
      </c>
      <c r="E1027" s="18" t="s">
        <v>0</v>
      </c>
      <c r="F1027" s="17" t="s">
        <v>23</v>
      </c>
      <c r="G1027" s="17">
        <f>G1026*8</f>
        <v>0</v>
      </c>
      <c r="H1027" s="13">
        <f t="shared" si="15"/>
        <v>0</v>
      </c>
    </row>
    <row r="1028" spans="2:8" ht="13.5" thickBot="1" x14ac:dyDescent="0.35">
      <c r="B1028" s="9"/>
      <c r="C1028" s="14" t="s">
        <v>726</v>
      </c>
      <c r="D1028" s="14" t="s">
        <v>278</v>
      </c>
      <c r="E1028" s="18" t="s">
        <v>9</v>
      </c>
      <c r="F1028" s="17" t="s">
        <v>23</v>
      </c>
      <c r="G1028" s="17">
        <f>G1026</f>
        <v>0</v>
      </c>
      <c r="H1028" s="13">
        <f t="shared" si="15"/>
        <v>0</v>
      </c>
    </row>
    <row r="1029" spans="2:8" ht="13.5" thickBot="1" x14ac:dyDescent="0.35">
      <c r="B1029" s="9"/>
      <c r="C1029" s="14" t="s">
        <v>451</v>
      </c>
      <c r="D1029" s="14" t="s">
        <v>278</v>
      </c>
      <c r="E1029" s="18" t="s">
        <v>0</v>
      </c>
      <c r="F1029" s="17" t="s">
        <v>23</v>
      </c>
      <c r="G1029" s="17">
        <f>G1026*8</f>
        <v>0</v>
      </c>
      <c r="H1029" s="13">
        <f t="shared" ref="H1029:H1092" si="16">SUM(G1029:G1029)</f>
        <v>0</v>
      </c>
    </row>
    <row r="1030" spans="2:8" ht="13.5" thickBot="1" x14ac:dyDescent="0.35">
      <c r="B1030" s="9"/>
      <c r="C1030" s="14" t="s">
        <v>452</v>
      </c>
      <c r="D1030" s="14" t="s">
        <v>278</v>
      </c>
      <c r="E1030" s="18" t="s">
        <v>0</v>
      </c>
      <c r="F1030" s="17" t="s">
        <v>23</v>
      </c>
      <c r="G1030" s="17">
        <f>G1026*8</f>
        <v>0</v>
      </c>
      <c r="H1030" s="13">
        <f t="shared" si="16"/>
        <v>0</v>
      </c>
    </row>
    <row r="1031" spans="2:8" ht="13.5" thickBot="1" x14ac:dyDescent="0.35">
      <c r="B1031" s="9"/>
      <c r="C1031" s="14" t="s">
        <v>727</v>
      </c>
      <c r="D1031" s="14" t="s">
        <v>278</v>
      </c>
      <c r="E1031" s="18" t="s">
        <v>9</v>
      </c>
      <c r="F1031" s="17" t="s">
        <v>23</v>
      </c>
      <c r="G1031" s="17">
        <f>G1026</f>
        <v>0</v>
      </c>
      <c r="H1031" s="13">
        <f t="shared" si="16"/>
        <v>0</v>
      </c>
    </row>
    <row r="1032" spans="2:8" ht="13.5" thickBot="1" x14ac:dyDescent="0.35">
      <c r="B1032" s="9">
        <f>COUNT($B$4:B1031)+1</f>
        <v>450</v>
      </c>
      <c r="C1032" s="10" t="s">
        <v>728</v>
      </c>
      <c r="D1032" s="10"/>
      <c r="E1032" s="11" t="s">
        <v>9</v>
      </c>
      <c r="F1032" s="12" t="s">
        <v>23</v>
      </c>
      <c r="G1032" s="12"/>
      <c r="H1032" s="13">
        <f t="shared" si="16"/>
        <v>0</v>
      </c>
    </row>
    <row r="1033" spans="2:8" ht="13.5" thickBot="1" x14ac:dyDescent="0.35">
      <c r="B1033" s="9"/>
      <c r="C1033" s="14" t="s">
        <v>449</v>
      </c>
      <c r="D1033" s="14" t="s">
        <v>278</v>
      </c>
      <c r="E1033" s="18" t="s">
        <v>0</v>
      </c>
      <c r="F1033" s="17" t="s">
        <v>23</v>
      </c>
      <c r="G1033" s="17">
        <f>G1032*8</f>
        <v>0</v>
      </c>
      <c r="H1033" s="13">
        <f t="shared" si="16"/>
        <v>0</v>
      </c>
    </row>
    <row r="1034" spans="2:8" ht="13.5" thickBot="1" x14ac:dyDescent="0.35">
      <c r="B1034" s="9"/>
      <c r="C1034" s="14" t="s">
        <v>729</v>
      </c>
      <c r="D1034" s="14" t="s">
        <v>278</v>
      </c>
      <c r="E1034" s="18" t="s">
        <v>9</v>
      </c>
      <c r="F1034" s="17" t="s">
        <v>23</v>
      </c>
      <c r="G1034" s="17">
        <f>G1032</f>
        <v>0</v>
      </c>
      <c r="H1034" s="13">
        <f t="shared" si="16"/>
        <v>0</v>
      </c>
    </row>
    <row r="1035" spans="2:8" ht="13.5" thickBot="1" x14ac:dyDescent="0.35">
      <c r="B1035" s="9"/>
      <c r="C1035" s="14" t="s">
        <v>451</v>
      </c>
      <c r="D1035" s="14" t="s">
        <v>278</v>
      </c>
      <c r="E1035" s="18" t="s">
        <v>0</v>
      </c>
      <c r="F1035" s="17" t="s">
        <v>23</v>
      </c>
      <c r="G1035" s="17">
        <f>G1032*8</f>
        <v>0</v>
      </c>
      <c r="H1035" s="13">
        <f t="shared" si="16"/>
        <v>0</v>
      </c>
    </row>
    <row r="1036" spans="2:8" ht="13.5" thickBot="1" x14ac:dyDescent="0.35">
      <c r="B1036" s="9"/>
      <c r="C1036" s="14" t="s">
        <v>452</v>
      </c>
      <c r="D1036" s="14" t="s">
        <v>278</v>
      </c>
      <c r="E1036" s="18" t="s">
        <v>0</v>
      </c>
      <c r="F1036" s="17" t="s">
        <v>23</v>
      </c>
      <c r="G1036" s="17">
        <f>G1032*8</f>
        <v>0</v>
      </c>
      <c r="H1036" s="13">
        <f t="shared" si="16"/>
        <v>0</v>
      </c>
    </row>
    <row r="1037" spans="2:8" ht="13.5" thickBot="1" x14ac:dyDescent="0.35">
      <c r="B1037" s="9"/>
      <c r="C1037" s="14" t="s">
        <v>730</v>
      </c>
      <c r="D1037" s="14" t="s">
        <v>278</v>
      </c>
      <c r="E1037" s="18" t="s">
        <v>9</v>
      </c>
      <c r="F1037" s="17" t="s">
        <v>23</v>
      </c>
      <c r="G1037" s="17">
        <f>G1032</f>
        <v>0</v>
      </c>
      <c r="H1037" s="13">
        <f t="shared" si="16"/>
        <v>0</v>
      </c>
    </row>
    <row r="1038" spans="2:8" ht="13.5" thickBot="1" x14ac:dyDescent="0.35">
      <c r="B1038" s="9">
        <f>COUNT($B$4:B1037)+1</f>
        <v>451</v>
      </c>
      <c r="C1038" s="10" t="s">
        <v>731</v>
      </c>
      <c r="D1038" s="10"/>
      <c r="E1038" s="11" t="s">
        <v>9</v>
      </c>
      <c r="F1038" s="12" t="s">
        <v>23</v>
      </c>
      <c r="G1038" s="12"/>
      <c r="H1038" s="13">
        <f t="shared" si="16"/>
        <v>0</v>
      </c>
    </row>
    <row r="1039" spans="2:8" ht="13.5" thickBot="1" x14ac:dyDescent="0.35">
      <c r="B1039" s="9"/>
      <c r="C1039" s="14" t="s">
        <v>449</v>
      </c>
      <c r="D1039" s="14" t="s">
        <v>278</v>
      </c>
      <c r="E1039" s="18" t="s">
        <v>0</v>
      </c>
      <c r="F1039" s="17" t="s">
        <v>23</v>
      </c>
      <c r="G1039" s="17">
        <f>G1038*8</f>
        <v>0</v>
      </c>
      <c r="H1039" s="13">
        <f t="shared" si="16"/>
        <v>0</v>
      </c>
    </row>
    <row r="1040" spans="2:8" ht="13.5" thickBot="1" x14ac:dyDescent="0.35">
      <c r="B1040" s="9"/>
      <c r="C1040" s="14" t="s">
        <v>732</v>
      </c>
      <c r="D1040" s="14" t="s">
        <v>278</v>
      </c>
      <c r="E1040" s="18" t="s">
        <v>9</v>
      </c>
      <c r="F1040" s="17" t="s">
        <v>23</v>
      </c>
      <c r="G1040" s="17">
        <f>G1038</f>
        <v>0</v>
      </c>
      <c r="H1040" s="13">
        <f t="shared" si="16"/>
        <v>0</v>
      </c>
    </row>
    <row r="1041" spans="2:8" ht="13.5" thickBot="1" x14ac:dyDescent="0.35">
      <c r="B1041" s="9"/>
      <c r="C1041" s="14" t="s">
        <v>451</v>
      </c>
      <c r="D1041" s="14" t="s">
        <v>278</v>
      </c>
      <c r="E1041" s="18" t="s">
        <v>0</v>
      </c>
      <c r="F1041" s="17" t="s">
        <v>23</v>
      </c>
      <c r="G1041" s="17">
        <f>G1038*8</f>
        <v>0</v>
      </c>
      <c r="H1041" s="13">
        <f t="shared" si="16"/>
        <v>0</v>
      </c>
    </row>
    <row r="1042" spans="2:8" ht="13.5" thickBot="1" x14ac:dyDescent="0.35">
      <c r="B1042" s="9"/>
      <c r="C1042" s="14" t="s">
        <v>452</v>
      </c>
      <c r="D1042" s="14" t="s">
        <v>278</v>
      </c>
      <c r="E1042" s="18" t="s">
        <v>0</v>
      </c>
      <c r="F1042" s="17" t="s">
        <v>23</v>
      </c>
      <c r="G1042" s="17">
        <f>G1038*8</f>
        <v>0</v>
      </c>
      <c r="H1042" s="13">
        <f t="shared" si="16"/>
        <v>0</v>
      </c>
    </row>
    <row r="1043" spans="2:8" ht="13.5" thickBot="1" x14ac:dyDescent="0.35">
      <c r="B1043" s="9"/>
      <c r="C1043" s="14" t="s">
        <v>733</v>
      </c>
      <c r="D1043" s="14" t="s">
        <v>278</v>
      </c>
      <c r="E1043" s="18" t="s">
        <v>9</v>
      </c>
      <c r="F1043" s="17" t="s">
        <v>23</v>
      </c>
      <c r="G1043" s="17">
        <f>G1038</f>
        <v>0</v>
      </c>
      <c r="H1043" s="13">
        <f t="shared" si="16"/>
        <v>0</v>
      </c>
    </row>
    <row r="1044" spans="2:8" ht="13.5" thickBot="1" x14ac:dyDescent="0.35">
      <c r="B1044" s="9">
        <f>COUNT($B$4:B1043)+1</f>
        <v>452</v>
      </c>
      <c r="C1044" s="10" t="s">
        <v>734</v>
      </c>
      <c r="D1044" s="10"/>
      <c r="E1044" s="11" t="s">
        <v>9</v>
      </c>
      <c r="F1044" s="12" t="s">
        <v>23</v>
      </c>
      <c r="G1044" s="12"/>
      <c r="H1044" s="13">
        <f t="shared" si="16"/>
        <v>0</v>
      </c>
    </row>
    <row r="1045" spans="2:8" ht="13.5" thickBot="1" x14ac:dyDescent="0.35">
      <c r="B1045" s="9"/>
      <c r="C1045" s="14" t="s">
        <v>449</v>
      </c>
      <c r="D1045" s="14" t="s">
        <v>278</v>
      </c>
      <c r="E1045" s="18" t="s">
        <v>0</v>
      </c>
      <c r="F1045" s="17" t="s">
        <v>23</v>
      </c>
      <c r="G1045" s="17">
        <f>G1044*8</f>
        <v>0</v>
      </c>
      <c r="H1045" s="13">
        <f t="shared" si="16"/>
        <v>0</v>
      </c>
    </row>
    <row r="1046" spans="2:8" ht="13.5" thickBot="1" x14ac:dyDescent="0.35">
      <c r="B1046" s="9"/>
      <c r="C1046" s="14" t="s">
        <v>735</v>
      </c>
      <c r="D1046" s="14" t="s">
        <v>278</v>
      </c>
      <c r="E1046" s="18" t="s">
        <v>9</v>
      </c>
      <c r="F1046" s="17" t="s">
        <v>23</v>
      </c>
      <c r="G1046" s="17">
        <f>G1044</f>
        <v>0</v>
      </c>
      <c r="H1046" s="13">
        <f t="shared" si="16"/>
        <v>0</v>
      </c>
    </row>
    <row r="1047" spans="2:8" ht="13.5" thickBot="1" x14ac:dyDescent="0.35">
      <c r="B1047" s="9"/>
      <c r="C1047" s="14" t="s">
        <v>451</v>
      </c>
      <c r="D1047" s="14" t="s">
        <v>278</v>
      </c>
      <c r="E1047" s="18" t="s">
        <v>0</v>
      </c>
      <c r="F1047" s="17" t="s">
        <v>23</v>
      </c>
      <c r="G1047" s="17">
        <f>G1044*8</f>
        <v>0</v>
      </c>
      <c r="H1047" s="13">
        <f t="shared" si="16"/>
        <v>0</v>
      </c>
    </row>
    <row r="1048" spans="2:8" ht="13.5" thickBot="1" x14ac:dyDescent="0.35">
      <c r="B1048" s="9"/>
      <c r="C1048" s="14" t="s">
        <v>452</v>
      </c>
      <c r="D1048" s="14" t="s">
        <v>278</v>
      </c>
      <c r="E1048" s="18" t="s">
        <v>0</v>
      </c>
      <c r="F1048" s="17" t="s">
        <v>23</v>
      </c>
      <c r="G1048" s="17">
        <f>G1044*8</f>
        <v>0</v>
      </c>
      <c r="H1048" s="13">
        <f t="shared" si="16"/>
        <v>0</v>
      </c>
    </row>
    <row r="1049" spans="2:8" ht="13.5" thickBot="1" x14ac:dyDescent="0.35">
      <c r="B1049" s="9"/>
      <c r="C1049" s="14" t="s">
        <v>736</v>
      </c>
      <c r="D1049" s="14" t="s">
        <v>278</v>
      </c>
      <c r="E1049" s="18" t="s">
        <v>9</v>
      </c>
      <c r="F1049" s="17" t="s">
        <v>23</v>
      </c>
      <c r="G1049" s="17">
        <f>G1044</f>
        <v>0</v>
      </c>
      <c r="H1049" s="13">
        <f t="shared" si="16"/>
        <v>0</v>
      </c>
    </row>
    <row r="1050" spans="2:8" ht="13.5" thickBot="1" x14ac:dyDescent="0.35">
      <c r="B1050" s="9">
        <f>COUNT($B$4:B1049)+1</f>
        <v>453</v>
      </c>
      <c r="C1050" s="10" t="s">
        <v>737</v>
      </c>
      <c r="D1050" s="10"/>
      <c r="E1050" s="11" t="s">
        <v>9</v>
      </c>
      <c r="F1050" s="12" t="s">
        <v>23</v>
      </c>
      <c r="G1050" s="12"/>
      <c r="H1050" s="13">
        <f t="shared" si="16"/>
        <v>0</v>
      </c>
    </row>
    <row r="1051" spans="2:8" ht="13.5" thickBot="1" x14ac:dyDescent="0.35">
      <c r="B1051" s="9"/>
      <c r="C1051" s="14" t="s">
        <v>449</v>
      </c>
      <c r="D1051" s="14" t="s">
        <v>278</v>
      </c>
      <c r="E1051" s="18" t="s">
        <v>0</v>
      </c>
      <c r="F1051" s="17" t="s">
        <v>23</v>
      </c>
      <c r="G1051" s="17">
        <f>G1050*8</f>
        <v>0</v>
      </c>
      <c r="H1051" s="13">
        <f t="shared" si="16"/>
        <v>0</v>
      </c>
    </row>
    <row r="1052" spans="2:8" ht="13.5" thickBot="1" x14ac:dyDescent="0.35">
      <c r="B1052" s="9"/>
      <c r="C1052" s="14" t="s">
        <v>738</v>
      </c>
      <c r="D1052" s="14" t="s">
        <v>278</v>
      </c>
      <c r="E1052" s="18" t="s">
        <v>9</v>
      </c>
      <c r="F1052" s="17" t="s">
        <v>23</v>
      </c>
      <c r="G1052" s="17">
        <f>G1050</f>
        <v>0</v>
      </c>
      <c r="H1052" s="13">
        <f t="shared" si="16"/>
        <v>0</v>
      </c>
    </row>
    <row r="1053" spans="2:8" ht="13.5" thickBot="1" x14ac:dyDescent="0.35">
      <c r="B1053" s="9"/>
      <c r="C1053" s="14" t="s">
        <v>451</v>
      </c>
      <c r="D1053" s="14" t="s">
        <v>278</v>
      </c>
      <c r="E1053" s="18" t="s">
        <v>0</v>
      </c>
      <c r="F1053" s="17" t="s">
        <v>23</v>
      </c>
      <c r="G1053" s="17">
        <f>G1050*8</f>
        <v>0</v>
      </c>
      <c r="H1053" s="13">
        <f t="shared" si="16"/>
        <v>0</v>
      </c>
    </row>
    <row r="1054" spans="2:8" ht="13.5" thickBot="1" x14ac:dyDescent="0.35">
      <c r="B1054" s="9"/>
      <c r="C1054" s="14" t="s">
        <v>452</v>
      </c>
      <c r="D1054" s="14" t="s">
        <v>278</v>
      </c>
      <c r="E1054" s="18" t="s">
        <v>0</v>
      </c>
      <c r="F1054" s="17" t="s">
        <v>23</v>
      </c>
      <c r="G1054" s="17">
        <f>G1050*8</f>
        <v>0</v>
      </c>
      <c r="H1054" s="13">
        <f t="shared" si="16"/>
        <v>0</v>
      </c>
    </row>
    <row r="1055" spans="2:8" ht="13.5" thickBot="1" x14ac:dyDescent="0.35">
      <c r="B1055" s="9"/>
      <c r="C1055" s="14" t="s">
        <v>739</v>
      </c>
      <c r="D1055" s="14" t="s">
        <v>278</v>
      </c>
      <c r="E1055" s="18" t="s">
        <v>9</v>
      </c>
      <c r="F1055" s="17" t="s">
        <v>23</v>
      </c>
      <c r="G1055" s="17">
        <f>G1050</f>
        <v>0</v>
      </c>
      <c r="H1055" s="13">
        <f t="shared" si="16"/>
        <v>0</v>
      </c>
    </row>
    <row r="1056" spans="2:8" ht="13.5" thickBot="1" x14ac:dyDescent="0.35">
      <c r="B1056" s="9">
        <f>COUNT($B$4:B1055)+1</f>
        <v>454</v>
      </c>
      <c r="C1056" s="10" t="s">
        <v>740</v>
      </c>
      <c r="D1056" s="10"/>
      <c r="E1056" s="11" t="s">
        <v>5</v>
      </c>
      <c r="F1056" s="12" t="s">
        <v>23</v>
      </c>
      <c r="G1056" s="12"/>
      <c r="H1056" s="13">
        <f t="shared" si="16"/>
        <v>0</v>
      </c>
    </row>
    <row r="1057" spans="2:8" ht="13.5" thickBot="1" x14ac:dyDescent="0.35">
      <c r="B1057" s="9"/>
      <c r="C1057" s="14" t="s">
        <v>740</v>
      </c>
      <c r="D1057" s="14"/>
      <c r="E1057" s="18" t="s">
        <v>5</v>
      </c>
      <c r="F1057" s="17" t="s">
        <v>23</v>
      </c>
      <c r="G1057" s="17">
        <f>G1056</f>
        <v>0</v>
      </c>
      <c r="H1057" s="13">
        <f t="shared" si="16"/>
        <v>0</v>
      </c>
    </row>
    <row r="1058" spans="2:8" ht="13.5" thickBot="1" x14ac:dyDescent="0.35">
      <c r="B1058" s="9"/>
      <c r="C1058" s="14" t="s">
        <v>65</v>
      </c>
      <c r="D1058" s="14" t="s">
        <v>42</v>
      </c>
      <c r="E1058" s="18" t="s">
        <v>5</v>
      </c>
      <c r="F1058" s="17" t="s">
        <v>23</v>
      </c>
      <c r="G1058" s="17">
        <f>G1056</f>
        <v>0</v>
      </c>
      <c r="H1058" s="13">
        <f t="shared" si="16"/>
        <v>0</v>
      </c>
    </row>
    <row r="1059" spans="2:8" ht="13.5" thickBot="1" x14ac:dyDescent="0.35">
      <c r="B1059" s="9">
        <f>COUNT($B$4:B1058)+1</f>
        <v>455</v>
      </c>
      <c r="C1059" s="10" t="s">
        <v>741</v>
      </c>
      <c r="D1059" s="10"/>
      <c r="E1059" s="11" t="s">
        <v>9</v>
      </c>
      <c r="F1059" s="12" t="s">
        <v>51</v>
      </c>
      <c r="G1059" s="12"/>
      <c r="H1059" s="13">
        <f t="shared" si="16"/>
        <v>0</v>
      </c>
    </row>
    <row r="1060" spans="2:8" ht="13.5" thickBot="1" x14ac:dyDescent="0.35">
      <c r="B1060" s="9"/>
      <c r="C1060" s="14" t="s">
        <v>449</v>
      </c>
      <c r="D1060" s="14" t="s">
        <v>278</v>
      </c>
      <c r="E1060" s="18" t="s">
        <v>0</v>
      </c>
      <c r="F1060" s="17" t="s">
        <v>23</v>
      </c>
      <c r="G1060" s="17">
        <f>ROUNDUP(G1059/3*4+G1059/1.5*2,0)</f>
        <v>0</v>
      </c>
      <c r="H1060" s="13">
        <f t="shared" si="16"/>
        <v>0</v>
      </c>
    </row>
    <row r="1061" spans="2:8" ht="13.5" thickBot="1" x14ac:dyDescent="0.35">
      <c r="B1061" s="9"/>
      <c r="C1061" s="14" t="s">
        <v>742</v>
      </c>
      <c r="D1061" s="14" t="s">
        <v>278</v>
      </c>
      <c r="E1061" s="18" t="s">
        <v>9</v>
      </c>
      <c r="F1061" s="17" t="s">
        <v>23</v>
      </c>
      <c r="G1061" s="17">
        <f>ROUNDUP(G1059/1.5,0)</f>
        <v>0</v>
      </c>
      <c r="H1061" s="13">
        <f t="shared" si="16"/>
        <v>0</v>
      </c>
    </row>
    <row r="1062" spans="2:8" ht="13.5" thickBot="1" x14ac:dyDescent="0.35">
      <c r="B1062" s="9"/>
      <c r="C1062" s="14" t="s">
        <v>743</v>
      </c>
      <c r="D1062" s="14" t="s">
        <v>278</v>
      </c>
      <c r="E1062" s="18" t="s">
        <v>0</v>
      </c>
      <c r="F1062" s="17" t="s">
        <v>23</v>
      </c>
      <c r="G1062" s="17">
        <f>ROUNDUP(G1059/1.5*2,0)</f>
        <v>0</v>
      </c>
      <c r="H1062" s="13">
        <f t="shared" si="16"/>
        <v>0</v>
      </c>
    </row>
    <row r="1063" spans="2:8" ht="13.5" thickBot="1" x14ac:dyDescent="0.35">
      <c r="B1063" s="9"/>
      <c r="C1063" s="14" t="s">
        <v>744</v>
      </c>
      <c r="D1063" s="14" t="s">
        <v>278</v>
      </c>
      <c r="E1063" s="18" t="s">
        <v>9</v>
      </c>
      <c r="F1063" s="17" t="s">
        <v>23</v>
      </c>
      <c r="G1063" s="17">
        <f>ROUNDUP(G1059/3,0)</f>
        <v>0</v>
      </c>
      <c r="H1063" s="13">
        <f t="shared" si="16"/>
        <v>0</v>
      </c>
    </row>
    <row r="1064" spans="2:8" ht="13.5" thickBot="1" x14ac:dyDescent="0.35">
      <c r="B1064" s="9"/>
      <c r="C1064" s="14" t="s">
        <v>745</v>
      </c>
      <c r="D1064" s="14" t="s">
        <v>278</v>
      </c>
      <c r="E1064" s="18" t="s">
        <v>9</v>
      </c>
      <c r="F1064" s="17" t="s">
        <v>23</v>
      </c>
      <c r="G1064" s="17">
        <f>ROUNDUP(G1059/3,0)</f>
        <v>0</v>
      </c>
      <c r="H1064" s="13">
        <f t="shared" si="16"/>
        <v>0</v>
      </c>
    </row>
    <row r="1065" spans="2:8" ht="13.5" thickBot="1" x14ac:dyDescent="0.35">
      <c r="B1065" s="9"/>
      <c r="C1065" s="14" t="s">
        <v>451</v>
      </c>
      <c r="D1065" s="14" t="s">
        <v>278</v>
      </c>
      <c r="E1065" s="18" t="s">
        <v>0</v>
      </c>
      <c r="F1065" s="17" t="s">
        <v>23</v>
      </c>
      <c r="G1065" s="17">
        <f>ROUNDUP(G1059/3*4,0)</f>
        <v>0</v>
      </c>
      <c r="H1065" s="13">
        <f t="shared" si="16"/>
        <v>0</v>
      </c>
    </row>
    <row r="1066" spans="2:8" ht="13.5" thickBot="1" x14ac:dyDescent="0.35">
      <c r="B1066" s="9"/>
      <c r="C1066" s="14" t="s">
        <v>746</v>
      </c>
      <c r="D1066" s="14" t="s">
        <v>278</v>
      </c>
      <c r="E1066" s="18" t="s">
        <v>0</v>
      </c>
      <c r="F1066" s="17" t="s">
        <v>23</v>
      </c>
      <c r="G1066" s="17">
        <f>ROUNDUP(G1059/1.5*2,0)</f>
        <v>0</v>
      </c>
      <c r="H1066" s="13">
        <f t="shared" si="16"/>
        <v>0</v>
      </c>
    </row>
    <row r="1067" spans="2:8" ht="13.5" thickBot="1" x14ac:dyDescent="0.35">
      <c r="B1067" s="9"/>
      <c r="C1067" s="14" t="s">
        <v>452</v>
      </c>
      <c r="D1067" s="14" t="s">
        <v>278</v>
      </c>
      <c r="E1067" s="18" t="s">
        <v>0</v>
      </c>
      <c r="F1067" s="17" t="s">
        <v>23</v>
      </c>
      <c r="G1067" s="17">
        <f>ROUNDUP(G1059/3*4+G1059/1.5*2,0)</f>
        <v>0</v>
      </c>
      <c r="H1067" s="13">
        <f t="shared" si="16"/>
        <v>0</v>
      </c>
    </row>
    <row r="1068" spans="2:8" ht="13.5" thickBot="1" x14ac:dyDescent="0.35">
      <c r="B1068" s="9"/>
      <c r="C1068" s="14" t="s">
        <v>747</v>
      </c>
      <c r="D1068" s="14" t="s">
        <v>278</v>
      </c>
      <c r="E1068" s="18" t="s">
        <v>9</v>
      </c>
      <c r="F1068" s="17" t="s">
        <v>23</v>
      </c>
      <c r="G1068" s="17">
        <f>ROUNDUP(G1059/1.5,0)</f>
        <v>0</v>
      </c>
      <c r="H1068" s="13">
        <f t="shared" si="16"/>
        <v>0</v>
      </c>
    </row>
    <row r="1069" spans="2:8" ht="13.5" thickBot="1" x14ac:dyDescent="0.35">
      <c r="B1069" s="9"/>
      <c r="C1069" s="14" t="s">
        <v>748</v>
      </c>
      <c r="D1069" s="14" t="s">
        <v>278</v>
      </c>
      <c r="E1069" s="18" t="s">
        <v>9</v>
      </c>
      <c r="F1069" s="17" t="s">
        <v>23</v>
      </c>
      <c r="G1069" s="17">
        <f>ROUNDUP(G1059/3,0)</f>
        <v>0</v>
      </c>
      <c r="H1069" s="13">
        <f t="shared" si="16"/>
        <v>0</v>
      </c>
    </row>
    <row r="1070" spans="2:8" ht="13.5" thickBot="1" x14ac:dyDescent="0.35">
      <c r="B1070" s="9"/>
      <c r="C1070" s="14" t="s">
        <v>749</v>
      </c>
      <c r="D1070" s="14" t="s">
        <v>278</v>
      </c>
      <c r="E1070" s="18" t="s">
        <v>9</v>
      </c>
      <c r="F1070" s="17" t="s">
        <v>23</v>
      </c>
      <c r="G1070" s="17">
        <f>ROUNDUP(G1059/3,0)</f>
        <v>0</v>
      </c>
      <c r="H1070" s="13">
        <f t="shared" si="16"/>
        <v>0</v>
      </c>
    </row>
    <row r="1071" spans="2:8" ht="13.5" thickBot="1" x14ac:dyDescent="0.35">
      <c r="B1071" s="9">
        <f>COUNT($B$4:B1070)+1</f>
        <v>456</v>
      </c>
      <c r="C1071" s="10" t="s">
        <v>750</v>
      </c>
      <c r="D1071" s="10"/>
      <c r="E1071" s="11" t="s">
        <v>9</v>
      </c>
      <c r="F1071" s="12" t="s">
        <v>51</v>
      </c>
      <c r="G1071" s="12"/>
      <c r="H1071" s="13">
        <f t="shared" si="16"/>
        <v>0</v>
      </c>
    </row>
    <row r="1072" spans="2:8" ht="13.5" thickBot="1" x14ac:dyDescent="0.35">
      <c r="B1072" s="9"/>
      <c r="C1072" s="14" t="s">
        <v>449</v>
      </c>
      <c r="D1072" s="14" t="s">
        <v>278</v>
      </c>
      <c r="E1072" s="18" t="s">
        <v>0</v>
      </c>
      <c r="F1072" s="17" t="s">
        <v>23</v>
      </c>
      <c r="G1072" s="17">
        <f>ROUNDUP(G1071/3*4+G1071/1.5*2,0)</f>
        <v>0</v>
      </c>
      <c r="H1072" s="13">
        <f t="shared" si="16"/>
        <v>0</v>
      </c>
    </row>
    <row r="1073" spans="2:8" ht="13.5" thickBot="1" x14ac:dyDescent="0.35">
      <c r="B1073" s="9"/>
      <c r="C1073" s="14" t="s">
        <v>742</v>
      </c>
      <c r="D1073" s="14" t="s">
        <v>278</v>
      </c>
      <c r="E1073" s="18" t="s">
        <v>9</v>
      </c>
      <c r="F1073" s="17" t="s">
        <v>23</v>
      </c>
      <c r="G1073" s="17">
        <f>ROUNDUP(G1071/1.5,0)</f>
        <v>0</v>
      </c>
      <c r="H1073" s="13">
        <f t="shared" si="16"/>
        <v>0</v>
      </c>
    </row>
    <row r="1074" spans="2:8" ht="13.5" thickBot="1" x14ac:dyDescent="0.35">
      <c r="B1074" s="9"/>
      <c r="C1074" s="14" t="s">
        <v>743</v>
      </c>
      <c r="D1074" s="14" t="s">
        <v>278</v>
      </c>
      <c r="E1074" s="18" t="s">
        <v>0</v>
      </c>
      <c r="F1074" s="17" t="s">
        <v>23</v>
      </c>
      <c r="G1074" s="17">
        <f>ROUNDUP(G1071/1.5*2,0)</f>
        <v>0</v>
      </c>
      <c r="H1074" s="13">
        <f t="shared" si="16"/>
        <v>0</v>
      </c>
    </row>
    <row r="1075" spans="2:8" ht="13.5" thickBot="1" x14ac:dyDescent="0.35">
      <c r="B1075" s="9"/>
      <c r="C1075" s="14" t="s">
        <v>751</v>
      </c>
      <c r="D1075" s="14" t="s">
        <v>278</v>
      </c>
      <c r="E1075" s="18" t="s">
        <v>9</v>
      </c>
      <c r="F1075" s="17" t="s">
        <v>23</v>
      </c>
      <c r="G1075" s="17">
        <f>ROUNDUP(G1071/3,0)</f>
        <v>0</v>
      </c>
      <c r="H1075" s="13">
        <f t="shared" si="16"/>
        <v>0</v>
      </c>
    </row>
    <row r="1076" spans="2:8" ht="13.5" thickBot="1" x14ac:dyDescent="0.35">
      <c r="B1076" s="9"/>
      <c r="C1076" s="14" t="s">
        <v>752</v>
      </c>
      <c r="D1076" s="14" t="s">
        <v>278</v>
      </c>
      <c r="E1076" s="18" t="s">
        <v>9</v>
      </c>
      <c r="F1076" s="17" t="s">
        <v>23</v>
      </c>
      <c r="G1076" s="17">
        <f>ROUNDUP(G1071/3,0)</f>
        <v>0</v>
      </c>
      <c r="H1076" s="13">
        <f t="shared" si="16"/>
        <v>0</v>
      </c>
    </row>
    <row r="1077" spans="2:8" ht="13.5" thickBot="1" x14ac:dyDescent="0.35">
      <c r="B1077" s="9"/>
      <c r="C1077" s="14" t="s">
        <v>451</v>
      </c>
      <c r="D1077" s="14" t="s">
        <v>278</v>
      </c>
      <c r="E1077" s="18" t="s">
        <v>0</v>
      </c>
      <c r="F1077" s="17" t="s">
        <v>23</v>
      </c>
      <c r="G1077" s="17">
        <f>ROUNDUP(G1071/3*4,0)</f>
        <v>0</v>
      </c>
      <c r="H1077" s="13">
        <f t="shared" si="16"/>
        <v>0</v>
      </c>
    </row>
    <row r="1078" spans="2:8" ht="13.5" thickBot="1" x14ac:dyDescent="0.35">
      <c r="B1078" s="9"/>
      <c r="C1078" s="14" t="s">
        <v>746</v>
      </c>
      <c r="D1078" s="14" t="s">
        <v>278</v>
      </c>
      <c r="E1078" s="18" t="s">
        <v>0</v>
      </c>
      <c r="F1078" s="17" t="s">
        <v>23</v>
      </c>
      <c r="G1078" s="17">
        <f>ROUNDUP(G1071/1.5*2,0)</f>
        <v>0</v>
      </c>
      <c r="H1078" s="13">
        <f t="shared" si="16"/>
        <v>0</v>
      </c>
    </row>
    <row r="1079" spans="2:8" ht="13.5" thickBot="1" x14ac:dyDescent="0.35">
      <c r="B1079" s="9"/>
      <c r="C1079" s="14" t="s">
        <v>452</v>
      </c>
      <c r="D1079" s="14" t="s">
        <v>278</v>
      </c>
      <c r="E1079" s="18" t="s">
        <v>0</v>
      </c>
      <c r="F1079" s="17" t="s">
        <v>23</v>
      </c>
      <c r="G1079" s="17">
        <f>ROUNDUP(G1071/3*4+G1071/1.5*2,0)</f>
        <v>0</v>
      </c>
      <c r="H1079" s="13">
        <f t="shared" si="16"/>
        <v>0</v>
      </c>
    </row>
    <row r="1080" spans="2:8" ht="13.5" thickBot="1" x14ac:dyDescent="0.35">
      <c r="B1080" s="9"/>
      <c r="C1080" s="14" t="s">
        <v>753</v>
      </c>
      <c r="D1080" s="14" t="s">
        <v>278</v>
      </c>
      <c r="E1080" s="18" t="s">
        <v>9</v>
      </c>
      <c r="F1080" s="17" t="s">
        <v>23</v>
      </c>
      <c r="G1080" s="17">
        <f>ROUNDUP(G1071/1.5,0)</f>
        <v>0</v>
      </c>
      <c r="H1080" s="13">
        <f t="shared" si="16"/>
        <v>0</v>
      </c>
    </row>
    <row r="1081" spans="2:8" ht="13.5" thickBot="1" x14ac:dyDescent="0.35">
      <c r="B1081" s="9"/>
      <c r="C1081" s="14" t="s">
        <v>754</v>
      </c>
      <c r="D1081" s="14" t="s">
        <v>278</v>
      </c>
      <c r="E1081" s="18" t="s">
        <v>9</v>
      </c>
      <c r="F1081" s="17" t="s">
        <v>23</v>
      </c>
      <c r="G1081" s="17">
        <f>ROUNDUP(G1071/3,0)</f>
        <v>0</v>
      </c>
      <c r="H1081" s="13">
        <f t="shared" si="16"/>
        <v>0</v>
      </c>
    </row>
    <row r="1082" spans="2:8" ht="13.5" thickBot="1" x14ac:dyDescent="0.35">
      <c r="B1082" s="9"/>
      <c r="C1082" s="14" t="s">
        <v>749</v>
      </c>
      <c r="D1082" s="14" t="s">
        <v>278</v>
      </c>
      <c r="E1082" s="18" t="s">
        <v>9</v>
      </c>
      <c r="F1082" s="17" t="s">
        <v>23</v>
      </c>
      <c r="G1082" s="17">
        <f>ROUNDUP(G1071/3,0)</f>
        <v>0</v>
      </c>
      <c r="H1082" s="13">
        <f t="shared" si="16"/>
        <v>0</v>
      </c>
    </row>
    <row r="1083" spans="2:8" ht="13.5" thickBot="1" x14ac:dyDescent="0.35">
      <c r="B1083" s="9">
        <f>COUNT($B$4:B1082)+1</f>
        <v>457</v>
      </c>
      <c r="C1083" s="10" t="s">
        <v>755</v>
      </c>
      <c r="D1083" s="10"/>
      <c r="E1083" s="11" t="s">
        <v>9</v>
      </c>
      <c r="F1083" s="12" t="s">
        <v>51</v>
      </c>
      <c r="G1083" s="12"/>
      <c r="H1083" s="13">
        <f t="shared" si="16"/>
        <v>0</v>
      </c>
    </row>
    <row r="1084" spans="2:8" ht="13.5" thickBot="1" x14ac:dyDescent="0.35">
      <c r="B1084" s="9"/>
      <c r="C1084" s="14" t="s">
        <v>449</v>
      </c>
      <c r="D1084" s="14" t="s">
        <v>278</v>
      </c>
      <c r="E1084" s="18" t="s">
        <v>0</v>
      </c>
      <c r="F1084" s="17" t="s">
        <v>23</v>
      </c>
      <c r="G1084" s="17">
        <f>ROUNDUP(G1083/3*4+G1083/1.5*2,0)</f>
        <v>0</v>
      </c>
      <c r="H1084" s="13">
        <f t="shared" si="16"/>
        <v>0</v>
      </c>
    </row>
    <row r="1085" spans="2:8" ht="13.5" thickBot="1" x14ac:dyDescent="0.35">
      <c r="B1085" s="9"/>
      <c r="C1085" s="14" t="s">
        <v>742</v>
      </c>
      <c r="D1085" s="14" t="s">
        <v>278</v>
      </c>
      <c r="E1085" s="18" t="s">
        <v>9</v>
      </c>
      <c r="F1085" s="17" t="s">
        <v>23</v>
      </c>
      <c r="G1085" s="17">
        <f>ROUNDUP(G1083/1.5,0)</f>
        <v>0</v>
      </c>
      <c r="H1085" s="13">
        <f t="shared" si="16"/>
        <v>0</v>
      </c>
    </row>
    <row r="1086" spans="2:8" ht="13.5" thickBot="1" x14ac:dyDescent="0.35">
      <c r="B1086" s="9"/>
      <c r="C1086" s="14" t="s">
        <v>743</v>
      </c>
      <c r="D1086" s="14" t="s">
        <v>278</v>
      </c>
      <c r="E1086" s="18" t="s">
        <v>0</v>
      </c>
      <c r="F1086" s="17" t="s">
        <v>23</v>
      </c>
      <c r="G1086" s="17">
        <f>ROUNDUP(G1083/1.5*2,0)</f>
        <v>0</v>
      </c>
      <c r="H1086" s="13">
        <f t="shared" si="16"/>
        <v>0</v>
      </c>
    </row>
    <row r="1087" spans="2:8" ht="13.5" thickBot="1" x14ac:dyDescent="0.35">
      <c r="B1087" s="9"/>
      <c r="C1087" s="14" t="s">
        <v>756</v>
      </c>
      <c r="D1087" s="14" t="s">
        <v>278</v>
      </c>
      <c r="E1087" s="18" t="s">
        <v>9</v>
      </c>
      <c r="F1087" s="17" t="s">
        <v>23</v>
      </c>
      <c r="G1087" s="17">
        <f>ROUNDUP(G1083/3,0)</f>
        <v>0</v>
      </c>
      <c r="H1087" s="13">
        <f t="shared" si="16"/>
        <v>0</v>
      </c>
    </row>
    <row r="1088" spans="2:8" ht="13.5" thickBot="1" x14ac:dyDescent="0.35">
      <c r="B1088" s="9"/>
      <c r="C1088" s="14" t="s">
        <v>757</v>
      </c>
      <c r="D1088" s="14" t="s">
        <v>278</v>
      </c>
      <c r="E1088" s="18" t="s">
        <v>9</v>
      </c>
      <c r="F1088" s="17" t="s">
        <v>23</v>
      </c>
      <c r="G1088" s="17">
        <f>ROUNDUP(G1083/3,0)</f>
        <v>0</v>
      </c>
      <c r="H1088" s="13">
        <f t="shared" si="16"/>
        <v>0</v>
      </c>
    </row>
    <row r="1089" spans="2:8" ht="13.5" thickBot="1" x14ac:dyDescent="0.35">
      <c r="B1089" s="9"/>
      <c r="C1089" s="14" t="s">
        <v>451</v>
      </c>
      <c r="D1089" s="14" t="s">
        <v>278</v>
      </c>
      <c r="E1089" s="18" t="s">
        <v>0</v>
      </c>
      <c r="F1089" s="17" t="s">
        <v>23</v>
      </c>
      <c r="G1089" s="17">
        <f>ROUNDUP(G1083/3*4,0)</f>
        <v>0</v>
      </c>
      <c r="H1089" s="13">
        <f t="shared" si="16"/>
        <v>0</v>
      </c>
    </row>
    <row r="1090" spans="2:8" ht="13.5" thickBot="1" x14ac:dyDescent="0.35">
      <c r="B1090" s="9"/>
      <c r="C1090" s="14" t="s">
        <v>746</v>
      </c>
      <c r="D1090" s="14" t="s">
        <v>278</v>
      </c>
      <c r="E1090" s="18" t="s">
        <v>0</v>
      </c>
      <c r="F1090" s="17" t="s">
        <v>23</v>
      </c>
      <c r="G1090" s="17">
        <f>ROUNDUP(G1083/1.5*2,0)</f>
        <v>0</v>
      </c>
      <c r="H1090" s="13">
        <f t="shared" si="16"/>
        <v>0</v>
      </c>
    </row>
    <row r="1091" spans="2:8" ht="13.5" thickBot="1" x14ac:dyDescent="0.35">
      <c r="B1091" s="9"/>
      <c r="C1091" s="14" t="s">
        <v>452</v>
      </c>
      <c r="D1091" s="14" t="s">
        <v>278</v>
      </c>
      <c r="E1091" s="18" t="s">
        <v>0</v>
      </c>
      <c r="F1091" s="17" t="s">
        <v>23</v>
      </c>
      <c r="G1091" s="17">
        <f>ROUNDUP(G1083/3*4+G1083/1.5*2,0)</f>
        <v>0</v>
      </c>
      <c r="H1091" s="13">
        <f t="shared" si="16"/>
        <v>0</v>
      </c>
    </row>
    <row r="1092" spans="2:8" ht="13.5" thickBot="1" x14ac:dyDescent="0.35">
      <c r="B1092" s="9"/>
      <c r="C1092" s="14" t="s">
        <v>758</v>
      </c>
      <c r="D1092" s="14" t="s">
        <v>278</v>
      </c>
      <c r="E1092" s="18" t="s">
        <v>9</v>
      </c>
      <c r="F1092" s="17" t="s">
        <v>23</v>
      </c>
      <c r="G1092" s="17">
        <f>ROUNDUP(G1083/1.5,0)</f>
        <v>0</v>
      </c>
      <c r="H1092" s="13">
        <f t="shared" si="16"/>
        <v>0</v>
      </c>
    </row>
    <row r="1093" spans="2:8" ht="13.5" thickBot="1" x14ac:dyDescent="0.35">
      <c r="B1093" s="9"/>
      <c r="C1093" s="14" t="s">
        <v>759</v>
      </c>
      <c r="D1093" s="14" t="s">
        <v>278</v>
      </c>
      <c r="E1093" s="18" t="s">
        <v>9</v>
      </c>
      <c r="F1093" s="17" t="s">
        <v>23</v>
      </c>
      <c r="G1093" s="17">
        <f>ROUNDUP(G1083/3,0)</f>
        <v>0</v>
      </c>
      <c r="H1093" s="13">
        <f t="shared" ref="H1093:H1156" si="17">SUM(G1093:G1093)</f>
        <v>0</v>
      </c>
    </row>
    <row r="1094" spans="2:8" ht="13.5" thickBot="1" x14ac:dyDescent="0.35">
      <c r="B1094" s="9"/>
      <c r="C1094" s="14" t="s">
        <v>749</v>
      </c>
      <c r="D1094" s="14" t="s">
        <v>278</v>
      </c>
      <c r="E1094" s="18" t="s">
        <v>9</v>
      </c>
      <c r="F1094" s="17" t="s">
        <v>23</v>
      </c>
      <c r="G1094" s="17">
        <f>ROUNDUP(G1083/3,0)</f>
        <v>0</v>
      </c>
      <c r="H1094" s="13">
        <f t="shared" si="17"/>
        <v>0</v>
      </c>
    </row>
    <row r="1095" spans="2:8" ht="13.5" thickBot="1" x14ac:dyDescent="0.35">
      <c r="B1095" s="9">
        <f>COUNT($B$4:B1094)+1</f>
        <v>458</v>
      </c>
      <c r="C1095" s="10" t="s">
        <v>760</v>
      </c>
      <c r="D1095" s="10"/>
      <c r="E1095" s="11" t="s">
        <v>9</v>
      </c>
      <c r="F1095" s="12" t="s">
        <v>51</v>
      </c>
      <c r="G1095" s="12"/>
      <c r="H1095" s="13">
        <f t="shared" si="17"/>
        <v>0</v>
      </c>
    </row>
    <row r="1096" spans="2:8" ht="13.5" thickBot="1" x14ac:dyDescent="0.35">
      <c r="B1096" s="9"/>
      <c r="C1096" s="14" t="s">
        <v>449</v>
      </c>
      <c r="D1096" s="14" t="s">
        <v>278</v>
      </c>
      <c r="E1096" s="18" t="s">
        <v>0</v>
      </c>
      <c r="F1096" s="17" t="s">
        <v>23</v>
      </c>
      <c r="G1096" s="17">
        <f>ROUNDUP(G1095/3*4+G1095/1.5*2,0)</f>
        <v>0</v>
      </c>
      <c r="H1096" s="13">
        <f t="shared" si="17"/>
        <v>0</v>
      </c>
    </row>
    <row r="1097" spans="2:8" ht="13.5" thickBot="1" x14ac:dyDescent="0.35">
      <c r="B1097" s="9"/>
      <c r="C1097" s="14" t="s">
        <v>742</v>
      </c>
      <c r="D1097" s="14" t="s">
        <v>278</v>
      </c>
      <c r="E1097" s="18" t="s">
        <v>9</v>
      </c>
      <c r="F1097" s="17" t="s">
        <v>23</v>
      </c>
      <c r="G1097" s="17">
        <f>ROUNDUP(G1095/1.5,0)</f>
        <v>0</v>
      </c>
      <c r="H1097" s="13">
        <f t="shared" si="17"/>
        <v>0</v>
      </c>
    </row>
    <row r="1098" spans="2:8" ht="13.5" thickBot="1" x14ac:dyDescent="0.35">
      <c r="B1098" s="9"/>
      <c r="C1098" s="14" t="s">
        <v>743</v>
      </c>
      <c r="D1098" s="14" t="s">
        <v>278</v>
      </c>
      <c r="E1098" s="18" t="s">
        <v>0</v>
      </c>
      <c r="F1098" s="17" t="s">
        <v>23</v>
      </c>
      <c r="G1098" s="17">
        <f>ROUNDUP(G1095/1.5*2,0)</f>
        <v>0</v>
      </c>
      <c r="H1098" s="13">
        <f t="shared" si="17"/>
        <v>0</v>
      </c>
    </row>
    <row r="1099" spans="2:8" ht="13.5" thickBot="1" x14ac:dyDescent="0.35">
      <c r="B1099" s="9"/>
      <c r="C1099" s="14" t="s">
        <v>761</v>
      </c>
      <c r="D1099" s="14" t="s">
        <v>278</v>
      </c>
      <c r="E1099" s="18" t="s">
        <v>9</v>
      </c>
      <c r="F1099" s="17" t="s">
        <v>23</v>
      </c>
      <c r="G1099" s="17">
        <f>ROUNDUP(G1095/3,0)</f>
        <v>0</v>
      </c>
      <c r="H1099" s="13">
        <f t="shared" si="17"/>
        <v>0</v>
      </c>
    </row>
    <row r="1100" spans="2:8" ht="13.5" thickBot="1" x14ac:dyDescent="0.35">
      <c r="B1100" s="9"/>
      <c r="C1100" s="14" t="s">
        <v>762</v>
      </c>
      <c r="D1100" s="14" t="s">
        <v>278</v>
      </c>
      <c r="E1100" s="18" t="s">
        <v>9</v>
      </c>
      <c r="F1100" s="17" t="s">
        <v>23</v>
      </c>
      <c r="G1100" s="17">
        <f>ROUNDUP(G1095/3,0)</f>
        <v>0</v>
      </c>
      <c r="H1100" s="13">
        <f t="shared" si="17"/>
        <v>0</v>
      </c>
    </row>
    <row r="1101" spans="2:8" ht="13.5" thickBot="1" x14ac:dyDescent="0.35">
      <c r="B1101" s="9"/>
      <c r="C1101" s="14" t="s">
        <v>451</v>
      </c>
      <c r="D1101" s="14" t="s">
        <v>278</v>
      </c>
      <c r="E1101" s="18" t="s">
        <v>0</v>
      </c>
      <c r="F1101" s="17" t="s">
        <v>23</v>
      </c>
      <c r="G1101" s="17">
        <f>ROUNDUP(G1095/3*4,0)</f>
        <v>0</v>
      </c>
      <c r="H1101" s="13">
        <f t="shared" si="17"/>
        <v>0</v>
      </c>
    </row>
    <row r="1102" spans="2:8" ht="13.5" thickBot="1" x14ac:dyDescent="0.35">
      <c r="B1102" s="9"/>
      <c r="C1102" s="14" t="s">
        <v>746</v>
      </c>
      <c r="D1102" s="14" t="s">
        <v>278</v>
      </c>
      <c r="E1102" s="18" t="s">
        <v>0</v>
      </c>
      <c r="F1102" s="17" t="s">
        <v>23</v>
      </c>
      <c r="G1102" s="17">
        <f>ROUNDUP(G1095/1.5*2,0)</f>
        <v>0</v>
      </c>
      <c r="H1102" s="13">
        <f t="shared" si="17"/>
        <v>0</v>
      </c>
    </row>
    <row r="1103" spans="2:8" ht="13.5" thickBot="1" x14ac:dyDescent="0.35">
      <c r="B1103" s="9"/>
      <c r="C1103" s="14" t="s">
        <v>452</v>
      </c>
      <c r="D1103" s="14" t="s">
        <v>278</v>
      </c>
      <c r="E1103" s="18" t="s">
        <v>0</v>
      </c>
      <c r="F1103" s="17" t="s">
        <v>23</v>
      </c>
      <c r="G1103" s="17">
        <f>ROUNDUP(G1095/3*4+G1095/1.5*2,0)</f>
        <v>0</v>
      </c>
      <c r="H1103" s="13">
        <f t="shared" si="17"/>
        <v>0</v>
      </c>
    </row>
    <row r="1104" spans="2:8" ht="13.5" thickBot="1" x14ac:dyDescent="0.35">
      <c r="B1104" s="9"/>
      <c r="C1104" s="14" t="s">
        <v>763</v>
      </c>
      <c r="D1104" s="14" t="s">
        <v>278</v>
      </c>
      <c r="E1104" s="18" t="s">
        <v>9</v>
      </c>
      <c r="F1104" s="17" t="s">
        <v>23</v>
      </c>
      <c r="G1104" s="17">
        <f>ROUNDUP(G1095/1.5,0)</f>
        <v>0</v>
      </c>
      <c r="H1104" s="13">
        <f t="shared" si="17"/>
        <v>0</v>
      </c>
    </row>
    <row r="1105" spans="2:8" ht="13.5" thickBot="1" x14ac:dyDescent="0.35">
      <c r="B1105" s="9"/>
      <c r="C1105" s="14" t="s">
        <v>764</v>
      </c>
      <c r="D1105" s="14" t="s">
        <v>278</v>
      </c>
      <c r="E1105" s="18" t="s">
        <v>9</v>
      </c>
      <c r="F1105" s="17" t="s">
        <v>23</v>
      </c>
      <c r="G1105" s="17">
        <f>ROUNDUP(G1095/3,0)</f>
        <v>0</v>
      </c>
      <c r="H1105" s="13">
        <f t="shared" si="17"/>
        <v>0</v>
      </c>
    </row>
    <row r="1106" spans="2:8" ht="13.5" thickBot="1" x14ac:dyDescent="0.35">
      <c r="B1106" s="9"/>
      <c r="C1106" s="14" t="s">
        <v>749</v>
      </c>
      <c r="D1106" s="14" t="s">
        <v>278</v>
      </c>
      <c r="E1106" s="18" t="s">
        <v>9</v>
      </c>
      <c r="F1106" s="17" t="s">
        <v>23</v>
      </c>
      <c r="G1106" s="17">
        <f>ROUNDUP(G1095/3,0)</f>
        <v>0</v>
      </c>
      <c r="H1106" s="13">
        <f t="shared" si="17"/>
        <v>0</v>
      </c>
    </row>
    <row r="1107" spans="2:8" ht="13.5" thickBot="1" x14ac:dyDescent="0.35">
      <c r="B1107" s="9">
        <f>COUNT($B$4:B1106)+1</f>
        <v>459</v>
      </c>
      <c r="C1107" s="10" t="s">
        <v>765</v>
      </c>
      <c r="D1107" s="10"/>
      <c r="E1107" s="11" t="s">
        <v>9</v>
      </c>
      <c r="F1107" s="12" t="s">
        <v>51</v>
      </c>
      <c r="G1107" s="12"/>
      <c r="H1107" s="13">
        <f t="shared" si="17"/>
        <v>0</v>
      </c>
    </row>
    <row r="1108" spans="2:8" ht="13.5" thickBot="1" x14ac:dyDescent="0.35">
      <c r="B1108" s="9"/>
      <c r="C1108" s="14" t="s">
        <v>449</v>
      </c>
      <c r="D1108" s="14" t="s">
        <v>278</v>
      </c>
      <c r="E1108" s="18" t="s">
        <v>0</v>
      </c>
      <c r="F1108" s="17" t="s">
        <v>23</v>
      </c>
      <c r="G1108" s="17">
        <f>ROUNDUP(G1107/3*4+G1107/1.5*2,0)</f>
        <v>0</v>
      </c>
      <c r="H1108" s="13">
        <f t="shared" si="17"/>
        <v>0</v>
      </c>
    </row>
    <row r="1109" spans="2:8" ht="13.5" thickBot="1" x14ac:dyDescent="0.35">
      <c r="B1109" s="9"/>
      <c r="C1109" s="14" t="s">
        <v>742</v>
      </c>
      <c r="D1109" s="14" t="s">
        <v>278</v>
      </c>
      <c r="E1109" s="18" t="s">
        <v>9</v>
      </c>
      <c r="F1109" s="17" t="s">
        <v>23</v>
      </c>
      <c r="G1109" s="17">
        <f>ROUNDUP(G1107/1.5,0)</f>
        <v>0</v>
      </c>
      <c r="H1109" s="13">
        <f t="shared" si="17"/>
        <v>0</v>
      </c>
    </row>
    <row r="1110" spans="2:8" ht="13.5" thickBot="1" x14ac:dyDescent="0.35">
      <c r="B1110" s="9"/>
      <c r="C1110" s="14" t="s">
        <v>743</v>
      </c>
      <c r="D1110" s="14" t="s">
        <v>278</v>
      </c>
      <c r="E1110" s="18" t="s">
        <v>0</v>
      </c>
      <c r="F1110" s="17" t="s">
        <v>23</v>
      </c>
      <c r="G1110" s="17">
        <f>ROUNDUP(G1107/1.5*2,0)</f>
        <v>0</v>
      </c>
      <c r="H1110" s="13">
        <f t="shared" si="17"/>
        <v>0</v>
      </c>
    </row>
    <row r="1111" spans="2:8" ht="13.5" thickBot="1" x14ac:dyDescent="0.35">
      <c r="B1111" s="9"/>
      <c r="C1111" s="14" t="s">
        <v>766</v>
      </c>
      <c r="D1111" s="14" t="s">
        <v>278</v>
      </c>
      <c r="E1111" s="18" t="s">
        <v>9</v>
      </c>
      <c r="F1111" s="17" t="s">
        <v>23</v>
      </c>
      <c r="G1111" s="17">
        <f>ROUNDUP(G1107/3,0)</f>
        <v>0</v>
      </c>
      <c r="H1111" s="13">
        <f t="shared" si="17"/>
        <v>0</v>
      </c>
    </row>
    <row r="1112" spans="2:8" ht="13.5" thickBot="1" x14ac:dyDescent="0.35">
      <c r="B1112" s="9"/>
      <c r="C1112" s="14" t="s">
        <v>767</v>
      </c>
      <c r="D1112" s="14" t="s">
        <v>278</v>
      </c>
      <c r="E1112" s="18" t="s">
        <v>9</v>
      </c>
      <c r="F1112" s="17" t="s">
        <v>23</v>
      </c>
      <c r="G1112" s="17">
        <f>ROUNDUP(G1107/3,0)</f>
        <v>0</v>
      </c>
      <c r="H1112" s="13">
        <f t="shared" si="17"/>
        <v>0</v>
      </c>
    </row>
    <row r="1113" spans="2:8" ht="13.5" thickBot="1" x14ac:dyDescent="0.35">
      <c r="B1113" s="9"/>
      <c r="C1113" s="14" t="s">
        <v>451</v>
      </c>
      <c r="D1113" s="14" t="s">
        <v>278</v>
      </c>
      <c r="E1113" s="18" t="s">
        <v>0</v>
      </c>
      <c r="F1113" s="17" t="s">
        <v>23</v>
      </c>
      <c r="G1113" s="17">
        <f>ROUNDUP(G1107/3*4,0)</f>
        <v>0</v>
      </c>
      <c r="H1113" s="13">
        <f t="shared" si="17"/>
        <v>0</v>
      </c>
    </row>
    <row r="1114" spans="2:8" ht="13.5" thickBot="1" x14ac:dyDescent="0.35">
      <c r="B1114" s="9"/>
      <c r="C1114" s="14" t="s">
        <v>746</v>
      </c>
      <c r="D1114" s="14" t="s">
        <v>278</v>
      </c>
      <c r="E1114" s="18" t="s">
        <v>0</v>
      </c>
      <c r="F1114" s="17" t="s">
        <v>23</v>
      </c>
      <c r="G1114" s="17">
        <f>ROUNDUP(G1107/1.5*2,0)</f>
        <v>0</v>
      </c>
      <c r="H1114" s="13">
        <f t="shared" si="17"/>
        <v>0</v>
      </c>
    </row>
    <row r="1115" spans="2:8" ht="13.5" thickBot="1" x14ac:dyDescent="0.35">
      <c r="B1115" s="9"/>
      <c r="C1115" s="14" t="s">
        <v>452</v>
      </c>
      <c r="D1115" s="14" t="s">
        <v>278</v>
      </c>
      <c r="E1115" s="18" t="s">
        <v>0</v>
      </c>
      <c r="F1115" s="17" t="s">
        <v>23</v>
      </c>
      <c r="G1115" s="17">
        <f>ROUNDUP(G1107/3*4+G1107/1.5*2,0)</f>
        <v>0</v>
      </c>
      <c r="H1115" s="13">
        <f t="shared" si="17"/>
        <v>0</v>
      </c>
    </row>
    <row r="1116" spans="2:8" ht="13.5" thickBot="1" x14ac:dyDescent="0.35">
      <c r="B1116" s="9"/>
      <c r="C1116" s="14" t="s">
        <v>768</v>
      </c>
      <c r="D1116" s="14" t="s">
        <v>278</v>
      </c>
      <c r="E1116" s="18" t="s">
        <v>9</v>
      </c>
      <c r="F1116" s="17" t="s">
        <v>23</v>
      </c>
      <c r="G1116" s="17">
        <f>ROUNDUP(G1107/1.5,0)</f>
        <v>0</v>
      </c>
      <c r="H1116" s="13">
        <f t="shared" si="17"/>
        <v>0</v>
      </c>
    </row>
    <row r="1117" spans="2:8" ht="13.5" thickBot="1" x14ac:dyDescent="0.35">
      <c r="B1117" s="9"/>
      <c r="C1117" s="14" t="s">
        <v>769</v>
      </c>
      <c r="D1117" s="14" t="s">
        <v>278</v>
      </c>
      <c r="E1117" s="18" t="s">
        <v>9</v>
      </c>
      <c r="F1117" s="17" t="s">
        <v>23</v>
      </c>
      <c r="G1117" s="17">
        <f>ROUNDUP(G1107/3,0)</f>
        <v>0</v>
      </c>
      <c r="H1117" s="13">
        <f t="shared" si="17"/>
        <v>0</v>
      </c>
    </row>
    <row r="1118" spans="2:8" ht="13.5" thickBot="1" x14ac:dyDescent="0.35">
      <c r="B1118" s="9"/>
      <c r="C1118" s="14" t="s">
        <v>749</v>
      </c>
      <c r="D1118" s="14" t="s">
        <v>278</v>
      </c>
      <c r="E1118" s="18" t="s">
        <v>9</v>
      </c>
      <c r="F1118" s="17" t="s">
        <v>23</v>
      </c>
      <c r="G1118" s="17">
        <f>ROUNDUP(G1107/3,0)</f>
        <v>0</v>
      </c>
      <c r="H1118" s="13">
        <f t="shared" si="17"/>
        <v>0</v>
      </c>
    </row>
    <row r="1119" spans="2:8" ht="13.5" thickBot="1" x14ac:dyDescent="0.35">
      <c r="B1119" s="9">
        <f>COUNT($B$4:B1118)+1</f>
        <v>460</v>
      </c>
      <c r="C1119" s="10" t="s">
        <v>770</v>
      </c>
      <c r="D1119" s="10"/>
      <c r="E1119" s="11" t="s">
        <v>9</v>
      </c>
      <c r="F1119" s="12" t="s">
        <v>51</v>
      </c>
      <c r="G1119" s="12"/>
      <c r="H1119" s="13">
        <f t="shared" si="17"/>
        <v>0</v>
      </c>
    </row>
    <row r="1120" spans="2:8" ht="13.5" thickBot="1" x14ac:dyDescent="0.35">
      <c r="B1120" s="9"/>
      <c r="C1120" s="14" t="s">
        <v>449</v>
      </c>
      <c r="D1120" s="14" t="s">
        <v>278</v>
      </c>
      <c r="E1120" s="18" t="s">
        <v>0</v>
      </c>
      <c r="F1120" s="17" t="s">
        <v>23</v>
      </c>
      <c r="G1120" s="17">
        <f>ROUNDUP(G1119/3*4+G1119/1.5*4,0)</f>
        <v>0</v>
      </c>
      <c r="H1120" s="13">
        <f t="shared" si="17"/>
        <v>0</v>
      </c>
    </row>
    <row r="1121" spans="2:8" ht="13.5" thickBot="1" x14ac:dyDescent="0.35">
      <c r="B1121" s="9"/>
      <c r="C1121" s="14" t="s">
        <v>742</v>
      </c>
      <c r="D1121" s="14" t="s">
        <v>278</v>
      </c>
      <c r="E1121" s="18" t="s">
        <v>9</v>
      </c>
      <c r="F1121" s="17" t="s">
        <v>23</v>
      </c>
      <c r="G1121" s="17">
        <f>ROUNDUP(G1119/1.5*2,0)</f>
        <v>0</v>
      </c>
      <c r="H1121" s="13">
        <f t="shared" si="17"/>
        <v>0</v>
      </c>
    </row>
    <row r="1122" spans="2:8" ht="13.5" thickBot="1" x14ac:dyDescent="0.35">
      <c r="B1122" s="9"/>
      <c r="C1122" s="14" t="s">
        <v>743</v>
      </c>
      <c r="D1122" s="14" t="s">
        <v>278</v>
      </c>
      <c r="E1122" s="18" t="s">
        <v>0</v>
      </c>
      <c r="F1122" s="17" t="s">
        <v>23</v>
      </c>
      <c r="G1122" s="17">
        <f>ROUNDUP(G1119/1.5*4,0)</f>
        <v>0</v>
      </c>
      <c r="H1122" s="13">
        <f t="shared" si="17"/>
        <v>0</v>
      </c>
    </row>
    <row r="1123" spans="2:8" ht="13.5" thickBot="1" x14ac:dyDescent="0.35">
      <c r="B1123" s="9"/>
      <c r="C1123" s="14" t="s">
        <v>771</v>
      </c>
      <c r="D1123" s="14" t="s">
        <v>278</v>
      </c>
      <c r="E1123" s="18" t="s">
        <v>9</v>
      </c>
      <c r="F1123" s="17" t="s">
        <v>23</v>
      </c>
      <c r="G1123" s="17">
        <f>ROUNDUP(G1119/3,0)</f>
        <v>0</v>
      </c>
      <c r="H1123" s="13">
        <f t="shared" si="17"/>
        <v>0</v>
      </c>
    </row>
    <row r="1124" spans="2:8" ht="13.5" thickBot="1" x14ac:dyDescent="0.35">
      <c r="B1124" s="9"/>
      <c r="C1124" s="14" t="s">
        <v>772</v>
      </c>
      <c r="D1124" s="14" t="s">
        <v>278</v>
      </c>
      <c r="E1124" s="18" t="s">
        <v>9</v>
      </c>
      <c r="F1124" s="17" t="s">
        <v>23</v>
      </c>
      <c r="G1124" s="17">
        <f>ROUNDUP(G1119/3,0)</f>
        <v>0</v>
      </c>
      <c r="H1124" s="13">
        <f t="shared" si="17"/>
        <v>0</v>
      </c>
    </row>
    <row r="1125" spans="2:8" ht="13.5" thickBot="1" x14ac:dyDescent="0.35">
      <c r="B1125" s="9"/>
      <c r="C1125" s="14" t="s">
        <v>451</v>
      </c>
      <c r="D1125" s="14" t="s">
        <v>278</v>
      </c>
      <c r="E1125" s="18" t="s">
        <v>0</v>
      </c>
      <c r="F1125" s="17" t="s">
        <v>23</v>
      </c>
      <c r="G1125" s="17">
        <f>ROUNDUP(G1119/3*4,0)</f>
        <v>0</v>
      </c>
      <c r="H1125" s="13">
        <f t="shared" si="17"/>
        <v>0</v>
      </c>
    </row>
    <row r="1126" spans="2:8" ht="13.5" thickBot="1" x14ac:dyDescent="0.35">
      <c r="B1126" s="9"/>
      <c r="C1126" s="14" t="s">
        <v>746</v>
      </c>
      <c r="D1126" s="14" t="s">
        <v>278</v>
      </c>
      <c r="E1126" s="18" t="s">
        <v>0</v>
      </c>
      <c r="F1126" s="17" t="s">
        <v>23</v>
      </c>
      <c r="G1126" s="17">
        <f>ROUNDUP(G1119/1.5*4,0)</f>
        <v>0</v>
      </c>
      <c r="H1126" s="13">
        <f t="shared" si="17"/>
        <v>0</v>
      </c>
    </row>
    <row r="1127" spans="2:8" ht="13.5" thickBot="1" x14ac:dyDescent="0.35">
      <c r="B1127" s="9"/>
      <c r="C1127" s="14" t="s">
        <v>452</v>
      </c>
      <c r="D1127" s="14" t="s">
        <v>278</v>
      </c>
      <c r="E1127" s="18" t="s">
        <v>0</v>
      </c>
      <c r="F1127" s="17" t="s">
        <v>23</v>
      </c>
      <c r="G1127" s="17">
        <f>ROUNDUP(G1119/3*4+G1119/1.5*4,0)</f>
        <v>0</v>
      </c>
      <c r="H1127" s="13">
        <f t="shared" si="17"/>
        <v>0</v>
      </c>
    </row>
    <row r="1128" spans="2:8" ht="13.5" thickBot="1" x14ac:dyDescent="0.35">
      <c r="B1128" s="9"/>
      <c r="C1128" s="14" t="s">
        <v>773</v>
      </c>
      <c r="D1128" s="14" t="s">
        <v>278</v>
      </c>
      <c r="E1128" s="18" t="s">
        <v>9</v>
      </c>
      <c r="F1128" s="17" t="s">
        <v>23</v>
      </c>
      <c r="G1128" s="17">
        <f>ROUNDUP(G1119/7.5,0)</f>
        <v>0</v>
      </c>
      <c r="H1128" s="13">
        <f t="shared" si="17"/>
        <v>0</v>
      </c>
    </row>
    <row r="1129" spans="2:8" ht="13.5" thickBot="1" x14ac:dyDescent="0.35">
      <c r="B1129" s="9"/>
      <c r="C1129" s="14" t="s">
        <v>774</v>
      </c>
      <c r="D1129" s="14" t="s">
        <v>278</v>
      </c>
      <c r="E1129" s="18" t="s">
        <v>9</v>
      </c>
      <c r="F1129" s="17" t="s">
        <v>23</v>
      </c>
      <c r="G1129" s="17">
        <f>ROUNDUP(G1119/3,0)</f>
        <v>0</v>
      </c>
      <c r="H1129" s="13">
        <f t="shared" si="17"/>
        <v>0</v>
      </c>
    </row>
    <row r="1130" spans="2:8" ht="13.5" thickBot="1" x14ac:dyDescent="0.35">
      <c r="B1130" s="9"/>
      <c r="C1130" s="14" t="s">
        <v>749</v>
      </c>
      <c r="D1130" s="14" t="s">
        <v>278</v>
      </c>
      <c r="E1130" s="18" t="s">
        <v>9</v>
      </c>
      <c r="F1130" s="17" t="s">
        <v>23</v>
      </c>
      <c r="G1130" s="17">
        <f>ROUNDUP(G1119/3*2,0)</f>
        <v>0</v>
      </c>
      <c r="H1130" s="13">
        <f t="shared" si="17"/>
        <v>0</v>
      </c>
    </row>
    <row r="1131" spans="2:8" ht="13.5" thickBot="1" x14ac:dyDescent="0.35">
      <c r="B1131" s="9">
        <f>COUNT($B$4:B1130)+1</f>
        <v>461</v>
      </c>
      <c r="C1131" s="10" t="s">
        <v>775</v>
      </c>
      <c r="D1131" s="10"/>
      <c r="E1131" s="11" t="s">
        <v>9</v>
      </c>
      <c r="F1131" s="12" t="s">
        <v>51</v>
      </c>
      <c r="G1131" s="12"/>
      <c r="H1131" s="13">
        <f t="shared" si="17"/>
        <v>0</v>
      </c>
    </row>
    <row r="1132" spans="2:8" ht="13.5" thickBot="1" x14ac:dyDescent="0.35">
      <c r="B1132" s="9"/>
      <c r="C1132" s="14" t="s">
        <v>449</v>
      </c>
      <c r="D1132" s="14" t="s">
        <v>278</v>
      </c>
      <c r="E1132" s="18" t="s">
        <v>0</v>
      </c>
      <c r="F1132" s="17" t="s">
        <v>23</v>
      </c>
      <c r="G1132" s="17">
        <f>ROUNDUP(G1131/3*4+G1131/1.5*4,0)</f>
        <v>0</v>
      </c>
      <c r="H1132" s="13">
        <f t="shared" si="17"/>
        <v>0</v>
      </c>
    </row>
    <row r="1133" spans="2:8" ht="13.5" thickBot="1" x14ac:dyDescent="0.35">
      <c r="B1133" s="9"/>
      <c r="C1133" s="14" t="s">
        <v>742</v>
      </c>
      <c r="D1133" s="14" t="s">
        <v>278</v>
      </c>
      <c r="E1133" s="18" t="s">
        <v>9</v>
      </c>
      <c r="F1133" s="17" t="s">
        <v>23</v>
      </c>
      <c r="G1133" s="17">
        <f>ROUNDUP(G1131/1.5*2,0)</f>
        <v>0</v>
      </c>
      <c r="H1133" s="13">
        <f t="shared" si="17"/>
        <v>0</v>
      </c>
    </row>
    <row r="1134" spans="2:8" ht="13.5" thickBot="1" x14ac:dyDescent="0.35">
      <c r="B1134" s="9"/>
      <c r="C1134" s="14" t="s">
        <v>743</v>
      </c>
      <c r="D1134" s="14" t="s">
        <v>278</v>
      </c>
      <c r="E1134" s="18" t="s">
        <v>0</v>
      </c>
      <c r="F1134" s="17" t="s">
        <v>23</v>
      </c>
      <c r="G1134" s="17">
        <f>ROUNDUP(G1131/1.5*4,0)</f>
        <v>0</v>
      </c>
      <c r="H1134" s="13">
        <f t="shared" si="17"/>
        <v>0</v>
      </c>
    </row>
    <row r="1135" spans="2:8" ht="13.5" thickBot="1" x14ac:dyDescent="0.35">
      <c r="B1135" s="9"/>
      <c r="C1135" s="14" t="s">
        <v>776</v>
      </c>
      <c r="D1135" s="14" t="s">
        <v>278</v>
      </c>
      <c r="E1135" s="18" t="s">
        <v>9</v>
      </c>
      <c r="F1135" s="17" t="s">
        <v>23</v>
      </c>
      <c r="G1135" s="17">
        <f>ROUNDUP(G1131/3,0)</f>
        <v>0</v>
      </c>
      <c r="H1135" s="13">
        <f t="shared" si="17"/>
        <v>0</v>
      </c>
    </row>
    <row r="1136" spans="2:8" ht="13.5" thickBot="1" x14ac:dyDescent="0.35">
      <c r="B1136" s="9"/>
      <c r="C1136" s="14" t="s">
        <v>777</v>
      </c>
      <c r="D1136" s="14" t="s">
        <v>278</v>
      </c>
      <c r="E1136" s="18" t="s">
        <v>9</v>
      </c>
      <c r="F1136" s="17" t="s">
        <v>23</v>
      </c>
      <c r="G1136" s="17">
        <f>ROUNDUP(G1131/3,0)</f>
        <v>0</v>
      </c>
      <c r="H1136" s="13">
        <f t="shared" si="17"/>
        <v>0</v>
      </c>
    </row>
    <row r="1137" spans="2:8" ht="13.5" thickBot="1" x14ac:dyDescent="0.35">
      <c r="B1137" s="9"/>
      <c r="C1137" s="14" t="s">
        <v>451</v>
      </c>
      <c r="D1137" s="14" t="s">
        <v>278</v>
      </c>
      <c r="E1137" s="18" t="s">
        <v>0</v>
      </c>
      <c r="F1137" s="17" t="s">
        <v>23</v>
      </c>
      <c r="G1137" s="17">
        <f>ROUNDUP(G1131/3*4,0)</f>
        <v>0</v>
      </c>
      <c r="H1137" s="13">
        <f t="shared" si="17"/>
        <v>0</v>
      </c>
    </row>
    <row r="1138" spans="2:8" ht="13.5" thickBot="1" x14ac:dyDescent="0.35">
      <c r="B1138" s="9"/>
      <c r="C1138" s="14" t="s">
        <v>746</v>
      </c>
      <c r="D1138" s="14" t="s">
        <v>278</v>
      </c>
      <c r="E1138" s="18" t="s">
        <v>0</v>
      </c>
      <c r="F1138" s="17" t="s">
        <v>23</v>
      </c>
      <c r="G1138" s="17">
        <f>ROUNDUP(G1131/1.5*4,0)</f>
        <v>0</v>
      </c>
      <c r="H1138" s="13">
        <f t="shared" si="17"/>
        <v>0</v>
      </c>
    </row>
    <row r="1139" spans="2:8" ht="13.5" thickBot="1" x14ac:dyDescent="0.35">
      <c r="B1139" s="9"/>
      <c r="C1139" s="14" t="s">
        <v>452</v>
      </c>
      <c r="D1139" s="14" t="s">
        <v>278</v>
      </c>
      <c r="E1139" s="18" t="s">
        <v>0</v>
      </c>
      <c r="F1139" s="17" t="s">
        <v>23</v>
      </c>
      <c r="G1139" s="17">
        <f>ROUNDUP(G1131/3*4+G1131/1.5*4,0)</f>
        <v>0</v>
      </c>
      <c r="H1139" s="13">
        <f t="shared" si="17"/>
        <v>0</v>
      </c>
    </row>
    <row r="1140" spans="2:8" ht="13.5" thickBot="1" x14ac:dyDescent="0.35">
      <c r="B1140" s="9"/>
      <c r="C1140" s="14" t="s">
        <v>773</v>
      </c>
      <c r="D1140" s="14" t="s">
        <v>278</v>
      </c>
      <c r="E1140" s="18" t="s">
        <v>9</v>
      </c>
      <c r="F1140" s="17" t="s">
        <v>23</v>
      </c>
      <c r="G1140" s="17">
        <f>ROUNDUP(G1131/7.5,0)</f>
        <v>0</v>
      </c>
      <c r="H1140" s="13">
        <f t="shared" si="17"/>
        <v>0</v>
      </c>
    </row>
    <row r="1141" spans="2:8" ht="13.5" thickBot="1" x14ac:dyDescent="0.35">
      <c r="B1141" s="9"/>
      <c r="C1141" s="14" t="s">
        <v>778</v>
      </c>
      <c r="D1141" s="14" t="s">
        <v>278</v>
      </c>
      <c r="E1141" s="18" t="s">
        <v>9</v>
      </c>
      <c r="F1141" s="17" t="s">
        <v>23</v>
      </c>
      <c r="G1141" s="17">
        <f>ROUNDUP(G1131/3,0)</f>
        <v>0</v>
      </c>
      <c r="H1141" s="13">
        <f t="shared" si="17"/>
        <v>0</v>
      </c>
    </row>
    <row r="1142" spans="2:8" ht="13.5" thickBot="1" x14ac:dyDescent="0.35">
      <c r="B1142" s="9"/>
      <c r="C1142" s="14" t="s">
        <v>749</v>
      </c>
      <c r="D1142" s="14" t="s">
        <v>278</v>
      </c>
      <c r="E1142" s="18" t="s">
        <v>9</v>
      </c>
      <c r="F1142" s="17" t="s">
        <v>23</v>
      </c>
      <c r="G1142" s="17">
        <f>ROUNDUP(G1131/3*2,0)</f>
        <v>0</v>
      </c>
      <c r="H1142" s="13">
        <f t="shared" si="17"/>
        <v>0</v>
      </c>
    </row>
    <row r="1143" spans="2:8" ht="13.5" thickBot="1" x14ac:dyDescent="0.35">
      <c r="B1143" s="9">
        <f>COUNT($B$4:B1142)+1</f>
        <v>462</v>
      </c>
      <c r="C1143" s="10" t="s">
        <v>779</v>
      </c>
      <c r="D1143" s="10"/>
      <c r="E1143" s="11" t="s">
        <v>9</v>
      </c>
      <c r="F1143" s="12" t="s">
        <v>51</v>
      </c>
      <c r="G1143" s="12"/>
      <c r="H1143" s="13">
        <f t="shared" si="17"/>
        <v>0</v>
      </c>
    </row>
    <row r="1144" spans="2:8" ht="13.5" thickBot="1" x14ac:dyDescent="0.35">
      <c r="B1144" s="9"/>
      <c r="C1144" s="14" t="s">
        <v>449</v>
      </c>
      <c r="D1144" s="14" t="s">
        <v>278</v>
      </c>
      <c r="E1144" s="18" t="s">
        <v>0</v>
      </c>
      <c r="F1144" s="17" t="s">
        <v>23</v>
      </c>
      <c r="G1144" s="17">
        <f>ROUNDUP(G1143/3*4+G1143/1.5*4,0)</f>
        <v>0</v>
      </c>
      <c r="H1144" s="13">
        <f t="shared" si="17"/>
        <v>0</v>
      </c>
    </row>
    <row r="1145" spans="2:8" ht="13.5" thickBot="1" x14ac:dyDescent="0.35">
      <c r="B1145" s="9"/>
      <c r="C1145" s="14" t="s">
        <v>742</v>
      </c>
      <c r="D1145" s="14" t="s">
        <v>278</v>
      </c>
      <c r="E1145" s="18" t="s">
        <v>9</v>
      </c>
      <c r="F1145" s="17" t="s">
        <v>23</v>
      </c>
      <c r="G1145" s="17">
        <f>ROUNDUP(G1143/1.5*2,0)</f>
        <v>0</v>
      </c>
      <c r="H1145" s="13">
        <f t="shared" si="17"/>
        <v>0</v>
      </c>
    </row>
    <row r="1146" spans="2:8" ht="13.5" thickBot="1" x14ac:dyDescent="0.35">
      <c r="B1146" s="9"/>
      <c r="C1146" s="14" t="s">
        <v>743</v>
      </c>
      <c r="D1146" s="14" t="s">
        <v>278</v>
      </c>
      <c r="E1146" s="18" t="s">
        <v>0</v>
      </c>
      <c r="F1146" s="17" t="s">
        <v>23</v>
      </c>
      <c r="G1146" s="17">
        <f>ROUNDUP(G1143/1.5*4,0)</f>
        <v>0</v>
      </c>
      <c r="H1146" s="13">
        <f t="shared" si="17"/>
        <v>0</v>
      </c>
    </row>
    <row r="1147" spans="2:8" ht="13.5" thickBot="1" x14ac:dyDescent="0.35">
      <c r="B1147" s="9"/>
      <c r="C1147" s="14" t="s">
        <v>780</v>
      </c>
      <c r="D1147" s="14" t="s">
        <v>278</v>
      </c>
      <c r="E1147" s="18" t="s">
        <v>9</v>
      </c>
      <c r="F1147" s="17" t="s">
        <v>23</v>
      </c>
      <c r="G1147" s="17">
        <f>ROUNDUP(G1143/3,0)</f>
        <v>0</v>
      </c>
      <c r="H1147" s="13">
        <f t="shared" si="17"/>
        <v>0</v>
      </c>
    </row>
    <row r="1148" spans="2:8" ht="13.5" thickBot="1" x14ac:dyDescent="0.35">
      <c r="B1148" s="9"/>
      <c r="C1148" s="14" t="s">
        <v>781</v>
      </c>
      <c r="D1148" s="14" t="s">
        <v>278</v>
      </c>
      <c r="E1148" s="18" t="s">
        <v>9</v>
      </c>
      <c r="F1148" s="17" t="s">
        <v>23</v>
      </c>
      <c r="G1148" s="17">
        <f>ROUNDUP(G1143/3,0)</f>
        <v>0</v>
      </c>
      <c r="H1148" s="13">
        <f t="shared" si="17"/>
        <v>0</v>
      </c>
    </row>
    <row r="1149" spans="2:8" ht="13.5" thickBot="1" x14ac:dyDescent="0.35">
      <c r="B1149" s="9"/>
      <c r="C1149" s="14" t="s">
        <v>451</v>
      </c>
      <c r="D1149" s="14" t="s">
        <v>278</v>
      </c>
      <c r="E1149" s="18" t="s">
        <v>0</v>
      </c>
      <c r="F1149" s="17" t="s">
        <v>23</v>
      </c>
      <c r="G1149" s="17">
        <f>ROUNDUP(G1143/3*4,0)</f>
        <v>0</v>
      </c>
      <c r="H1149" s="13">
        <f t="shared" si="17"/>
        <v>0</v>
      </c>
    </row>
    <row r="1150" spans="2:8" ht="13.5" thickBot="1" x14ac:dyDescent="0.35">
      <c r="B1150" s="9"/>
      <c r="C1150" s="14" t="s">
        <v>746</v>
      </c>
      <c r="D1150" s="14" t="s">
        <v>278</v>
      </c>
      <c r="E1150" s="18" t="s">
        <v>0</v>
      </c>
      <c r="F1150" s="17" t="s">
        <v>23</v>
      </c>
      <c r="G1150" s="17">
        <f>ROUNDUP(G1143/1.5*4,0)</f>
        <v>0</v>
      </c>
      <c r="H1150" s="13">
        <f t="shared" si="17"/>
        <v>0</v>
      </c>
    </row>
    <row r="1151" spans="2:8" ht="13.5" thickBot="1" x14ac:dyDescent="0.35">
      <c r="B1151" s="9"/>
      <c r="C1151" s="14" t="s">
        <v>452</v>
      </c>
      <c r="D1151" s="14" t="s">
        <v>278</v>
      </c>
      <c r="E1151" s="18" t="s">
        <v>0</v>
      </c>
      <c r="F1151" s="17" t="s">
        <v>23</v>
      </c>
      <c r="G1151" s="17">
        <f>ROUNDUP(G1143/3*4+G1143/1.5*4,0)</f>
        <v>0</v>
      </c>
      <c r="H1151" s="13">
        <f t="shared" si="17"/>
        <v>0</v>
      </c>
    </row>
    <row r="1152" spans="2:8" ht="13.5" thickBot="1" x14ac:dyDescent="0.35">
      <c r="B1152" s="9"/>
      <c r="C1152" s="14" t="s">
        <v>773</v>
      </c>
      <c r="D1152" s="14" t="s">
        <v>278</v>
      </c>
      <c r="E1152" s="18" t="s">
        <v>9</v>
      </c>
      <c r="F1152" s="17" t="s">
        <v>23</v>
      </c>
      <c r="G1152" s="17">
        <f>ROUNDUP(G1143/7.5,0)</f>
        <v>0</v>
      </c>
      <c r="H1152" s="13">
        <f t="shared" si="17"/>
        <v>0</v>
      </c>
    </row>
    <row r="1153" spans="2:8" ht="13.5" thickBot="1" x14ac:dyDescent="0.35">
      <c r="B1153" s="9"/>
      <c r="C1153" s="14" t="s">
        <v>782</v>
      </c>
      <c r="D1153" s="14" t="s">
        <v>278</v>
      </c>
      <c r="E1153" s="18" t="s">
        <v>9</v>
      </c>
      <c r="F1153" s="17" t="s">
        <v>23</v>
      </c>
      <c r="G1153" s="17">
        <f>ROUNDUP(G1143/3,0)</f>
        <v>0</v>
      </c>
      <c r="H1153" s="13">
        <f t="shared" si="17"/>
        <v>0</v>
      </c>
    </row>
    <row r="1154" spans="2:8" ht="13.5" thickBot="1" x14ac:dyDescent="0.35">
      <c r="B1154" s="9"/>
      <c r="C1154" s="14" t="s">
        <v>749</v>
      </c>
      <c r="D1154" s="14" t="s">
        <v>278</v>
      </c>
      <c r="E1154" s="18" t="s">
        <v>9</v>
      </c>
      <c r="F1154" s="17" t="s">
        <v>23</v>
      </c>
      <c r="G1154" s="17">
        <f>ROUNDUP(G1143/3*2,0)</f>
        <v>0</v>
      </c>
      <c r="H1154" s="13">
        <f t="shared" si="17"/>
        <v>0</v>
      </c>
    </row>
    <row r="1155" spans="2:8" ht="13.5" thickBot="1" x14ac:dyDescent="0.35">
      <c r="B1155" s="9">
        <f>COUNT($B$4:B1154)+1</f>
        <v>463</v>
      </c>
      <c r="C1155" s="10" t="s">
        <v>783</v>
      </c>
      <c r="D1155" s="10"/>
      <c r="E1155" s="11" t="s">
        <v>9</v>
      </c>
      <c r="F1155" s="12" t="s">
        <v>51</v>
      </c>
      <c r="G1155" s="12"/>
      <c r="H1155" s="13">
        <f t="shared" si="17"/>
        <v>0</v>
      </c>
    </row>
    <row r="1156" spans="2:8" ht="13.5" thickBot="1" x14ac:dyDescent="0.35">
      <c r="B1156" s="9"/>
      <c r="C1156" s="14" t="s">
        <v>449</v>
      </c>
      <c r="D1156" s="14" t="s">
        <v>278</v>
      </c>
      <c r="E1156" s="18" t="s">
        <v>0</v>
      </c>
      <c r="F1156" s="17" t="s">
        <v>23</v>
      </c>
      <c r="G1156" s="17">
        <f>ROUNDUP(G1155/3*4+G1155/1.5*2,0)</f>
        <v>0</v>
      </c>
      <c r="H1156" s="13">
        <f t="shared" si="17"/>
        <v>0</v>
      </c>
    </row>
    <row r="1157" spans="2:8" ht="13.5" thickBot="1" x14ac:dyDescent="0.35">
      <c r="B1157" s="9"/>
      <c r="C1157" s="14" t="s">
        <v>784</v>
      </c>
      <c r="D1157" s="14" t="s">
        <v>278</v>
      </c>
      <c r="E1157" s="18" t="s">
        <v>0</v>
      </c>
      <c r="F1157" s="17" t="s">
        <v>23</v>
      </c>
      <c r="G1157" s="17">
        <f>ROUNDUP(G1155/1.5,0)</f>
        <v>0</v>
      </c>
      <c r="H1157" s="13">
        <f t="shared" ref="H1157:H1220" si="18">SUM(G1157:G1157)</f>
        <v>0</v>
      </c>
    </row>
    <row r="1158" spans="2:8" ht="13.5" thickBot="1" x14ac:dyDescent="0.35">
      <c r="B1158" s="9"/>
      <c r="C1158" s="14" t="s">
        <v>744</v>
      </c>
      <c r="D1158" s="14" t="s">
        <v>278</v>
      </c>
      <c r="E1158" s="18" t="s">
        <v>9</v>
      </c>
      <c r="F1158" s="17" t="s">
        <v>23</v>
      </c>
      <c r="G1158" s="17">
        <f>ROUNDUP(G1155/3,0)</f>
        <v>0</v>
      </c>
      <c r="H1158" s="13">
        <f t="shared" si="18"/>
        <v>0</v>
      </c>
    </row>
    <row r="1159" spans="2:8" ht="13.5" thickBot="1" x14ac:dyDescent="0.35">
      <c r="B1159" s="9"/>
      <c r="C1159" s="14" t="s">
        <v>785</v>
      </c>
      <c r="D1159" s="14" t="s">
        <v>278</v>
      </c>
      <c r="E1159" s="18" t="s">
        <v>9</v>
      </c>
      <c r="F1159" s="17" t="s">
        <v>23</v>
      </c>
      <c r="G1159" s="17">
        <f>ROUNDUP(G1155/1.5,0)</f>
        <v>0</v>
      </c>
      <c r="H1159" s="13">
        <f t="shared" si="18"/>
        <v>0</v>
      </c>
    </row>
    <row r="1160" spans="2:8" ht="13.5" thickBot="1" x14ac:dyDescent="0.35">
      <c r="B1160" s="9"/>
      <c r="C1160" s="14" t="s">
        <v>745</v>
      </c>
      <c r="D1160" s="14" t="s">
        <v>278</v>
      </c>
      <c r="E1160" s="18" t="s">
        <v>9</v>
      </c>
      <c r="F1160" s="17" t="s">
        <v>23</v>
      </c>
      <c r="G1160" s="17">
        <f>ROUNDUP(G1155/3,0)</f>
        <v>0</v>
      </c>
      <c r="H1160" s="13">
        <f t="shared" si="18"/>
        <v>0</v>
      </c>
    </row>
    <row r="1161" spans="2:8" ht="13.5" thickBot="1" x14ac:dyDescent="0.35">
      <c r="B1161" s="9"/>
      <c r="C1161" s="14" t="s">
        <v>451</v>
      </c>
      <c r="D1161" s="14" t="s">
        <v>278</v>
      </c>
      <c r="E1161" s="18" t="s">
        <v>0</v>
      </c>
      <c r="F1161" s="17" t="s">
        <v>23</v>
      </c>
      <c r="G1161" s="17">
        <f>ROUNDUP(G1155/3*4,0)</f>
        <v>0</v>
      </c>
      <c r="H1161" s="13">
        <f t="shared" si="18"/>
        <v>0</v>
      </c>
    </row>
    <row r="1162" spans="2:8" ht="13.5" thickBot="1" x14ac:dyDescent="0.35">
      <c r="B1162" s="9"/>
      <c r="C1162" s="14" t="s">
        <v>452</v>
      </c>
      <c r="D1162" s="14" t="s">
        <v>278</v>
      </c>
      <c r="E1162" s="18" t="s">
        <v>0</v>
      </c>
      <c r="F1162" s="17" t="s">
        <v>23</v>
      </c>
      <c r="G1162" s="17">
        <f>ROUNDUP(G1155/3*4+G1155/1.5*2,0)</f>
        <v>0</v>
      </c>
      <c r="H1162" s="13">
        <f t="shared" si="18"/>
        <v>0</v>
      </c>
    </row>
    <row r="1163" spans="2:8" ht="13.5" thickBot="1" x14ac:dyDescent="0.35">
      <c r="B1163" s="9"/>
      <c r="C1163" s="14" t="s">
        <v>747</v>
      </c>
      <c r="D1163" s="14" t="s">
        <v>278</v>
      </c>
      <c r="E1163" s="18" t="s">
        <v>9</v>
      </c>
      <c r="F1163" s="17" t="s">
        <v>23</v>
      </c>
      <c r="G1163" s="17">
        <f>ROUNDUP(G1155/1.5,0)</f>
        <v>0</v>
      </c>
      <c r="H1163" s="13">
        <f t="shared" si="18"/>
        <v>0</v>
      </c>
    </row>
    <row r="1164" spans="2:8" ht="13.5" thickBot="1" x14ac:dyDescent="0.35">
      <c r="B1164" s="9"/>
      <c r="C1164" s="14" t="s">
        <v>748</v>
      </c>
      <c r="D1164" s="14" t="s">
        <v>278</v>
      </c>
      <c r="E1164" s="18" t="s">
        <v>9</v>
      </c>
      <c r="F1164" s="17" t="s">
        <v>23</v>
      </c>
      <c r="G1164" s="17">
        <f>ROUNDUP(G1155/3,0)</f>
        <v>0</v>
      </c>
      <c r="H1164" s="13">
        <f t="shared" si="18"/>
        <v>0</v>
      </c>
    </row>
    <row r="1165" spans="2:8" ht="13.5" thickBot="1" x14ac:dyDescent="0.35">
      <c r="B1165" s="9"/>
      <c r="C1165" s="14" t="s">
        <v>749</v>
      </c>
      <c r="D1165" s="14" t="s">
        <v>278</v>
      </c>
      <c r="E1165" s="18" t="s">
        <v>9</v>
      </c>
      <c r="F1165" s="17" t="s">
        <v>23</v>
      </c>
      <c r="G1165" s="17">
        <f>ROUNDUP(G1155/3,0)</f>
        <v>0</v>
      </c>
      <c r="H1165" s="13">
        <f t="shared" si="18"/>
        <v>0</v>
      </c>
    </row>
    <row r="1166" spans="2:8" s="28" customFormat="1" ht="13.5" thickBot="1" x14ac:dyDescent="0.35">
      <c r="B1166" s="24">
        <f>COUNT($B$4:B1165)+1</f>
        <v>464</v>
      </c>
      <c r="C1166" s="25" t="s">
        <v>786</v>
      </c>
      <c r="D1166" s="25"/>
      <c r="E1166" s="26" t="s">
        <v>9</v>
      </c>
      <c r="F1166" s="27" t="s">
        <v>51</v>
      </c>
      <c r="G1166" s="27">
        <v>130</v>
      </c>
      <c r="H1166" s="27">
        <f t="shared" si="18"/>
        <v>130</v>
      </c>
    </row>
    <row r="1167" spans="2:8" ht="13.5" thickBot="1" x14ac:dyDescent="0.35">
      <c r="B1167" s="9"/>
      <c r="C1167" s="14" t="s">
        <v>449</v>
      </c>
      <c r="D1167" s="14" t="s">
        <v>278</v>
      </c>
      <c r="E1167" s="18" t="s">
        <v>0</v>
      </c>
      <c r="F1167" s="17" t="s">
        <v>23</v>
      </c>
      <c r="G1167" s="17">
        <f>ROUNDUP(G1166/3*4+G1166/1.5*2,0)</f>
        <v>347</v>
      </c>
      <c r="H1167" s="13">
        <f t="shared" si="18"/>
        <v>347</v>
      </c>
    </row>
    <row r="1168" spans="2:8" ht="13.5" thickBot="1" x14ac:dyDescent="0.35">
      <c r="B1168" s="9"/>
      <c r="C1168" s="14" t="s">
        <v>784</v>
      </c>
      <c r="D1168" s="14" t="s">
        <v>278</v>
      </c>
      <c r="E1168" s="18" t="s">
        <v>0</v>
      </c>
      <c r="F1168" s="17" t="s">
        <v>23</v>
      </c>
      <c r="G1168" s="17">
        <f>ROUNDUP(G1166/1.5,0)</f>
        <v>87</v>
      </c>
      <c r="H1168" s="13">
        <f t="shared" si="18"/>
        <v>87</v>
      </c>
    </row>
    <row r="1169" spans="2:8" ht="13.5" thickBot="1" x14ac:dyDescent="0.35">
      <c r="B1169" s="9"/>
      <c r="C1169" s="14" t="s">
        <v>1692</v>
      </c>
      <c r="D1169" s="14" t="s">
        <v>278</v>
      </c>
      <c r="E1169" s="18" t="s">
        <v>9</v>
      </c>
      <c r="F1169" s="17" t="s">
        <v>23</v>
      </c>
      <c r="G1169" s="17">
        <f>ROUNDUP(G1166/3,0)</f>
        <v>44</v>
      </c>
      <c r="H1169" s="13">
        <f t="shared" si="18"/>
        <v>44</v>
      </c>
    </row>
    <row r="1170" spans="2:8" ht="13.5" thickBot="1" x14ac:dyDescent="0.35">
      <c r="B1170" s="9"/>
      <c r="C1170" s="14" t="s">
        <v>785</v>
      </c>
      <c r="D1170" s="14" t="s">
        <v>278</v>
      </c>
      <c r="E1170" s="18" t="s">
        <v>9</v>
      </c>
      <c r="F1170" s="17" t="s">
        <v>23</v>
      </c>
      <c r="G1170" s="17">
        <f>ROUNDUP(G1166/1.5,0)</f>
        <v>87</v>
      </c>
      <c r="H1170" s="13">
        <f t="shared" si="18"/>
        <v>87</v>
      </c>
    </row>
    <row r="1171" spans="2:8" ht="13.5" thickBot="1" x14ac:dyDescent="0.35">
      <c r="B1171" s="9"/>
      <c r="C1171" s="14" t="s">
        <v>1688</v>
      </c>
      <c r="D1171" s="14" t="s">
        <v>278</v>
      </c>
      <c r="E1171" s="18" t="s">
        <v>9</v>
      </c>
      <c r="F1171" s="17" t="s">
        <v>23</v>
      </c>
      <c r="G1171" s="17">
        <f>ROUNDUP(G1166/3,0)</f>
        <v>44</v>
      </c>
      <c r="H1171" s="13">
        <f t="shared" si="18"/>
        <v>44</v>
      </c>
    </row>
    <row r="1172" spans="2:8" ht="13.5" thickBot="1" x14ac:dyDescent="0.35">
      <c r="B1172" s="9"/>
      <c r="C1172" s="14" t="s">
        <v>451</v>
      </c>
      <c r="D1172" s="14" t="s">
        <v>278</v>
      </c>
      <c r="E1172" s="18" t="s">
        <v>0</v>
      </c>
      <c r="F1172" s="17" t="s">
        <v>23</v>
      </c>
      <c r="G1172" s="17">
        <f>ROUNDUP(G1166/3*4,0)</f>
        <v>174</v>
      </c>
      <c r="H1172" s="13">
        <f t="shared" si="18"/>
        <v>174</v>
      </c>
    </row>
    <row r="1173" spans="2:8" ht="13.5" thickBot="1" x14ac:dyDescent="0.35">
      <c r="B1173" s="9"/>
      <c r="C1173" s="14" t="s">
        <v>452</v>
      </c>
      <c r="D1173" s="14" t="s">
        <v>278</v>
      </c>
      <c r="E1173" s="18" t="s">
        <v>0</v>
      </c>
      <c r="F1173" s="17" t="s">
        <v>23</v>
      </c>
      <c r="G1173" s="17">
        <f>ROUNDUP(G1166/3*4+G1166/1.5*2,0)</f>
        <v>347</v>
      </c>
      <c r="H1173" s="13">
        <f t="shared" si="18"/>
        <v>347</v>
      </c>
    </row>
    <row r="1174" spans="2:8" ht="13.5" thickBot="1" x14ac:dyDescent="0.35">
      <c r="B1174" s="9"/>
      <c r="C1174" s="14" t="s">
        <v>1689</v>
      </c>
      <c r="D1174" s="14" t="s">
        <v>278</v>
      </c>
      <c r="E1174" s="18" t="s">
        <v>9</v>
      </c>
      <c r="F1174" s="17" t="s">
        <v>23</v>
      </c>
      <c r="G1174" s="17">
        <f>ROUNDUP(G1166/1.5,0)</f>
        <v>87</v>
      </c>
      <c r="H1174" s="13">
        <f t="shared" si="18"/>
        <v>87</v>
      </c>
    </row>
    <row r="1175" spans="2:8" ht="13.5" thickBot="1" x14ac:dyDescent="0.35">
      <c r="B1175" s="9"/>
      <c r="C1175" s="14" t="s">
        <v>754</v>
      </c>
      <c r="D1175" s="14" t="s">
        <v>278</v>
      </c>
      <c r="E1175" s="18" t="s">
        <v>9</v>
      </c>
      <c r="F1175" s="17" t="s">
        <v>23</v>
      </c>
      <c r="G1175" s="17">
        <f>ROUNDUP(G1166/3,0)</f>
        <v>44</v>
      </c>
      <c r="H1175" s="13">
        <f t="shared" si="18"/>
        <v>44</v>
      </c>
    </row>
    <row r="1176" spans="2:8" ht="13.5" thickBot="1" x14ac:dyDescent="0.35">
      <c r="B1176" s="9"/>
      <c r="C1176" s="14" t="s">
        <v>749</v>
      </c>
      <c r="D1176" s="14" t="s">
        <v>278</v>
      </c>
      <c r="E1176" s="18" t="s">
        <v>9</v>
      </c>
      <c r="F1176" s="17" t="s">
        <v>23</v>
      </c>
      <c r="G1176" s="17">
        <f>ROUNDUP(G1166/3,0)</f>
        <v>44</v>
      </c>
      <c r="H1176" s="13">
        <f t="shared" si="18"/>
        <v>44</v>
      </c>
    </row>
    <row r="1177" spans="2:8" ht="13.5" thickBot="1" x14ac:dyDescent="0.35">
      <c r="B1177" s="9">
        <f>COUNT($B$4:B1176)+1</f>
        <v>465</v>
      </c>
      <c r="C1177" s="10" t="s">
        <v>787</v>
      </c>
      <c r="D1177" s="10"/>
      <c r="E1177" s="11" t="s">
        <v>9</v>
      </c>
      <c r="F1177" s="12" t="s">
        <v>51</v>
      </c>
      <c r="G1177" s="12"/>
      <c r="H1177" s="13">
        <f t="shared" si="18"/>
        <v>0</v>
      </c>
    </row>
    <row r="1178" spans="2:8" ht="13.5" thickBot="1" x14ac:dyDescent="0.35">
      <c r="B1178" s="9"/>
      <c r="C1178" s="14" t="s">
        <v>449</v>
      </c>
      <c r="D1178" s="14" t="s">
        <v>278</v>
      </c>
      <c r="E1178" s="18" t="s">
        <v>0</v>
      </c>
      <c r="F1178" s="17" t="s">
        <v>23</v>
      </c>
      <c r="G1178" s="17">
        <f>ROUNDUP(G1177/3*4+G1177/1.5*2,0)</f>
        <v>0</v>
      </c>
      <c r="H1178" s="13">
        <f t="shared" si="18"/>
        <v>0</v>
      </c>
    </row>
    <row r="1179" spans="2:8" ht="13.5" thickBot="1" x14ac:dyDescent="0.35">
      <c r="B1179" s="9"/>
      <c r="C1179" s="14" t="s">
        <v>784</v>
      </c>
      <c r="D1179" s="14" t="s">
        <v>278</v>
      </c>
      <c r="E1179" s="18" t="s">
        <v>0</v>
      </c>
      <c r="F1179" s="17" t="s">
        <v>23</v>
      </c>
      <c r="G1179" s="17">
        <f>ROUNDUP(G1177/1.5,0)</f>
        <v>0</v>
      </c>
      <c r="H1179" s="13">
        <f t="shared" si="18"/>
        <v>0</v>
      </c>
    </row>
    <row r="1180" spans="2:8" ht="13.5" thickBot="1" x14ac:dyDescent="0.35">
      <c r="B1180" s="9"/>
      <c r="C1180" s="14" t="s">
        <v>756</v>
      </c>
      <c r="D1180" s="14" t="s">
        <v>278</v>
      </c>
      <c r="E1180" s="18" t="s">
        <v>9</v>
      </c>
      <c r="F1180" s="17" t="s">
        <v>23</v>
      </c>
      <c r="G1180" s="17">
        <f>ROUNDUP(G1177/3,0)</f>
        <v>0</v>
      </c>
      <c r="H1180" s="13">
        <f t="shared" si="18"/>
        <v>0</v>
      </c>
    </row>
    <row r="1181" spans="2:8" ht="13.5" thickBot="1" x14ac:dyDescent="0.35">
      <c r="B1181" s="9"/>
      <c r="C1181" s="14" t="s">
        <v>785</v>
      </c>
      <c r="D1181" s="14" t="s">
        <v>278</v>
      </c>
      <c r="E1181" s="18" t="s">
        <v>9</v>
      </c>
      <c r="F1181" s="17" t="s">
        <v>23</v>
      </c>
      <c r="G1181" s="17">
        <f>ROUNDUP(G1177/1.5,0)</f>
        <v>0</v>
      </c>
      <c r="H1181" s="13">
        <f t="shared" si="18"/>
        <v>0</v>
      </c>
    </row>
    <row r="1182" spans="2:8" ht="13.5" thickBot="1" x14ac:dyDescent="0.35">
      <c r="B1182" s="9"/>
      <c r="C1182" s="14" t="s">
        <v>757</v>
      </c>
      <c r="D1182" s="14" t="s">
        <v>278</v>
      </c>
      <c r="E1182" s="18" t="s">
        <v>9</v>
      </c>
      <c r="F1182" s="17" t="s">
        <v>23</v>
      </c>
      <c r="G1182" s="17">
        <f>ROUNDUP(G1177/3,0)</f>
        <v>0</v>
      </c>
      <c r="H1182" s="13">
        <f t="shared" si="18"/>
        <v>0</v>
      </c>
    </row>
    <row r="1183" spans="2:8" ht="13.5" thickBot="1" x14ac:dyDescent="0.35">
      <c r="B1183" s="9"/>
      <c r="C1183" s="14" t="s">
        <v>451</v>
      </c>
      <c r="D1183" s="14" t="s">
        <v>278</v>
      </c>
      <c r="E1183" s="18" t="s">
        <v>0</v>
      </c>
      <c r="F1183" s="17" t="s">
        <v>23</v>
      </c>
      <c r="G1183" s="17">
        <f>ROUNDUP(G1177/3*4,0)</f>
        <v>0</v>
      </c>
      <c r="H1183" s="13">
        <f t="shared" si="18"/>
        <v>0</v>
      </c>
    </row>
    <row r="1184" spans="2:8" ht="13.5" thickBot="1" x14ac:dyDescent="0.35">
      <c r="B1184" s="9"/>
      <c r="C1184" s="14" t="s">
        <v>452</v>
      </c>
      <c r="D1184" s="14" t="s">
        <v>278</v>
      </c>
      <c r="E1184" s="18" t="s">
        <v>0</v>
      </c>
      <c r="F1184" s="17" t="s">
        <v>23</v>
      </c>
      <c r="G1184" s="17">
        <f>ROUNDUP(G1177/3*4+G1177/1.5*2,0)</f>
        <v>0</v>
      </c>
      <c r="H1184" s="13">
        <f t="shared" si="18"/>
        <v>0</v>
      </c>
    </row>
    <row r="1185" spans="2:8" ht="13.5" thickBot="1" x14ac:dyDescent="0.35">
      <c r="B1185" s="9"/>
      <c r="C1185" s="14" t="s">
        <v>758</v>
      </c>
      <c r="D1185" s="14" t="s">
        <v>278</v>
      </c>
      <c r="E1185" s="18" t="s">
        <v>9</v>
      </c>
      <c r="F1185" s="17" t="s">
        <v>23</v>
      </c>
      <c r="G1185" s="17">
        <f>ROUNDUP(G1177/1.5,0)</f>
        <v>0</v>
      </c>
      <c r="H1185" s="13">
        <f t="shared" si="18"/>
        <v>0</v>
      </c>
    </row>
    <row r="1186" spans="2:8" ht="13.5" thickBot="1" x14ac:dyDescent="0.35">
      <c r="B1186" s="9"/>
      <c r="C1186" s="14" t="s">
        <v>759</v>
      </c>
      <c r="D1186" s="14" t="s">
        <v>278</v>
      </c>
      <c r="E1186" s="18" t="s">
        <v>9</v>
      </c>
      <c r="F1186" s="17" t="s">
        <v>23</v>
      </c>
      <c r="G1186" s="17">
        <f>ROUNDUP(G1177/3,0)</f>
        <v>0</v>
      </c>
      <c r="H1186" s="13">
        <f t="shared" si="18"/>
        <v>0</v>
      </c>
    </row>
    <row r="1187" spans="2:8" ht="13.5" thickBot="1" x14ac:dyDescent="0.35">
      <c r="B1187" s="9"/>
      <c r="C1187" s="14" t="s">
        <v>749</v>
      </c>
      <c r="D1187" s="14" t="s">
        <v>278</v>
      </c>
      <c r="E1187" s="18" t="s">
        <v>9</v>
      </c>
      <c r="F1187" s="17" t="s">
        <v>23</v>
      </c>
      <c r="G1187" s="17">
        <f>ROUNDUP(G1177/3,0)</f>
        <v>0</v>
      </c>
      <c r="H1187" s="13">
        <f t="shared" si="18"/>
        <v>0</v>
      </c>
    </row>
    <row r="1188" spans="2:8" s="28" customFormat="1" ht="13.5" thickBot="1" x14ac:dyDescent="0.35">
      <c r="B1188" s="24">
        <f>COUNT($B$4:B1187)+1</f>
        <v>466</v>
      </c>
      <c r="C1188" s="25" t="s">
        <v>788</v>
      </c>
      <c r="D1188" s="25"/>
      <c r="E1188" s="26" t="s">
        <v>9</v>
      </c>
      <c r="F1188" s="27" t="s">
        <v>51</v>
      </c>
      <c r="G1188" s="27">
        <v>0</v>
      </c>
      <c r="H1188" s="27">
        <f t="shared" si="18"/>
        <v>0</v>
      </c>
    </row>
    <row r="1189" spans="2:8" ht="13.5" thickBot="1" x14ac:dyDescent="0.35">
      <c r="B1189" s="9"/>
      <c r="C1189" s="14" t="s">
        <v>449</v>
      </c>
      <c r="D1189" s="14" t="s">
        <v>278</v>
      </c>
      <c r="E1189" s="18" t="s">
        <v>0</v>
      </c>
      <c r="F1189" s="17" t="s">
        <v>23</v>
      </c>
      <c r="G1189" s="17">
        <f>ROUNDUP(G1188/3*4+G1188/1.5*2,0)</f>
        <v>0</v>
      </c>
      <c r="H1189" s="13">
        <f t="shared" si="18"/>
        <v>0</v>
      </c>
    </row>
    <row r="1190" spans="2:8" ht="13.5" thickBot="1" x14ac:dyDescent="0.35">
      <c r="B1190" s="9"/>
      <c r="C1190" s="14" t="s">
        <v>784</v>
      </c>
      <c r="D1190" s="14" t="s">
        <v>278</v>
      </c>
      <c r="E1190" s="18" t="s">
        <v>0</v>
      </c>
      <c r="F1190" s="17" t="s">
        <v>23</v>
      </c>
      <c r="G1190" s="17">
        <f>ROUNDUP(G1188/1.5,0)</f>
        <v>0</v>
      </c>
      <c r="H1190" s="13">
        <f t="shared" si="18"/>
        <v>0</v>
      </c>
    </row>
    <row r="1191" spans="2:8" ht="13.5" thickBot="1" x14ac:dyDescent="0.35">
      <c r="B1191" s="9"/>
      <c r="C1191" s="14" t="s">
        <v>1670</v>
      </c>
      <c r="D1191" s="14" t="s">
        <v>278</v>
      </c>
      <c r="E1191" s="18" t="s">
        <v>9</v>
      </c>
      <c r="F1191" s="17" t="s">
        <v>23</v>
      </c>
      <c r="G1191" s="17">
        <f>ROUNDUP(G1188/3,0)</f>
        <v>0</v>
      </c>
      <c r="H1191" s="13">
        <f t="shared" si="18"/>
        <v>0</v>
      </c>
    </row>
    <row r="1192" spans="2:8" ht="13.5" thickBot="1" x14ac:dyDescent="0.35">
      <c r="B1192" s="9"/>
      <c r="C1192" s="14" t="s">
        <v>785</v>
      </c>
      <c r="D1192" s="14" t="s">
        <v>278</v>
      </c>
      <c r="E1192" s="18" t="s">
        <v>9</v>
      </c>
      <c r="F1192" s="17" t="s">
        <v>23</v>
      </c>
      <c r="G1192" s="17">
        <f>ROUNDUP(G1188/1.5,0)</f>
        <v>0</v>
      </c>
      <c r="H1192" s="13">
        <f t="shared" si="18"/>
        <v>0</v>
      </c>
    </row>
    <row r="1193" spans="2:8" ht="13.5" thickBot="1" x14ac:dyDescent="0.35">
      <c r="B1193" s="9"/>
      <c r="C1193" s="14" t="s">
        <v>1671</v>
      </c>
      <c r="D1193" s="14" t="s">
        <v>278</v>
      </c>
      <c r="E1193" s="18" t="s">
        <v>9</v>
      </c>
      <c r="F1193" s="17" t="s">
        <v>23</v>
      </c>
      <c r="G1193" s="17">
        <f>ROUNDUP(G1188/3,0)</f>
        <v>0</v>
      </c>
      <c r="H1193" s="13">
        <f t="shared" si="18"/>
        <v>0</v>
      </c>
    </row>
    <row r="1194" spans="2:8" ht="13.5" thickBot="1" x14ac:dyDescent="0.35">
      <c r="B1194" s="9"/>
      <c r="C1194" s="14" t="s">
        <v>451</v>
      </c>
      <c r="D1194" s="14" t="s">
        <v>278</v>
      </c>
      <c r="E1194" s="18" t="s">
        <v>0</v>
      </c>
      <c r="F1194" s="17" t="s">
        <v>23</v>
      </c>
      <c r="G1194" s="17">
        <f>ROUNDUP(G1188/3*4,0)</f>
        <v>0</v>
      </c>
      <c r="H1194" s="13">
        <f t="shared" si="18"/>
        <v>0</v>
      </c>
    </row>
    <row r="1195" spans="2:8" ht="13.5" thickBot="1" x14ac:dyDescent="0.35">
      <c r="B1195" s="9"/>
      <c r="C1195" s="14" t="s">
        <v>452</v>
      </c>
      <c r="D1195" s="14" t="s">
        <v>278</v>
      </c>
      <c r="E1195" s="18" t="s">
        <v>0</v>
      </c>
      <c r="F1195" s="17" t="s">
        <v>23</v>
      </c>
      <c r="G1195" s="17">
        <f>ROUNDUP(G1188/3*4+G1188/1.5*2,0)</f>
        <v>0</v>
      </c>
      <c r="H1195" s="13">
        <f t="shared" si="18"/>
        <v>0</v>
      </c>
    </row>
    <row r="1196" spans="2:8" ht="13.5" thickBot="1" x14ac:dyDescent="0.35">
      <c r="B1196" s="9"/>
      <c r="C1196" s="14" t="s">
        <v>1672</v>
      </c>
      <c r="D1196" s="14" t="s">
        <v>278</v>
      </c>
      <c r="E1196" s="18" t="s">
        <v>9</v>
      </c>
      <c r="F1196" s="17" t="s">
        <v>23</v>
      </c>
      <c r="G1196" s="17">
        <f>ROUNDUP(G1188/1.5,0)</f>
        <v>0</v>
      </c>
      <c r="H1196" s="13">
        <f t="shared" si="18"/>
        <v>0</v>
      </c>
    </row>
    <row r="1197" spans="2:8" ht="13.5" thickBot="1" x14ac:dyDescent="0.35">
      <c r="B1197" s="9"/>
      <c r="C1197" s="14" t="s">
        <v>764</v>
      </c>
      <c r="D1197" s="14" t="s">
        <v>278</v>
      </c>
      <c r="E1197" s="18" t="s">
        <v>9</v>
      </c>
      <c r="F1197" s="17" t="s">
        <v>23</v>
      </c>
      <c r="G1197" s="17">
        <f>ROUNDUP(G1188/3,0)</f>
        <v>0</v>
      </c>
      <c r="H1197" s="13">
        <f t="shared" si="18"/>
        <v>0</v>
      </c>
    </row>
    <row r="1198" spans="2:8" ht="13.5" thickBot="1" x14ac:dyDescent="0.35">
      <c r="B1198" s="9"/>
      <c r="C1198" s="14" t="s">
        <v>749</v>
      </c>
      <c r="D1198" s="14" t="s">
        <v>278</v>
      </c>
      <c r="E1198" s="18" t="s">
        <v>9</v>
      </c>
      <c r="F1198" s="17" t="s">
        <v>23</v>
      </c>
      <c r="G1198" s="17">
        <f>ROUNDUP(G1188/3,0)</f>
        <v>0</v>
      </c>
      <c r="H1198" s="13">
        <f t="shared" si="18"/>
        <v>0</v>
      </c>
    </row>
    <row r="1199" spans="2:8" s="28" customFormat="1" ht="13.5" thickBot="1" x14ac:dyDescent="0.35">
      <c r="B1199" s="24">
        <f>COUNT($B$4:B1198)+1</f>
        <v>467</v>
      </c>
      <c r="C1199" s="25" t="s">
        <v>789</v>
      </c>
      <c r="D1199" s="25"/>
      <c r="E1199" s="26" t="s">
        <v>9</v>
      </c>
      <c r="F1199" s="27" t="s">
        <v>51</v>
      </c>
      <c r="G1199" s="27">
        <v>0</v>
      </c>
      <c r="H1199" s="27">
        <f t="shared" si="18"/>
        <v>0</v>
      </c>
    </row>
    <row r="1200" spans="2:8" ht="13.5" thickBot="1" x14ac:dyDescent="0.35">
      <c r="B1200" s="9"/>
      <c r="C1200" s="14" t="s">
        <v>449</v>
      </c>
      <c r="D1200" s="14" t="s">
        <v>278</v>
      </c>
      <c r="E1200" s="18" t="s">
        <v>0</v>
      </c>
      <c r="F1200" s="17" t="s">
        <v>23</v>
      </c>
      <c r="G1200" s="17">
        <f>ROUNDUP(G1199/3*4+G1199/1.5*2,0)</f>
        <v>0</v>
      </c>
      <c r="H1200" s="13">
        <f t="shared" si="18"/>
        <v>0</v>
      </c>
    </row>
    <row r="1201" spans="2:8" ht="13.5" thickBot="1" x14ac:dyDescent="0.35">
      <c r="B1201" s="9"/>
      <c r="C1201" s="14" t="s">
        <v>784</v>
      </c>
      <c r="D1201" s="14" t="s">
        <v>278</v>
      </c>
      <c r="E1201" s="18" t="s">
        <v>0</v>
      </c>
      <c r="F1201" s="17" t="s">
        <v>23</v>
      </c>
      <c r="G1201" s="17">
        <f>ROUNDUP(G1199/1.5,0)</f>
        <v>0</v>
      </c>
      <c r="H1201" s="13">
        <f t="shared" si="18"/>
        <v>0</v>
      </c>
    </row>
    <row r="1202" spans="2:8" ht="13.5" thickBot="1" x14ac:dyDescent="0.35">
      <c r="B1202" s="9"/>
      <c r="C1202" s="14" t="s">
        <v>1673</v>
      </c>
      <c r="D1202" s="14" t="s">
        <v>278</v>
      </c>
      <c r="E1202" s="18" t="s">
        <v>9</v>
      </c>
      <c r="F1202" s="17" t="s">
        <v>23</v>
      </c>
      <c r="G1202" s="17">
        <f>ROUNDUP(G1199/3,0)</f>
        <v>0</v>
      </c>
      <c r="H1202" s="13">
        <f t="shared" si="18"/>
        <v>0</v>
      </c>
    </row>
    <row r="1203" spans="2:8" ht="13.5" thickBot="1" x14ac:dyDescent="0.35">
      <c r="B1203" s="9"/>
      <c r="C1203" s="14" t="s">
        <v>785</v>
      </c>
      <c r="D1203" s="14" t="s">
        <v>278</v>
      </c>
      <c r="E1203" s="18" t="s">
        <v>9</v>
      </c>
      <c r="F1203" s="17" t="s">
        <v>23</v>
      </c>
      <c r="G1203" s="17">
        <f>ROUNDUP(G1199/1.5,0)</f>
        <v>0</v>
      </c>
      <c r="H1203" s="13">
        <f t="shared" si="18"/>
        <v>0</v>
      </c>
    </row>
    <row r="1204" spans="2:8" ht="13.5" thickBot="1" x14ac:dyDescent="0.35">
      <c r="B1204" s="9"/>
      <c r="C1204" s="14" t="s">
        <v>1674</v>
      </c>
      <c r="D1204" s="14" t="s">
        <v>278</v>
      </c>
      <c r="E1204" s="18" t="s">
        <v>9</v>
      </c>
      <c r="F1204" s="17" t="s">
        <v>23</v>
      </c>
      <c r="G1204" s="17">
        <f>ROUNDUP(G1199/3,0)</f>
        <v>0</v>
      </c>
      <c r="H1204" s="13">
        <f t="shared" si="18"/>
        <v>0</v>
      </c>
    </row>
    <row r="1205" spans="2:8" ht="13.5" thickBot="1" x14ac:dyDescent="0.35">
      <c r="B1205" s="9"/>
      <c r="C1205" s="14" t="s">
        <v>451</v>
      </c>
      <c r="D1205" s="14" t="s">
        <v>278</v>
      </c>
      <c r="E1205" s="18" t="s">
        <v>0</v>
      </c>
      <c r="F1205" s="17" t="s">
        <v>23</v>
      </c>
      <c r="G1205" s="17">
        <f>ROUNDUP(G1199/3*4,0)</f>
        <v>0</v>
      </c>
      <c r="H1205" s="13">
        <f t="shared" si="18"/>
        <v>0</v>
      </c>
    </row>
    <row r="1206" spans="2:8" ht="13.5" thickBot="1" x14ac:dyDescent="0.35">
      <c r="B1206" s="9"/>
      <c r="C1206" s="14" t="s">
        <v>452</v>
      </c>
      <c r="D1206" s="14" t="s">
        <v>278</v>
      </c>
      <c r="E1206" s="18" t="s">
        <v>0</v>
      </c>
      <c r="F1206" s="17" t="s">
        <v>23</v>
      </c>
      <c r="G1206" s="17">
        <f>ROUNDUP(G1199/3*4+G1199/1.5*2,0)</f>
        <v>0</v>
      </c>
      <c r="H1206" s="13">
        <f t="shared" si="18"/>
        <v>0</v>
      </c>
    </row>
    <row r="1207" spans="2:8" ht="13.5" thickBot="1" x14ac:dyDescent="0.35">
      <c r="B1207" s="9"/>
      <c r="C1207" s="14" t="s">
        <v>1675</v>
      </c>
      <c r="D1207" s="14" t="s">
        <v>278</v>
      </c>
      <c r="E1207" s="18" t="s">
        <v>9</v>
      </c>
      <c r="F1207" s="17" t="s">
        <v>23</v>
      </c>
      <c r="G1207" s="17">
        <f>ROUNDUP(G1199/1.5,0)</f>
        <v>0</v>
      </c>
      <c r="H1207" s="13">
        <f t="shared" si="18"/>
        <v>0</v>
      </c>
    </row>
    <row r="1208" spans="2:8" ht="13.5" thickBot="1" x14ac:dyDescent="0.35">
      <c r="B1208" s="9"/>
      <c r="C1208" s="14" t="s">
        <v>769</v>
      </c>
      <c r="D1208" s="14" t="s">
        <v>278</v>
      </c>
      <c r="E1208" s="18" t="s">
        <v>9</v>
      </c>
      <c r="F1208" s="17" t="s">
        <v>23</v>
      </c>
      <c r="G1208" s="17">
        <f>ROUNDUP(G1199/3,0)</f>
        <v>0</v>
      </c>
      <c r="H1208" s="13">
        <f t="shared" si="18"/>
        <v>0</v>
      </c>
    </row>
    <row r="1209" spans="2:8" ht="13.5" thickBot="1" x14ac:dyDescent="0.35">
      <c r="B1209" s="9"/>
      <c r="C1209" s="14" t="s">
        <v>749</v>
      </c>
      <c r="D1209" s="14" t="s">
        <v>278</v>
      </c>
      <c r="E1209" s="18" t="s">
        <v>9</v>
      </c>
      <c r="F1209" s="17" t="s">
        <v>23</v>
      </c>
      <c r="G1209" s="17">
        <f>ROUNDUP(G1199/3,0)</f>
        <v>0</v>
      </c>
      <c r="H1209" s="13">
        <f t="shared" si="18"/>
        <v>0</v>
      </c>
    </row>
    <row r="1210" spans="2:8" ht="13.5" thickBot="1" x14ac:dyDescent="0.35">
      <c r="B1210" s="9">
        <f>COUNT($B$4:B1209)+1</f>
        <v>468</v>
      </c>
      <c r="C1210" s="10" t="s">
        <v>790</v>
      </c>
      <c r="D1210" s="10"/>
      <c r="E1210" s="11" t="s">
        <v>9</v>
      </c>
      <c r="F1210" s="12" t="s">
        <v>51</v>
      </c>
      <c r="G1210" s="12"/>
      <c r="H1210" s="13">
        <f t="shared" si="18"/>
        <v>0</v>
      </c>
    </row>
    <row r="1211" spans="2:8" ht="13.5" thickBot="1" x14ac:dyDescent="0.35">
      <c r="B1211" s="9"/>
      <c r="C1211" s="14" t="s">
        <v>449</v>
      </c>
      <c r="D1211" s="14" t="s">
        <v>278</v>
      </c>
      <c r="E1211" s="18" t="s">
        <v>0</v>
      </c>
      <c r="F1211" s="17" t="s">
        <v>23</v>
      </c>
      <c r="G1211" s="17">
        <f>ROUNDUP(G1210/3*4+G1210/1.5*4,0)</f>
        <v>0</v>
      </c>
      <c r="H1211" s="13">
        <f t="shared" si="18"/>
        <v>0</v>
      </c>
    </row>
    <row r="1212" spans="2:8" ht="13.5" thickBot="1" x14ac:dyDescent="0.35">
      <c r="B1212" s="9"/>
      <c r="C1212" s="14" t="s">
        <v>784</v>
      </c>
      <c r="D1212" s="14" t="s">
        <v>278</v>
      </c>
      <c r="E1212" s="18" t="s">
        <v>0</v>
      </c>
      <c r="F1212" s="17" t="s">
        <v>23</v>
      </c>
      <c r="G1212" s="17">
        <f>ROUNDUP(G1210/1.5*2,0)</f>
        <v>0</v>
      </c>
      <c r="H1212" s="13">
        <f t="shared" si="18"/>
        <v>0</v>
      </c>
    </row>
    <row r="1213" spans="2:8" ht="13.5" thickBot="1" x14ac:dyDescent="0.35">
      <c r="B1213" s="9"/>
      <c r="C1213" s="14" t="s">
        <v>771</v>
      </c>
      <c r="D1213" s="14" t="s">
        <v>278</v>
      </c>
      <c r="E1213" s="18" t="s">
        <v>9</v>
      </c>
      <c r="F1213" s="17" t="s">
        <v>23</v>
      </c>
      <c r="G1213" s="17">
        <f>ROUNDUP(G1210/3,0)</f>
        <v>0</v>
      </c>
      <c r="H1213" s="13">
        <f t="shared" si="18"/>
        <v>0</v>
      </c>
    </row>
    <row r="1214" spans="2:8" ht="13.5" thickBot="1" x14ac:dyDescent="0.35">
      <c r="B1214" s="9"/>
      <c r="C1214" s="14" t="s">
        <v>785</v>
      </c>
      <c r="D1214" s="14" t="s">
        <v>278</v>
      </c>
      <c r="E1214" s="18" t="s">
        <v>9</v>
      </c>
      <c r="F1214" s="17" t="s">
        <v>23</v>
      </c>
      <c r="G1214" s="17">
        <f>ROUNDUP(G1210/1.5*2,0)</f>
        <v>0</v>
      </c>
      <c r="H1214" s="13">
        <f t="shared" si="18"/>
        <v>0</v>
      </c>
    </row>
    <row r="1215" spans="2:8" ht="13.5" thickBot="1" x14ac:dyDescent="0.35">
      <c r="B1215" s="9"/>
      <c r="C1215" s="14" t="s">
        <v>772</v>
      </c>
      <c r="D1215" s="14" t="s">
        <v>278</v>
      </c>
      <c r="E1215" s="18" t="s">
        <v>9</v>
      </c>
      <c r="F1215" s="17" t="s">
        <v>23</v>
      </c>
      <c r="G1215" s="17">
        <f>ROUNDUP(G1210/3,0)</f>
        <v>0</v>
      </c>
      <c r="H1215" s="13">
        <f t="shared" si="18"/>
        <v>0</v>
      </c>
    </row>
    <row r="1216" spans="2:8" ht="13.5" thickBot="1" x14ac:dyDescent="0.35">
      <c r="B1216" s="9"/>
      <c r="C1216" s="14" t="s">
        <v>451</v>
      </c>
      <c r="D1216" s="14" t="s">
        <v>278</v>
      </c>
      <c r="E1216" s="18" t="s">
        <v>0</v>
      </c>
      <c r="F1216" s="17" t="s">
        <v>23</v>
      </c>
      <c r="G1216" s="17">
        <f>ROUNDUP(G1210/3*4,0)</f>
        <v>0</v>
      </c>
      <c r="H1216" s="13">
        <f t="shared" si="18"/>
        <v>0</v>
      </c>
    </row>
    <row r="1217" spans="2:8" ht="13.5" thickBot="1" x14ac:dyDescent="0.35">
      <c r="B1217" s="9"/>
      <c r="C1217" s="14" t="s">
        <v>452</v>
      </c>
      <c r="D1217" s="14" t="s">
        <v>278</v>
      </c>
      <c r="E1217" s="18" t="s">
        <v>0</v>
      </c>
      <c r="F1217" s="17" t="s">
        <v>23</v>
      </c>
      <c r="G1217" s="17">
        <f>ROUNDUP(G1210/3*4+G1210/1.5*4,0)</f>
        <v>0</v>
      </c>
      <c r="H1217" s="13">
        <f t="shared" si="18"/>
        <v>0</v>
      </c>
    </row>
    <row r="1218" spans="2:8" ht="13.5" thickBot="1" x14ac:dyDescent="0.35">
      <c r="B1218" s="9"/>
      <c r="C1218" s="14" t="s">
        <v>773</v>
      </c>
      <c r="D1218" s="14" t="s">
        <v>278</v>
      </c>
      <c r="E1218" s="18" t="s">
        <v>9</v>
      </c>
      <c r="F1218" s="17" t="s">
        <v>23</v>
      </c>
      <c r="G1218" s="17">
        <f>ROUNDUP(G1210/7.5,0)</f>
        <v>0</v>
      </c>
      <c r="H1218" s="13">
        <f t="shared" si="18"/>
        <v>0</v>
      </c>
    </row>
    <row r="1219" spans="2:8" ht="13.5" thickBot="1" x14ac:dyDescent="0.35">
      <c r="B1219" s="9"/>
      <c r="C1219" s="14" t="s">
        <v>774</v>
      </c>
      <c r="D1219" s="14" t="s">
        <v>278</v>
      </c>
      <c r="E1219" s="18" t="s">
        <v>9</v>
      </c>
      <c r="F1219" s="17" t="s">
        <v>23</v>
      </c>
      <c r="G1219" s="17">
        <f>ROUNDUP(G1210/3,0)</f>
        <v>0</v>
      </c>
      <c r="H1219" s="13">
        <f t="shared" si="18"/>
        <v>0</v>
      </c>
    </row>
    <row r="1220" spans="2:8" ht="13.5" thickBot="1" x14ac:dyDescent="0.35">
      <c r="B1220" s="9"/>
      <c r="C1220" s="14" t="s">
        <v>749</v>
      </c>
      <c r="D1220" s="14" t="s">
        <v>278</v>
      </c>
      <c r="E1220" s="18" t="s">
        <v>9</v>
      </c>
      <c r="F1220" s="17" t="s">
        <v>23</v>
      </c>
      <c r="G1220" s="17">
        <f>ROUNDUP(G1210/3*2,0)</f>
        <v>0</v>
      </c>
      <c r="H1220" s="13">
        <f t="shared" si="18"/>
        <v>0</v>
      </c>
    </row>
    <row r="1221" spans="2:8" ht="13.5" thickBot="1" x14ac:dyDescent="0.35">
      <c r="B1221" s="9">
        <f>COUNT($B$4:B1220)+1</f>
        <v>469</v>
      </c>
      <c r="C1221" s="10" t="s">
        <v>791</v>
      </c>
      <c r="D1221" s="10"/>
      <c r="E1221" s="11" t="s">
        <v>9</v>
      </c>
      <c r="F1221" s="12" t="s">
        <v>51</v>
      </c>
      <c r="G1221" s="12"/>
      <c r="H1221" s="13">
        <f t="shared" ref="H1221:H1284" si="19">SUM(G1221:G1221)</f>
        <v>0</v>
      </c>
    </row>
    <row r="1222" spans="2:8" ht="13.5" thickBot="1" x14ac:dyDescent="0.35">
      <c r="B1222" s="9"/>
      <c r="C1222" s="14" t="s">
        <v>449</v>
      </c>
      <c r="D1222" s="14" t="s">
        <v>278</v>
      </c>
      <c r="E1222" s="18" t="s">
        <v>0</v>
      </c>
      <c r="F1222" s="17" t="s">
        <v>23</v>
      </c>
      <c r="G1222" s="17">
        <f>ROUNDUP(G1221/3*4+G1221/1.5*4,0)</f>
        <v>0</v>
      </c>
      <c r="H1222" s="13">
        <f t="shared" si="19"/>
        <v>0</v>
      </c>
    </row>
    <row r="1223" spans="2:8" ht="13.5" thickBot="1" x14ac:dyDescent="0.35">
      <c r="B1223" s="9"/>
      <c r="C1223" s="14" t="s">
        <v>784</v>
      </c>
      <c r="D1223" s="14" t="s">
        <v>278</v>
      </c>
      <c r="E1223" s="18" t="s">
        <v>0</v>
      </c>
      <c r="F1223" s="17" t="s">
        <v>23</v>
      </c>
      <c r="G1223" s="17">
        <f>ROUNDUP(G1221/1.5*2,0)</f>
        <v>0</v>
      </c>
      <c r="H1223" s="13">
        <f t="shared" si="19"/>
        <v>0</v>
      </c>
    </row>
    <row r="1224" spans="2:8" ht="13.5" thickBot="1" x14ac:dyDescent="0.35">
      <c r="B1224" s="9"/>
      <c r="C1224" s="14" t="s">
        <v>776</v>
      </c>
      <c r="D1224" s="14" t="s">
        <v>278</v>
      </c>
      <c r="E1224" s="18" t="s">
        <v>9</v>
      </c>
      <c r="F1224" s="17" t="s">
        <v>23</v>
      </c>
      <c r="G1224" s="17">
        <f>ROUNDUP(G1221/3,0)</f>
        <v>0</v>
      </c>
      <c r="H1224" s="13">
        <f t="shared" si="19"/>
        <v>0</v>
      </c>
    </row>
    <row r="1225" spans="2:8" ht="13.5" thickBot="1" x14ac:dyDescent="0.35">
      <c r="B1225" s="9"/>
      <c r="C1225" s="14" t="s">
        <v>785</v>
      </c>
      <c r="D1225" s="14" t="s">
        <v>278</v>
      </c>
      <c r="E1225" s="18" t="s">
        <v>9</v>
      </c>
      <c r="F1225" s="17" t="s">
        <v>23</v>
      </c>
      <c r="G1225" s="17">
        <f>ROUNDUP(G1221/1.5*2,0)</f>
        <v>0</v>
      </c>
      <c r="H1225" s="13">
        <f t="shared" si="19"/>
        <v>0</v>
      </c>
    </row>
    <row r="1226" spans="2:8" ht="13.5" thickBot="1" x14ac:dyDescent="0.35">
      <c r="B1226" s="9"/>
      <c r="C1226" s="14" t="s">
        <v>777</v>
      </c>
      <c r="D1226" s="14" t="s">
        <v>278</v>
      </c>
      <c r="E1226" s="18" t="s">
        <v>9</v>
      </c>
      <c r="F1226" s="17" t="s">
        <v>23</v>
      </c>
      <c r="G1226" s="17">
        <f>ROUNDUP(G1221/3,0)</f>
        <v>0</v>
      </c>
      <c r="H1226" s="13">
        <f t="shared" si="19"/>
        <v>0</v>
      </c>
    </row>
    <row r="1227" spans="2:8" ht="13.5" thickBot="1" x14ac:dyDescent="0.35">
      <c r="B1227" s="9"/>
      <c r="C1227" s="14" t="s">
        <v>451</v>
      </c>
      <c r="D1227" s="14" t="s">
        <v>278</v>
      </c>
      <c r="E1227" s="18" t="s">
        <v>0</v>
      </c>
      <c r="F1227" s="17" t="s">
        <v>23</v>
      </c>
      <c r="G1227" s="17">
        <f>ROUNDUP(G1221/3*4,0)</f>
        <v>0</v>
      </c>
      <c r="H1227" s="13">
        <f t="shared" si="19"/>
        <v>0</v>
      </c>
    </row>
    <row r="1228" spans="2:8" ht="13.5" thickBot="1" x14ac:dyDescent="0.35">
      <c r="B1228" s="9"/>
      <c r="C1228" s="14" t="s">
        <v>452</v>
      </c>
      <c r="D1228" s="14" t="s">
        <v>278</v>
      </c>
      <c r="E1228" s="18" t="s">
        <v>0</v>
      </c>
      <c r="F1228" s="17" t="s">
        <v>23</v>
      </c>
      <c r="G1228" s="17">
        <f>ROUNDUP(G1221/3*4+G1221/1.5*4,0)</f>
        <v>0</v>
      </c>
      <c r="H1228" s="13">
        <f t="shared" si="19"/>
        <v>0</v>
      </c>
    </row>
    <row r="1229" spans="2:8" ht="13.5" thickBot="1" x14ac:dyDescent="0.35">
      <c r="B1229" s="9"/>
      <c r="C1229" s="14" t="s">
        <v>773</v>
      </c>
      <c r="D1229" s="14" t="s">
        <v>278</v>
      </c>
      <c r="E1229" s="18" t="s">
        <v>9</v>
      </c>
      <c r="F1229" s="17" t="s">
        <v>23</v>
      </c>
      <c r="G1229" s="17">
        <f>ROUNDUP(G1221/7.5,0)</f>
        <v>0</v>
      </c>
      <c r="H1229" s="13">
        <f t="shared" si="19"/>
        <v>0</v>
      </c>
    </row>
    <row r="1230" spans="2:8" ht="13.5" thickBot="1" x14ac:dyDescent="0.35">
      <c r="B1230" s="9"/>
      <c r="C1230" s="14" t="s">
        <v>778</v>
      </c>
      <c r="D1230" s="14" t="s">
        <v>278</v>
      </c>
      <c r="E1230" s="18" t="s">
        <v>9</v>
      </c>
      <c r="F1230" s="17" t="s">
        <v>23</v>
      </c>
      <c r="G1230" s="17">
        <f>ROUNDUP(G1221/3,0)</f>
        <v>0</v>
      </c>
      <c r="H1230" s="13">
        <f t="shared" si="19"/>
        <v>0</v>
      </c>
    </row>
    <row r="1231" spans="2:8" ht="13.5" thickBot="1" x14ac:dyDescent="0.35">
      <c r="B1231" s="9"/>
      <c r="C1231" s="14" t="s">
        <v>749</v>
      </c>
      <c r="D1231" s="14" t="s">
        <v>278</v>
      </c>
      <c r="E1231" s="18" t="s">
        <v>9</v>
      </c>
      <c r="F1231" s="17" t="s">
        <v>23</v>
      </c>
      <c r="G1231" s="17">
        <f>ROUNDUP(G1221/3*2,0)</f>
        <v>0</v>
      </c>
      <c r="H1231" s="13">
        <f t="shared" si="19"/>
        <v>0</v>
      </c>
    </row>
    <row r="1232" spans="2:8" ht="13.5" thickBot="1" x14ac:dyDescent="0.35">
      <c r="B1232" s="9">
        <f>COUNT($B$4:B1231)+1</f>
        <v>470</v>
      </c>
      <c r="C1232" s="10" t="s">
        <v>792</v>
      </c>
      <c r="D1232" s="10"/>
      <c r="E1232" s="11" t="s">
        <v>9</v>
      </c>
      <c r="F1232" s="12" t="s">
        <v>51</v>
      </c>
      <c r="G1232" s="12"/>
      <c r="H1232" s="13">
        <f t="shared" si="19"/>
        <v>0</v>
      </c>
    </row>
    <row r="1233" spans="2:8" ht="13.5" thickBot="1" x14ac:dyDescent="0.35">
      <c r="B1233" s="9"/>
      <c r="C1233" s="14" t="s">
        <v>449</v>
      </c>
      <c r="D1233" s="14" t="s">
        <v>278</v>
      </c>
      <c r="E1233" s="18" t="s">
        <v>0</v>
      </c>
      <c r="F1233" s="17" t="s">
        <v>23</v>
      </c>
      <c r="G1233" s="17">
        <f>ROUNDUP(G1232/3*4+G1232/1.5*4,0)</f>
        <v>0</v>
      </c>
      <c r="H1233" s="13">
        <f t="shared" si="19"/>
        <v>0</v>
      </c>
    </row>
    <row r="1234" spans="2:8" ht="13.5" thickBot="1" x14ac:dyDescent="0.35">
      <c r="B1234" s="9"/>
      <c r="C1234" s="14" t="s">
        <v>784</v>
      </c>
      <c r="D1234" s="14" t="s">
        <v>278</v>
      </c>
      <c r="E1234" s="18" t="s">
        <v>0</v>
      </c>
      <c r="F1234" s="17" t="s">
        <v>23</v>
      </c>
      <c r="G1234" s="17">
        <f>ROUNDUP(G1232/1.5*2,0)</f>
        <v>0</v>
      </c>
      <c r="H1234" s="13">
        <f t="shared" si="19"/>
        <v>0</v>
      </c>
    </row>
    <row r="1235" spans="2:8" ht="13.5" thickBot="1" x14ac:dyDescent="0.35">
      <c r="B1235" s="9"/>
      <c r="C1235" s="14" t="s">
        <v>780</v>
      </c>
      <c r="D1235" s="14" t="s">
        <v>278</v>
      </c>
      <c r="E1235" s="18" t="s">
        <v>9</v>
      </c>
      <c r="F1235" s="17" t="s">
        <v>23</v>
      </c>
      <c r="G1235" s="17">
        <f>ROUNDUP(G1232/3,0)</f>
        <v>0</v>
      </c>
      <c r="H1235" s="13">
        <f t="shared" si="19"/>
        <v>0</v>
      </c>
    </row>
    <row r="1236" spans="2:8" ht="13.5" thickBot="1" x14ac:dyDescent="0.35">
      <c r="B1236" s="9"/>
      <c r="C1236" s="14" t="s">
        <v>785</v>
      </c>
      <c r="D1236" s="14" t="s">
        <v>278</v>
      </c>
      <c r="E1236" s="18" t="s">
        <v>9</v>
      </c>
      <c r="F1236" s="17" t="s">
        <v>23</v>
      </c>
      <c r="G1236" s="17">
        <f>ROUNDUP(G1232/1.5*2,0)</f>
        <v>0</v>
      </c>
      <c r="H1236" s="13">
        <f t="shared" si="19"/>
        <v>0</v>
      </c>
    </row>
    <row r="1237" spans="2:8" ht="13.5" thickBot="1" x14ac:dyDescent="0.35">
      <c r="B1237" s="9"/>
      <c r="C1237" s="14" t="s">
        <v>781</v>
      </c>
      <c r="D1237" s="14" t="s">
        <v>278</v>
      </c>
      <c r="E1237" s="18" t="s">
        <v>9</v>
      </c>
      <c r="F1237" s="17" t="s">
        <v>23</v>
      </c>
      <c r="G1237" s="17">
        <f>ROUNDUP(G1232/3,0)</f>
        <v>0</v>
      </c>
      <c r="H1237" s="13">
        <f t="shared" si="19"/>
        <v>0</v>
      </c>
    </row>
    <row r="1238" spans="2:8" ht="13.5" thickBot="1" x14ac:dyDescent="0.35">
      <c r="B1238" s="9"/>
      <c r="C1238" s="14" t="s">
        <v>451</v>
      </c>
      <c r="D1238" s="14" t="s">
        <v>278</v>
      </c>
      <c r="E1238" s="18" t="s">
        <v>0</v>
      </c>
      <c r="F1238" s="17" t="s">
        <v>23</v>
      </c>
      <c r="G1238" s="17">
        <f>ROUNDUP(G1232/3*4,0)</f>
        <v>0</v>
      </c>
      <c r="H1238" s="13">
        <f t="shared" si="19"/>
        <v>0</v>
      </c>
    </row>
    <row r="1239" spans="2:8" ht="13.5" thickBot="1" x14ac:dyDescent="0.35">
      <c r="B1239" s="9"/>
      <c r="C1239" s="14" t="s">
        <v>452</v>
      </c>
      <c r="D1239" s="14" t="s">
        <v>278</v>
      </c>
      <c r="E1239" s="18" t="s">
        <v>0</v>
      </c>
      <c r="F1239" s="17" t="s">
        <v>23</v>
      </c>
      <c r="G1239" s="17">
        <f>ROUNDUP(G1232/3*4+G1232/1.5*4,0)</f>
        <v>0</v>
      </c>
      <c r="H1239" s="13">
        <f t="shared" si="19"/>
        <v>0</v>
      </c>
    </row>
    <row r="1240" spans="2:8" ht="13.5" thickBot="1" x14ac:dyDescent="0.35">
      <c r="B1240" s="9"/>
      <c r="C1240" s="14" t="s">
        <v>773</v>
      </c>
      <c r="D1240" s="14" t="s">
        <v>278</v>
      </c>
      <c r="E1240" s="18" t="s">
        <v>9</v>
      </c>
      <c r="F1240" s="17" t="s">
        <v>23</v>
      </c>
      <c r="G1240" s="17">
        <f>ROUNDUP(G1232/7.5,0)</f>
        <v>0</v>
      </c>
      <c r="H1240" s="13">
        <f t="shared" si="19"/>
        <v>0</v>
      </c>
    </row>
    <row r="1241" spans="2:8" ht="13.5" thickBot="1" x14ac:dyDescent="0.35">
      <c r="B1241" s="9"/>
      <c r="C1241" s="14" t="s">
        <v>782</v>
      </c>
      <c r="D1241" s="14" t="s">
        <v>278</v>
      </c>
      <c r="E1241" s="18" t="s">
        <v>9</v>
      </c>
      <c r="F1241" s="17" t="s">
        <v>23</v>
      </c>
      <c r="G1241" s="17">
        <f>ROUNDUP(G1232/3,0)</f>
        <v>0</v>
      </c>
      <c r="H1241" s="13">
        <f t="shared" si="19"/>
        <v>0</v>
      </c>
    </row>
    <row r="1242" spans="2:8" ht="13.5" thickBot="1" x14ac:dyDescent="0.35">
      <c r="B1242" s="9"/>
      <c r="C1242" s="14" t="s">
        <v>749</v>
      </c>
      <c r="D1242" s="14" t="s">
        <v>278</v>
      </c>
      <c r="E1242" s="18" t="s">
        <v>9</v>
      </c>
      <c r="F1242" s="17" t="s">
        <v>23</v>
      </c>
      <c r="G1242" s="17">
        <f>ROUNDUP(G1232/3*2,0)</f>
        <v>0</v>
      </c>
      <c r="H1242" s="13">
        <f t="shared" si="19"/>
        <v>0</v>
      </c>
    </row>
    <row r="1243" spans="2:8" ht="13.5" thickBot="1" x14ac:dyDescent="0.35">
      <c r="B1243" s="9">
        <f>COUNT($B$4:B1242)+1</f>
        <v>471</v>
      </c>
      <c r="C1243" s="10" t="s">
        <v>793</v>
      </c>
      <c r="D1243" s="10" t="s">
        <v>794</v>
      </c>
      <c r="E1243" s="11" t="s">
        <v>9</v>
      </c>
      <c r="F1243" s="12" t="s">
        <v>51</v>
      </c>
      <c r="G1243" s="12"/>
      <c r="H1243" s="13">
        <f t="shared" si="19"/>
        <v>0</v>
      </c>
    </row>
    <row r="1244" spans="2:8" ht="13.5" thickBot="1" x14ac:dyDescent="0.35">
      <c r="B1244" s="9">
        <f>COUNT($B$4:B1243)+1</f>
        <v>472</v>
      </c>
      <c r="C1244" s="10" t="s">
        <v>795</v>
      </c>
      <c r="D1244" s="10" t="s">
        <v>794</v>
      </c>
      <c r="E1244" s="11" t="s">
        <v>9</v>
      </c>
      <c r="F1244" s="12" t="s">
        <v>51</v>
      </c>
      <c r="G1244" s="12"/>
      <c r="H1244" s="13">
        <f t="shared" si="19"/>
        <v>0</v>
      </c>
    </row>
    <row r="1245" spans="2:8" ht="13.5" thickBot="1" x14ac:dyDescent="0.35">
      <c r="B1245" s="9">
        <f>COUNT($B$4:B1244)+1</f>
        <v>473</v>
      </c>
      <c r="C1245" s="10" t="s">
        <v>796</v>
      </c>
      <c r="D1245" s="10" t="s">
        <v>794</v>
      </c>
      <c r="E1245" s="11" t="s">
        <v>9</v>
      </c>
      <c r="F1245" s="12" t="s">
        <v>51</v>
      </c>
      <c r="G1245" s="12"/>
      <c r="H1245" s="13">
        <f t="shared" si="19"/>
        <v>0</v>
      </c>
    </row>
    <row r="1246" spans="2:8" ht="13.5" thickBot="1" x14ac:dyDescent="0.35">
      <c r="B1246" s="9">
        <f>COUNT($B$4:B1245)+1</f>
        <v>474</v>
      </c>
      <c r="C1246" s="10" t="s">
        <v>797</v>
      </c>
      <c r="D1246" s="10" t="s">
        <v>794</v>
      </c>
      <c r="E1246" s="11" t="s">
        <v>9</v>
      </c>
      <c r="F1246" s="12" t="s">
        <v>51</v>
      </c>
      <c r="G1246" s="12">
        <v>0</v>
      </c>
      <c r="H1246" s="13">
        <f t="shared" si="19"/>
        <v>0</v>
      </c>
    </row>
    <row r="1247" spans="2:8" ht="13.5" thickBot="1" x14ac:dyDescent="0.35">
      <c r="B1247" s="9">
        <f>COUNT($B$4:B1246)+1</f>
        <v>475</v>
      </c>
      <c r="C1247" s="10" t="s">
        <v>798</v>
      </c>
      <c r="D1247" s="10" t="s">
        <v>794</v>
      </c>
      <c r="E1247" s="11" t="s">
        <v>9</v>
      </c>
      <c r="F1247" s="12" t="s">
        <v>51</v>
      </c>
      <c r="G1247" s="12"/>
      <c r="H1247" s="13">
        <f t="shared" si="19"/>
        <v>0</v>
      </c>
    </row>
    <row r="1248" spans="2:8" ht="13.5" thickBot="1" x14ac:dyDescent="0.35">
      <c r="B1248" s="9">
        <f>COUNT($B$4:B1247)+1</f>
        <v>476</v>
      </c>
      <c r="C1248" s="10" t="s">
        <v>799</v>
      </c>
      <c r="D1248" s="10" t="s">
        <v>794</v>
      </c>
      <c r="E1248" s="11" t="s">
        <v>9</v>
      </c>
      <c r="F1248" s="12" t="s">
        <v>51</v>
      </c>
      <c r="G1248" s="12"/>
      <c r="H1248" s="13">
        <f t="shared" si="19"/>
        <v>0</v>
      </c>
    </row>
    <row r="1249" spans="2:8" ht="13.5" thickBot="1" x14ac:dyDescent="0.35">
      <c r="B1249" s="9">
        <f>COUNT($B$4:B1248)+1</f>
        <v>477</v>
      </c>
      <c r="C1249" s="10" t="s">
        <v>800</v>
      </c>
      <c r="D1249" s="10" t="s">
        <v>794</v>
      </c>
      <c r="E1249" s="11" t="s">
        <v>9</v>
      </c>
      <c r="F1249" s="12" t="s">
        <v>51</v>
      </c>
      <c r="G1249" s="12">
        <v>360</v>
      </c>
      <c r="H1249" s="13">
        <f t="shared" si="19"/>
        <v>360</v>
      </c>
    </row>
    <row r="1250" spans="2:8" ht="13.5" thickBot="1" x14ac:dyDescent="0.35">
      <c r="B1250" s="9">
        <f>COUNT($B$4:B1249)+1</f>
        <v>478</v>
      </c>
      <c r="C1250" s="10" t="s">
        <v>801</v>
      </c>
      <c r="D1250" s="10" t="s">
        <v>794</v>
      </c>
      <c r="E1250" s="11" t="s">
        <v>9</v>
      </c>
      <c r="F1250" s="12" t="s">
        <v>51</v>
      </c>
      <c r="G1250" s="12">
        <v>0</v>
      </c>
      <c r="H1250" s="13">
        <f t="shared" si="19"/>
        <v>0</v>
      </c>
    </row>
    <row r="1251" spans="2:8" ht="13.5" thickBot="1" x14ac:dyDescent="0.35">
      <c r="B1251" s="9">
        <f>COUNT($B$4:B1250)+1</f>
        <v>479</v>
      </c>
      <c r="C1251" s="10" t="s">
        <v>802</v>
      </c>
      <c r="D1251" s="10" t="s">
        <v>25</v>
      </c>
      <c r="E1251" s="11" t="s">
        <v>9</v>
      </c>
      <c r="F1251" s="12" t="s">
        <v>51</v>
      </c>
      <c r="G1251" s="12"/>
      <c r="H1251" s="13">
        <f t="shared" si="19"/>
        <v>0</v>
      </c>
    </row>
    <row r="1252" spans="2:8" ht="13.5" thickBot="1" x14ac:dyDescent="0.35">
      <c r="B1252" s="9">
        <f>COUNT($B$4:B1251)+1</f>
        <v>480</v>
      </c>
      <c r="C1252" s="10" t="s">
        <v>803</v>
      </c>
      <c r="D1252" s="10" t="s">
        <v>25</v>
      </c>
      <c r="E1252" s="11" t="s">
        <v>9</v>
      </c>
      <c r="F1252" s="12" t="s">
        <v>51</v>
      </c>
      <c r="G1252" s="12"/>
      <c r="H1252" s="13">
        <f t="shared" si="19"/>
        <v>0</v>
      </c>
    </row>
    <row r="1253" spans="2:8" ht="13.5" thickBot="1" x14ac:dyDescent="0.35">
      <c r="B1253" s="9">
        <f>COUNT($B$4:B1252)+1</f>
        <v>481</v>
      </c>
      <c r="C1253" s="10" t="s">
        <v>804</v>
      </c>
      <c r="D1253" s="10" t="s">
        <v>25</v>
      </c>
      <c r="E1253" s="11" t="s">
        <v>9</v>
      </c>
      <c r="F1253" s="12" t="s">
        <v>51</v>
      </c>
      <c r="G1253" s="12"/>
      <c r="H1253" s="13">
        <f t="shared" si="19"/>
        <v>0</v>
      </c>
    </row>
    <row r="1254" spans="2:8" ht="13.5" thickBot="1" x14ac:dyDescent="0.35">
      <c r="B1254" s="9">
        <f>COUNT($B$4:B1253)+1</f>
        <v>482</v>
      </c>
      <c r="C1254" s="10" t="s">
        <v>805</v>
      </c>
      <c r="D1254" s="10" t="s">
        <v>25</v>
      </c>
      <c r="E1254" s="11" t="s">
        <v>9</v>
      </c>
      <c r="F1254" s="12" t="s">
        <v>51</v>
      </c>
      <c r="G1254" s="12"/>
      <c r="H1254" s="13">
        <f t="shared" si="19"/>
        <v>0</v>
      </c>
    </row>
    <row r="1255" spans="2:8" ht="13.5" thickBot="1" x14ac:dyDescent="0.35">
      <c r="B1255" s="9">
        <f>COUNT($B$4:B1254)+1</f>
        <v>483</v>
      </c>
      <c r="C1255" s="10" t="s">
        <v>806</v>
      </c>
      <c r="D1255" s="10" t="s">
        <v>25</v>
      </c>
      <c r="E1255" s="11" t="s">
        <v>9</v>
      </c>
      <c r="F1255" s="12" t="s">
        <v>51</v>
      </c>
      <c r="G1255" s="12"/>
      <c r="H1255" s="13">
        <f t="shared" si="19"/>
        <v>0</v>
      </c>
    </row>
    <row r="1256" spans="2:8" ht="13.5" thickBot="1" x14ac:dyDescent="0.35">
      <c r="B1256" s="9">
        <f>COUNT($B$4:B1255)+1</f>
        <v>484</v>
      </c>
      <c r="C1256" s="10" t="s">
        <v>807</v>
      </c>
      <c r="D1256" s="10" t="s">
        <v>25</v>
      </c>
      <c r="E1256" s="11" t="s">
        <v>9</v>
      </c>
      <c r="F1256" s="12" t="s">
        <v>51</v>
      </c>
      <c r="G1256" s="12"/>
      <c r="H1256" s="13">
        <f t="shared" si="19"/>
        <v>0</v>
      </c>
    </row>
    <row r="1257" spans="2:8" ht="13.5" thickBot="1" x14ac:dyDescent="0.35">
      <c r="B1257" s="9">
        <f>COUNT($B$4:B1256)+1</f>
        <v>485</v>
      </c>
      <c r="C1257" s="10" t="s">
        <v>808</v>
      </c>
      <c r="D1257" s="10" t="s">
        <v>25</v>
      </c>
      <c r="E1257" s="11" t="s">
        <v>9</v>
      </c>
      <c r="F1257" s="12" t="s">
        <v>51</v>
      </c>
      <c r="G1257" s="12"/>
      <c r="H1257" s="13">
        <f t="shared" si="19"/>
        <v>0</v>
      </c>
    </row>
    <row r="1258" spans="2:8" ht="13.5" thickBot="1" x14ac:dyDescent="0.35">
      <c r="B1258" s="9">
        <f>COUNT($B$4:B1257)+1</f>
        <v>486</v>
      </c>
      <c r="C1258" s="10" t="s">
        <v>809</v>
      </c>
      <c r="D1258" s="10" t="s">
        <v>25</v>
      </c>
      <c r="E1258" s="11" t="s">
        <v>9</v>
      </c>
      <c r="F1258" s="12" t="s">
        <v>51</v>
      </c>
      <c r="G1258" s="12">
        <v>80</v>
      </c>
      <c r="H1258" s="13">
        <f t="shared" si="19"/>
        <v>80</v>
      </c>
    </row>
    <row r="1259" spans="2:8" s="28" customFormat="1" ht="13.5" thickBot="1" x14ac:dyDescent="0.35">
      <c r="B1259" s="24">
        <f>COUNT($B$4:B1258)+1</f>
        <v>487</v>
      </c>
      <c r="C1259" s="25" t="s">
        <v>810</v>
      </c>
      <c r="D1259" s="25"/>
      <c r="E1259" s="26" t="s">
        <v>9</v>
      </c>
      <c r="F1259" s="27" t="s">
        <v>51</v>
      </c>
      <c r="G1259" s="27">
        <v>0</v>
      </c>
      <c r="H1259" s="27">
        <f t="shared" si="19"/>
        <v>0</v>
      </c>
    </row>
    <row r="1260" spans="2:8" ht="13.5" thickBot="1" x14ac:dyDescent="0.35">
      <c r="B1260" s="9"/>
      <c r="C1260" s="14" t="s">
        <v>1678</v>
      </c>
      <c r="D1260" s="14" t="s">
        <v>540</v>
      </c>
      <c r="E1260" s="18" t="s">
        <v>9</v>
      </c>
      <c r="F1260" s="17" t="s">
        <v>23</v>
      </c>
      <c r="G1260" s="17">
        <f>ROUNDUP(G1259/3,0)</f>
        <v>0</v>
      </c>
      <c r="H1260" s="13">
        <f t="shared" si="19"/>
        <v>0</v>
      </c>
    </row>
    <row r="1261" spans="2:8" ht="13.5" thickBot="1" x14ac:dyDescent="0.35">
      <c r="B1261" s="9"/>
      <c r="C1261" s="14" t="s">
        <v>811</v>
      </c>
      <c r="D1261" s="14" t="s">
        <v>540</v>
      </c>
      <c r="E1261" s="18" t="s">
        <v>9</v>
      </c>
      <c r="F1261" s="17" t="s">
        <v>23</v>
      </c>
      <c r="G1261" s="17">
        <f>ROUNDUP(G1259/6,0)</f>
        <v>0</v>
      </c>
      <c r="H1261" s="13">
        <f t="shared" si="19"/>
        <v>0</v>
      </c>
    </row>
    <row r="1262" spans="2:8" ht="13.5" thickBot="1" x14ac:dyDescent="0.35">
      <c r="B1262" s="9">
        <f>COUNT($B$4:B1261)+1</f>
        <v>488</v>
      </c>
      <c r="C1262" s="10" t="s">
        <v>812</v>
      </c>
      <c r="D1262" s="10"/>
      <c r="E1262" s="11" t="s">
        <v>9</v>
      </c>
      <c r="F1262" s="12" t="s">
        <v>51</v>
      </c>
      <c r="G1262" s="12"/>
      <c r="H1262" s="13">
        <f t="shared" si="19"/>
        <v>0</v>
      </c>
    </row>
    <row r="1263" spans="2:8" ht="13.5" thickBot="1" x14ac:dyDescent="0.35">
      <c r="B1263" s="9"/>
      <c r="C1263" s="14" t="s">
        <v>813</v>
      </c>
      <c r="D1263" s="14" t="s">
        <v>540</v>
      </c>
      <c r="E1263" s="18" t="s">
        <v>9</v>
      </c>
      <c r="F1263" s="17" t="s">
        <v>23</v>
      </c>
      <c r="G1263" s="17">
        <f>ROUNDUP(G1262/3,0)</f>
        <v>0</v>
      </c>
      <c r="H1263" s="13">
        <f t="shared" si="19"/>
        <v>0</v>
      </c>
    </row>
    <row r="1264" spans="2:8" ht="13.5" thickBot="1" x14ac:dyDescent="0.35">
      <c r="B1264" s="9"/>
      <c r="C1264" s="14" t="s">
        <v>814</v>
      </c>
      <c r="D1264" s="14" t="s">
        <v>540</v>
      </c>
      <c r="E1264" s="18" t="s">
        <v>9</v>
      </c>
      <c r="F1264" s="17" t="s">
        <v>23</v>
      </c>
      <c r="G1264" s="17">
        <f>ROUNDUP(G1262/6,0)</f>
        <v>0</v>
      </c>
      <c r="H1264" s="13">
        <f t="shared" si="19"/>
        <v>0</v>
      </c>
    </row>
    <row r="1265" spans="2:8" ht="13.5" thickBot="1" x14ac:dyDescent="0.35">
      <c r="B1265" s="9">
        <f>COUNT($B$4:B1264)+1</f>
        <v>489</v>
      </c>
      <c r="C1265" s="10" t="s">
        <v>815</v>
      </c>
      <c r="D1265" s="10"/>
      <c r="E1265" s="11" t="s">
        <v>9</v>
      </c>
      <c r="F1265" s="12" t="s">
        <v>51</v>
      </c>
      <c r="G1265" s="12"/>
      <c r="H1265" s="13">
        <f t="shared" si="19"/>
        <v>0</v>
      </c>
    </row>
    <row r="1266" spans="2:8" ht="13.5" thickBot="1" x14ac:dyDescent="0.35">
      <c r="B1266" s="9"/>
      <c r="C1266" s="14" t="s">
        <v>816</v>
      </c>
      <c r="D1266" s="14" t="s">
        <v>540</v>
      </c>
      <c r="E1266" s="18" t="s">
        <v>9</v>
      </c>
      <c r="F1266" s="17" t="s">
        <v>23</v>
      </c>
      <c r="G1266" s="17">
        <f>ROUNDUP(G1265/3,0)</f>
        <v>0</v>
      </c>
      <c r="H1266" s="13">
        <f t="shared" si="19"/>
        <v>0</v>
      </c>
    </row>
    <row r="1267" spans="2:8" ht="13.5" thickBot="1" x14ac:dyDescent="0.35">
      <c r="B1267" s="9"/>
      <c r="C1267" s="14" t="s">
        <v>817</v>
      </c>
      <c r="D1267" s="14" t="s">
        <v>540</v>
      </c>
      <c r="E1267" s="18" t="s">
        <v>9</v>
      </c>
      <c r="F1267" s="17" t="s">
        <v>23</v>
      </c>
      <c r="G1267" s="17">
        <f>ROUNDUP(G1265/6,0)</f>
        <v>0</v>
      </c>
      <c r="H1267" s="13">
        <f t="shared" si="19"/>
        <v>0</v>
      </c>
    </row>
    <row r="1268" spans="2:8" ht="13.5" thickBot="1" x14ac:dyDescent="0.35">
      <c r="B1268" s="9">
        <f>COUNT($B$4:B1267)+1</f>
        <v>490</v>
      </c>
      <c r="C1268" s="10" t="s">
        <v>818</v>
      </c>
      <c r="D1268" s="10"/>
      <c r="E1268" s="11" t="s">
        <v>9</v>
      </c>
      <c r="F1268" s="12" t="s">
        <v>51</v>
      </c>
      <c r="G1268" s="12"/>
      <c r="H1268" s="13">
        <f t="shared" si="19"/>
        <v>0</v>
      </c>
    </row>
    <row r="1269" spans="2:8" ht="13.5" thickBot="1" x14ac:dyDescent="0.35">
      <c r="B1269" s="9"/>
      <c r="C1269" s="14" t="s">
        <v>819</v>
      </c>
      <c r="D1269" s="14" t="s">
        <v>540</v>
      </c>
      <c r="E1269" s="18" t="s">
        <v>9</v>
      </c>
      <c r="F1269" s="17" t="s">
        <v>23</v>
      </c>
      <c r="G1269" s="17">
        <f>ROUNDUP(G1268/3,0)</f>
        <v>0</v>
      </c>
      <c r="H1269" s="13">
        <f t="shared" si="19"/>
        <v>0</v>
      </c>
    </row>
    <row r="1270" spans="2:8" ht="13.5" thickBot="1" x14ac:dyDescent="0.35">
      <c r="B1270" s="9"/>
      <c r="C1270" s="14" t="s">
        <v>820</v>
      </c>
      <c r="D1270" s="14" t="s">
        <v>540</v>
      </c>
      <c r="E1270" s="18" t="s">
        <v>9</v>
      </c>
      <c r="F1270" s="17" t="s">
        <v>23</v>
      </c>
      <c r="G1270" s="17">
        <f>ROUNDUP(G1268/6,0)</f>
        <v>0</v>
      </c>
      <c r="H1270" s="13">
        <f t="shared" si="19"/>
        <v>0</v>
      </c>
    </row>
    <row r="1271" spans="2:8" ht="13.5" thickBot="1" x14ac:dyDescent="0.35">
      <c r="B1271" s="9">
        <f>COUNT($B$4:B1270)+1</f>
        <v>491</v>
      </c>
      <c r="C1271" s="10" t="s">
        <v>821</v>
      </c>
      <c r="D1271" s="10"/>
      <c r="E1271" s="11" t="s">
        <v>9</v>
      </c>
      <c r="F1271" s="12" t="s">
        <v>51</v>
      </c>
      <c r="G1271" s="12"/>
      <c r="H1271" s="13">
        <f t="shared" si="19"/>
        <v>0</v>
      </c>
    </row>
    <row r="1272" spans="2:8" ht="13.5" thickBot="1" x14ac:dyDescent="0.35">
      <c r="B1272" s="9"/>
      <c r="C1272" s="14" t="s">
        <v>822</v>
      </c>
      <c r="D1272" s="14" t="s">
        <v>540</v>
      </c>
      <c r="E1272" s="18" t="s">
        <v>9</v>
      </c>
      <c r="F1272" s="17" t="s">
        <v>23</v>
      </c>
      <c r="G1272" s="17">
        <f>ROUNDUP(G1271/3,0)</f>
        <v>0</v>
      </c>
      <c r="H1272" s="13">
        <f t="shared" si="19"/>
        <v>0</v>
      </c>
    </row>
    <row r="1273" spans="2:8" ht="13.5" thickBot="1" x14ac:dyDescent="0.35">
      <c r="B1273" s="9"/>
      <c r="C1273" s="14" t="s">
        <v>823</v>
      </c>
      <c r="D1273" s="14" t="s">
        <v>540</v>
      </c>
      <c r="E1273" s="18" t="s">
        <v>9</v>
      </c>
      <c r="F1273" s="17" t="s">
        <v>23</v>
      </c>
      <c r="G1273" s="17">
        <f>ROUNDUP(G1271/6,0)</f>
        <v>0</v>
      </c>
      <c r="H1273" s="13">
        <f t="shared" si="19"/>
        <v>0</v>
      </c>
    </row>
    <row r="1274" spans="2:8" ht="13.5" thickBot="1" x14ac:dyDescent="0.35">
      <c r="B1274" s="9">
        <f>COUNT($B$4:B1273)+1</f>
        <v>492</v>
      </c>
      <c r="C1274" s="10" t="s">
        <v>824</v>
      </c>
      <c r="D1274" s="10"/>
      <c r="E1274" s="11" t="s">
        <v>9</v>
      </c>
      <c r="F1274" s="12" t="s">
        <v>51</v>
      </c>
      <c r="G1274" s="12"/>
      <c r="H1274" s="13">
        <f t="shared" si="19"/>
        <v>0</v>
      </c>
    </row>
    <row r="1275" spans="2:8" ht="13.5" thickBot="1" x14ac:dyDescent="0.35">
      <c r="B1275" s="9"/>
      <c r="C1275" s="14" t="s">
        <v>825</v>
      </c>
      <c r="D1275" s="14" t="s">
        <v>540</v>
      </c>
      <c r="E1275" s="18" t="s">
        <v>9</v>
      </c>
      <c r="F1275" s="17" t="s">
        <v>23</v>
      </c>
      <c r="G1275" s="17">
        <f>ROUNDUP(G1274/3,0)</f>
        <v>0</v>
      </c>
      <c r="H1275" s="13">
        <f t="shared" si="19"/>
        <v>0</v>
      </c>
    </row>
    <row r="1276" spans="2:8" ht="13.5" thickBot="1" x14ac:dyDescent="0.35">
      <c r="B1276" s="9"/>
      <c r="C1276" s="14" t="s">
        <v>826</v>
      </c>
      <c r="D1276" s="14" t="s">
        <v>540</v>
      </c>
      <c r="E1276" s="18" t="s">
        <v>9</v>
      </c>
      <c r="F1276" s="17" t="s">
        <v>23</v>
      </c>
      <c r="G1276" s="17">
        <f>ROUNDUP(G1274/6,0)</f>
        <v>0</v>
      </c>
      <c r="H1276" s="13">
        <f t="shared" si="19"/>
        <v>0</v>
      </c>
    </row>
    <row r="1277" spans="2:8" s="28" customFormat="1" ht="13.5" thickBot="1" x14ac:dyDescent="0.35">
      <c r="B1277" s="24">
        <f>COUNT($B$4:B1276)+1</f>
        <v>493</v>
      </c>
      <c r="C1277" s="25" t="s">
        <v>827</v>
      </c>
      <c r="D1277" s="25"/>
      <c r="E1277" s="26" t="s">
        <v>9</v>
      </c>
      <c r="F1277" s="27" t="s">
        <v>51</v>
      </c>
      <c r="G1277" s="27">
        <v>260</v>
      </c>
      <c r="H1277" s="27">
        <f t="shared" si="19"/>
        <v>260</v>
      </c>
    </row>
    <row r="1278" spans="2:8" ht="13.5" thickBot="1" x14ac:dyDescent="0.35">
      <c r="B1278" s="9"/>
      <c r="C1278" s="14" t="s">
        <v>1684</v>
      </c>
      <c r="D1278" s="14" t="s">
        <v>540</v>
      </c>
      <c r="E1278" s="18" t="s">
        <v>9</v>
      </c>
      <c r="F1278" s="17" t="s">
        <v>23</v>
      </c>
      <c r="G1278" s="17">
        <f>ROUNDUP(G1277/3,0)</f>
        <v>87</v>
      </c>
      <c r="H1278" s="13">
        <f t="shared" si="19"/>
        <v>87</v>
      </c>
    </row>
    <row r="1279" spans="2:8" ht="13.5" thickBot="1" x14ac:dyDescent="0.35">
      <c r="B1279" s="9"/>
      <c r="C1279" s="14" t="s">
        <v>828</v>
      </c>
      <c r="D1279" s="14" t="s">
        <v>540</v>
      </c>
      <c r="E1279" s="18" t="s">
        <v>9</v>
      </c>
      <c r="F1279" s="17" t="s">
        <v>23</v>
      </c>
      <c r="G1279" s="17">
        <f>ROUNDUP(G1277/6,0)</f>
        <v>44</v>
      </c>
      <c r="H1279" s="13">
        <f t="shared" si="19"/>
        <v>44</v>
      </c>
    </row>
    <row r="1280" spans="2:8" s="28" customFormat="1" ht="13.5" thickBot="1" x14ac:dyDescent="0.35">
      <c r="B1280" s="24">
        <f>COUNT($B$4:B1279)+1</f>
        <v>494</v>
      </c>
      <c r="C1280" s="25" t="s">
        <v>829</v>
      </c>
      <c r="D1280" s="25"/>
      <c r="E1280" s="26" t="s">
        <v>9</v>
      </c>
      <c r="F1280" s="27" t="s">
        <v>51</v>
      </c>
      <c r="G1280" s="27">
        <v>0</v>
      </c>
      <c r="H1280" s="27">
        <f t="shared" si="19"/>
        <v>0</v>
      </c>
    </row>
    <row r="1281" spans="2:8" ht="13.5" thickBot="1" x14ac:dyDescent="0.35">
      <c r="B1281" s="9"/>
      <c r="C1281" s="14" t="s">
        <v>1676</v>
      </c>
      <c r="D1281" s="14" t="s">
        <v>540</v>
      </c>
      <c r="E1281" s="18" t="s">
        <v>9</v>
      </c>
      <c r="F1281" s="17" t="s">
        <v>23</v>
      </c>
      <c r="G1281" s="17">
        <f>ROUNDUP(G1280/3,0)</f>
        <v>0</v>
      </c>
      <c r="H1281" s="13">
        <f t="shared" si="19"/>
        <v>0</v>
      </c>
    </row>
    <row r="1282" spans="2:8" ht="13.5" thickBot="1" x14ac:dyDescent="0.35">
      <c r="B1282" s="9"/>
      <c r="C1282" s="14" t="s">
        <v>1677</v>
      </c>
      <c r="D1282" s="14" t="s">
        <v>540</v>
      </c>
      <c r="E1282" s="18" t="s">
        <v>9</v>
      </c>
      <c r="F1282" s="17" t="s">
        <v>23</v>
      </c>
      <c r="G1282" s="17">
        <f>ROUNDUP(G1280/6,0)</f>
        <v>0</v>
      </c>
      <c r="H1282" s="13">
        <f t="shared" si="19"/>
        <v>0</v>
      </c>
    </row>
    <row r="1283" spans="2:8" ht="13.5" thickBot="1" x14ac:dyDescent="0.35">
      <c r="B1283" s="9">
        <f>COUNT($B$4:B1282)+1</f>
        <v>495</v>
      </c>
      <c r="C1283" s="10" t="s">
        <v>832</v>
      </c>
      <c r="D1283" s="10"/>
      <c r="E1283" s="11" t="s">
        <v>5</v>
      </c>
      <c r="F1283" s="12" t="s">
        <v>51</v>
      </c>
      <c r="G1283" s="12"/>
      <c r="H1283" s="13">
        <f t="shared" si="19"/>
        <v>0</v>
      </c>
    </row>
    <row r="1284" spans="2:8" ht="13.5" thickBot="1" x14ac:dyDescent="0.35">
      <c r="B1284" s="9"/>
      <c r="C1284" s="14" t="s">
        <v>833</v>
      </c>
      <c r="D1284" s="14" t="s">
        <v>540</v>
      </c>
      <c r="E1284" s="18" t="s">
        <v>5</v>
      </c>
      <c r="F1284" s="17" t="s">
        <v>23</v>
      </c>
      <c r="G1284" s="17">
        <f>ROUNDUP(G1283/3,0)</f>
        <v>0</v>
      </c>
      <c r="H1284" s="13">
        <f t="shared" si="19"/>
        <v>0</v>
      </c>
    </row>
    <row r="1285" spans="2:8" ht="13.5" thickBot="1" x14ac:dyDescent="0.35">
      <c r="B1285" s="9"/>
      <c r="C1285" s="14" t="s">
        <v>834</v>
      </c>
      <c r="D1285" s="14" t="s">
        <v>540</v>
      </c>
      <c r="E1285" s="18" t="s">
        <v>5</v>
      </c>
      <c r="F1285" s="17" t="s">
        <v>23</v>
      </c>
      <c r="G1285" s="17">
        <f>ROUNDUP(G1283/6,0)</f>
        <v>0</v>
      </c>
      <c r="H1285" s="13">
        <f t="shared" ref="H1285:H1348" si="20">SUM(G1285:G1285)</f>
        <v>0</v>
      </c>
    </row>
    <row r="1286" spans="2:8" ht="13.5" thickBot="1" x14ac:dyDescent="0.35">
      <c r="B1286" s="9">
        <f>COUNT($B$4:B1285)+1</f>
        <v>496</v>
      </c>
      <c r="C1286" s="10" t="s">
        <v>835</v>
      </c>
      <c r="D1286" s="10"/>
      <c r="E1286" s="11" t="s">
        <v>9</v>
      </c>
      <c r="F1286" s="12" t="s">
        <v>51</v>
      </c>
      <c r="G1286" s="12"/>
      <c r="H1286" s="13">
        <f t="shared" si="20"/>
        <v>0</v>
      </c>
    </row>
    <row r="1287" spans="2:8" ht="13.5" thickBot="1" x14ac:dyDescent="0.35">
      <c r="B1287" s="9"/>
      <c r="C1287" s="14" t="s">
        <v>836</v>
      </c>
      <c r="D1287" s="14" t="s">
        <v>25</v>
      </c>
      <c r="E1287" s="18" t="s">
        <v>9</v>
      </c>
      <c r="F1287" s="17" t="s">
        <v>23</v>
      </c>
      <c r="G1287" s="17">
        <f>ROUNDUP(G1286/3,0)</f>
        <v>0</v>
      </c>
      <c r="H1287" s="13">
        <f t="shared" si="20"/>
        <v>0</v>
      </c>
    </row>
    <row r="1288" spans="2:8" ht="13.5" thickBot="1" x14ac:dyDescent="0.35">
      <c r="B1288" s="9"/>
      <c r="C1288" s="14" t="s">
        <v>837</v>
      </c>
      <c r="D1288" s="14" t="s">
        <v>25</v>
      </c>
      <c r="E1288" s="18" t="s">
        <v>9</v>
      </c>
      <c r="F1288" s="17" t="s">
        <v>23</v>
      </c>
      <c r="G1288" s="17">
        <f>ROUNDUP(G1286/6,0)</f>
        <v>0</v>
      </c>
      <c r="H1288" s="13">
        <f t="shared" si="20"/>
        <v>0</v>
      </c>
    </row>
    <row r="1289" spans="2:8" ht="13.5" thickBot="1" x14ac:dyDescent="0.35">
      <c r="B1289" s="9">
        <f>COUNT($B$4:B1288)+1</f>
        <v>497</v>
      </c>
      <c r="C1289" s="10" t="s">
        <v>838</v>
      </c>
      <c r="D1289" s="10"/>
      <c r="E1289" s="11" t="s">
        <v>9</v>
      </c>
      <c r="F1289" s="12" t="s">
        <v>51</v>
      </c>
      <c r="G1289" s="12"/>
      <c r="H1289" s="13">
        <f t="shared" si="20"/>
        <v>0</v>
      </c>
    </row>
    <row r="1290" spans="2:8" ht="13.5" thickBot="1" x14ac:dyDescent="0.35">
      <c r="B1290" s="9"/>
      <c r="C1290" s="14" t="s">
        <v>839</v>
      </c>
      <c r="D1290" s="14" t="s">
        <v>25</v>
      </c>
      <c r="E1290" s="18" t="s">
        <v>9</v>
      </c>
      <c r="F1290" s="17" t="s">
        <v>23</v>
      </c>
      <c r="G1290" s="17">
        <f>ROUNDUP(G1289/3,0)</f>
        <v>0</v>
      </c>
      <c r="H1290" s="13">
        <f t="shared" si="20"/>
        <v>0</v>
      </c>
    </row>
    <row r="1291" spans="2:8" ht="13.5" thickBot="1" x14ac:dyDescent="0.35">
      <c r="B1291" s="9"/>
      <c r="C1291" s="14" t="s">
        <v>840</v>
      </c>
      <c r="D1291" s="14" t="s">
        <v>25</v>
      </c>
      <c r="E1291" s="18" t="s">
        <v>9</v>
      </c>
      <c r="F1291" s="17" t="s">
        <v>23</v>
      </c>
      <c r="G1291" s="17">
        <f>ROUNDUP(G1289/6,0)</f>
        <v>0</v>
      </c>
      <c r="H1291" s="13">
        <f t="shared" si="20"/>
        <v>0</v>
      </c>
    </row>
    <row r="1292" spans="2:8" ht="13.5" thickBot="1" x14ac:dyDescent="0.35">
      <c r="B1292" s="9">
        <f>COUNT($B$4:B1291)+1</f>
        <v>498</v>
      </c>
      <c r="C1292" s="10" t="s">
        <v>841</v>
      </c>
      <c r="D1292" s="10"/>
      <c r="E1292" s="11" t="s">
        <v>9</v>
      </c>
      <c r="F1292" s="12" t="s">
        <v>51</v>
      </c>
      <c r="G1292" s="12"/>
      <c r="H1292" s="13">
        <f t="shared" si="20"/>
        <v>0</v>
      </c>
    </row>
    <row r="1293" spans="2:8" ht="13.5" thickBot="1" x14ac:dyDescent="0.35">
      <c r="B1293" s="9"/>
      <c r="C1293" s="14" t="s">
        <v>842</v>
      </c>
      <c r="D1293" s="14" t="s">
        <v>25</v>
      </c>
      <c r="E1293" s="18" t="s">
        <v>9</v>
      </c>
      <c r="F1293" s="17" t="s">
        <v>23</v>
      </c>
      <c r="G1293" s="17">
        <f>ROUNDUP(G1292/3,0)</f>
        <v>0</v>
      </c>
      <c r="H1293" s="13">
        <f t="shared" si="20"/>
        <v>0</v>
      </c>
    </row>
    <row r="1294" spans="2:8" ht="13.5" thickBot="1" x14ac:dyDescent="0.35">
      <c r="B1294" s="9"/>
      <c r="C1294" s="14" t="s">
        <v>843</v>
      </c>
      <c r="D1294" s="14" t="s">
        <v>25</v>
      </c>
      <c r="E1294" s="18" t="s">
        <v>9</v>
      </c>
      <c r="F1294" s="17" t="s">
        <v>23</v>
      </c>
      <c r="G1294" s="17">
        <f>ROUNDUP(G1292/6,0)</f>
        <v>0</v>
      </c>
      <c r="H1294" s="13">
        <f t="shared" si="20"/>
        <v>0</v>
      </c>
    </row>
    <row r="1295" spans="2:8" ht="13.5" thickBot="1" x14ac:dyDescent="0.35">
      <c r="B1295" s="9">
        <f>COUNT($B$4:B1294)+1</f>
        <v>499</v>
      </c>
      <c r="C1295" s="10" t="s">
        <v>844</v>
      </c>
      <c r="D1295" s="10"/>
      <c r="E1295" s="11" t="s">
        <v>9</v>
      </c>
      <c r="F1295" s="12" t="s">
        <v>51</v>
      </c>
      <c r="G1295" s="12"/>
      <c r="H1295" s="13">
        <f t="shared" si="20"/>
        <v>0</v>
      </c>
    </row>
    <row r="1296" spans="2:8" ht="13.5" thickBot="1" x14ac:dyDescent="0.35">
      <c r="B1296" s="9"/>
      <c r="C1296" s="14" t="s">
        <v>845</v>
      </c>
      <c r="D1296" s="14" t="s">
        <v>25</v>
      </c>
      <c r="E1296" s="18" t="s">
        <v>9</v>
      </c>
      <c r="F1296" s="17" t="s">
        <v>23</v>
      </c>
      <c r="G1296" s="17">
        <f>ROUNDUP(G1295/3,0)</f>
        <v>0</v>
      </c>
      <c r="H1296" s="13">
        <f t="shared" si="20"/>
        <v>0</v>
      </c>
    </row>
    <row r="1297" spans="2:8" ht="13.5" thickBot="1" x14ac:dyDescent="0.35">
      <c r="B1297" s="9"/>
      <c r="C1297" s="14" t="s">
        <v>846</v>
      </c>
      <c r="D1297" s="14" t="s">
        <v>25</v>
      </c>
      <c r="E1297" s="18" t="s">
        <v>9</v>
      </c>
      <c r="F1297" s="17" t="s">
        <v>23</v>
      </c>
      <c r="G1297" s="17">
        <f>ROUNDUP(G1295/6,0)</f>
        <v>0</v>
      </c>
      <c r="H1297" s="13">
        <f t="shared" si="20"/>
        <v>0</v>
      </c>
    </row>
    <row r="1298" spans="2:8" ht="13.5" thickBot="1" x14ac:dyDescent="0.35">
      <c r="B1298" s="9">
        <f>COUNT($B$4:B1297)+1</f>
        <v>500</v>
      </c>
      <c r="C1298" s="10" t="s">
        <v>847</v>
      </c>
      <c r="D1298" s="10"/>
      <c r="E1298" s="11" t="s">
        <v>9</v>
      </c>
      <c r="F1298" s="12" t="s">
        <v>51</v>
      </c>
      <c r="G1298" s="12"/>
      <c r="H1298" s="13">
        <f t="shared" si="20"/>
        <v>0</v>
      </c>
    </row>
    <row r="1299" spans="2:8" ht="13.5" thickBot="1" x14ac:dyDescent="0.35">
      <c r="B1299" s="9"/>
      <c r="C1299" s="14" t="s">
        <v>848</v>
      </c>
      <c r="D1299" s="14" t="s">
        <v>25</v>
      </c>
      <c r="E1299" s="18" t="s">
        <v>9</v>
      </c>
      <c r="F1299" s="17" t="s">
        <v>23</v>
      </c>
      <c r="G1299" s="17">
        <f>ROUNDUP(G1298/3,0)</f>
        <v>0</v>
      </c>
      <c r="H1299" s="13">
        <f t="shared" si="20"/>
        <v>0</v>
      </c>
    </row>
    <row r="1300" spans="2:8" ht="13.5" thickBot="1" x14ac:dyDescent="0.35">
      <c r="B1300" s="9"/>
      <c r="C1300" s="14" t="s">
        <v>849</v>
      </c>
      <c r="D1300" s="14" t="s">
        <v>25</v>
      </c>
      <c r="E1300" s="18" t="s">
        <v>9</v>
      </c>
      <c r="F1300" s="17" t="s">
        <v>23</v>
      </c>
      <c r="G1300" s="17">
        <f>ROUNDUP(G1298/6,0)</f>
        <v>0</v>
      </c>
      <c r="H1300" s="13">
        <f t="shared" si="20"/>
        <v>0</v>
      </c>
    </row>
    <row r="1301" spans="2:8" ht="13.5" thickBot="1" x14ac:dyDescent="0.35">
      <c r="B1301" s="9">
        <f>COUNT($B$4:B1300)+1</f>
        <v>501</v>
      </c>
      <c r="C1301" s="10" t="s">
        <v>850</v>
      </c>
      <c r="D1301" s="10"/>
      <c r="E1301" s="11" t="s">
        <v>9</v>
      </c>
      <c r="F1301" s="12" t="s">
        <v>51</v>
      </c>
      <c r="G1301" s="12"/>
      <c r="H1301" s="13">
        <f t="shared" si="20"/>
        <v>0</v>
      </c>
    </row>
    <row r="1302" spans="2:8" ht="13.5" thickBot="1" x14ac:dyDescent="0.35">
      <c r="B1302" s="9"/>
      <c r="C1302" s="14" t="s">
        <v>851</v>
      </c>
      <c r="D1302" s="14" t="s">
        <v>25</v>
      </c>
      <c r="E1302" s="18" t="s">
        <v>9</v>
      </c>
      <c r="F1302" s="17" t="s">
        <v>23</v>
      </c>
      <c r="G1302" s="17">
        <f>ROUNDUP(G1301/3,0)</f>
        <v>0</v>
      </c>
      <c r="H1302" s="13">
        <f t="shared" si="20"/>
        <v>0</v>
      </c>
    </row>
    <row r="1303" spans="2:8" ht="13.5" thickBot="1" x14ac:dyDescent="0.35">
      <c r="B1303" s="9"/>
      <c r="C1303" s="14" t="s">
        <v>852</v>
      </c>
      <c r="D1303" s="14" t="s">
        <v>25</v>
      </c>
      <c r="E1303" s="18" t="s">
        <v>9</v>
      </c>
      <c r="F1303" s="17" t="s">
        <v>23</v>
      </c>
      <c r="G1303" s="17">
        <f>ROUNDUP(G1301/6,0)</f>
        <v>0</v>
      </c>
      <c r="H1303" s="13">
        <f t="shared" si="20"/>
        <v>0</v>
      </c>
    </row>
    <row r="1304" spans="2:8" ht="13.5" thickBot="1" x14ac:dyDescent="0.35">
      <c r="B1304" s="9">
        <f>COUNT($B$4:B1303)+1</f>
        <v>502</v>
      </c>
      <c r="C1304" s="10" t="s">
        <v>853</v>
      </c>
      <c r="D1304" s="10"/>
      <c r="E1304" s="11" t="s">
        <v>9</v>
      </c>
      <c r="F1304" s="12" t="s">
        <v>51</v>
      </c>
      <c r="G1304" s="12"/>
      <c r="H1304" s="13">
        <f t="shared" si="20"/>
        <v>0</v>
      </c>
    </row>
    <row r="1305" spans="2:8" ht="13.5" thickBot="1" x14ac:dyDescent="0.35">
      <c r="B1305" s="9"/>
      <c r="C1305" s="14" t="s">
        <v>854</v>
      </c>
      <c r="D1305" s="14" t="s">
        <v>25</v>
      </c>
      <c r="E1305" s="18" t="s">
        <v>9</v>
      </c>
      <c r="F1305" s="17" t="s">
        <v>23</v>
      </c>
      <c r="G1305" s="17">
        <f>ROUNDUP(G1304/3,0)</f>
        <v>0</v>
      </c>
      <c r="H1305" s="13">
        <f t="shared" si="20"/>
        <v>0</v>
      </c>
    </row>
    <row r="1306" spans="2:8" ht="13.5" thickBot="1" x14ac:dyDescent="0.35">
      <c r="B1306" s="9"/>
      <c r="C1306" s="14" t="s">
        <v>855</v>
      </c>
      <c r="D1306" s="14" t="s">
        <v>25</v>
      </c>
      <c r="E1306" s="18" t="s">
        <v>9</v>
      </c>
      <c r="F1306" s="17" t="s">
        <v>23</v>
      </c>
      <c r="G1306" s="17">
        <f>ROUNDUP(G1304/6,0)</f>
        <v>0</v>
      </c>
      <c r="H1306" s="13">
        <f t="shared" si="20"/>
        <v>0</v>
      </c>
    </row>
    <row r="1307" spans="2:8" ht="13.5" thickBot="1" x14ac:dyDescent="0.35">
      <c r="B1307" s="9">
        <f>COUNT($B$4:B1306)+1</f>
        <v>503</v>
      </c>
      <c r="C1307" s="10" t="s">
        <v>856</v>
      </c>
      <c r="D1307" s="10"/>
      <c r="E1307" s="11" t="s">
        <v>9</v>
      </c>
      <c r="F1307" s="12" t="s">
        <v>51</v>
      </c>
      <c r="G1307" s="12"/>
      <c r="H1307" s="13">
        <f t="shared" si="20"/>
        <v>0</v>
      </c>
    </row>
    <row r="1308" spans="2:8" ht="13.5" thickBot="1" x14ac:dyDescent="0.35">
      <c r="B1308" s="9"/>
      <c r="C1308" s="14" t="s">
        <v>857</v>
      </c>
      <c r="D1308" s="14" t="s">
        <v>25</v>
      </c>
      <c r="E1308" s="18" t="s">
        <v>9</v>
      </c>
      <c r="F1308" s="17" t="s">
        <v>23</v>
      </c>
      <c r="G1308" s="17">
        <f>ROUNDUP(G1307/3,0)</f>
        <v>0</v>
      </c>
      <c r="H1308" s="13">
        <f t="shared" si="20"/>
        <v>0</v>
      </c>
    </row>
    <row r="1309" spans="2:8" ht="13.5" thickBot="1" x14ac:dyDescent="0.35">
      <c r="B1309" s="9"/>
      <c r="C1309" s="14" t="s">
        <v>858</v>
      </c>
      <c r="D1309" s="14" t="s">
        <v>25</v>
      </c>
      <c r="E1309" s="18" t="s">
        <v>9</v>
      </c>
      <c r="F1309" s="17" t="s">
        <v>23</v>
      </c>
      <c r="G1309" s="17">
        <f>ROUNDUP(G1307/6,0)</f>
        <v>0</v>
      </c>
      <c r="H1309" s="13">
        <f t="shared" si="20"/>
        <v>0</v>
      </c>
    </row>
    <row r="1310" spans="2:8" ht="13.5" thickBot="1" x14ac:dyDescent="0.35">
      <c r="B1310" s="9">
        <f>COUNT($B$4:B1309)+1</f>
        <v>504</v>
      </c>
      <c r="C1310" s="10" t="s">
        <v>859</v>
      </c>
      <c r="D1310" s="10"/>
      <c r="E1310" s="11" t="s">
        <v>9</v>
      </c>
      <c r="F1310" s="12" t="s">
        <v>51</v>
      </c>
      <c r="G1310" s="12"/>
      <c r="H1310" s="13">
        <f t="shared" si="20"/>
        <v>0</v>
      </c>
    </row>
    <row r="1311" spans="2:8" ht="13.5" thickBot="1" x14ac:dyDescent="0.35">
      <c r="B1311" s="9"/>
      <c r="C1311" s="14" t="s">
        <v>860</v>
      </c>
      <c r="D1311" s="14" t="s">
        <v>540</v>
      </c>
      <c r="E1311" s="18" t="s">
        <v>9</v>
      </c>
      <c r="F1311" s="17" t="s">
        <v>23</v>
      </c>
      <c r="G1311" s="17">
        <f>ROUNDUP(G1310/3,0)</f>
        <v>0</v>
      </c>
      <c r="H1311" s="13">
        <f t="shared" si="20"/>
        <v>0</v>
      </c>
    </row>
    <row r="1312" spans="2:8" ht="13.5" thickBot="1" x14ac:dyDescent="0.35">
      <c r="B1312" s="9"/>
      <c r="C1312" s="14" t="s">
        <v>861</v>
      </c>
      <c r="D1312" s="14" t="s">
        <v>540</v>
      </c>
      <c r="E1312" s="18" t="s">
        <v>9</v>
      </c>
      <c r="F1312" s="17" t="s">
        <v>23</v>
      </c>
      <c r="G1312" s="17">
        <f>ROUNDUP(G1310/6,0)</f>
        <v>0</v>
      </c>
      <c r="H1312" s="13">
        <f t="shared" si="20"/>
        <v>0</v>
      </c>
    </row>
    <row r="1313" spans="2:8" ht="13.5" thickBot="1" x14ac:dyDescent="0.35">
      <c r="B1313" s="9">
        <f>COUNT($B$4:B1312)+1</f>
        <v>505</v>
      </c>
      <c r="C1313" s="10" t="s">
        <v>862</v>
      </c>
      <c r="D1313" s="10"/>
      <c r="E1313" s="11" t="s">
        <v>9</v>
      </c>
      <c r="F1313" s="12" t="s">
        <v>51</v>
      </c>
      <c r="G1313" s="12"/>
      <c r="H1313" s="13">
        <f t="shared" si="20"/>
        <v>0</v>
      </c>
    </row>
    <row r="1314" spans="2:8" ht="13.5" thickBot="1" x14ac:dyDescent="0.35">
      <c r="B1314" s="9"/>
      <c r="C1314" s="14" t="s">
        <v>863</v>
      </c>
      <c r="D1314" s="14" t="s">
        <v>540</v>
      </c>
      <c r="E1314" s="18" t="s">
        <v>9</v>
      </c>
      <c r="F1314" s="17" t="s">
        <v>23</v>
      </c>
      <c r="G1314" s="17">
        <f>ROUNDUP(G1313/3,0)</f>
        <v>0</v>
      </c>
      <c r="H1314" s="13">
        <f t="shared" si="20"/>
        <v>0</v>
      </c>
    </row>
    <row r="1315" spans="2:8" ht="13.5" thickBot="1" x14ac:dyDescent="0.35">
      <c r="B1315" s="9"/>
      <c r="C1315" s="14" t="s">
        <v>864</v>
      </c>
      <c r="D1315" s="14" t="s">
        <v>540</v>
      </c>
      <c r="E1315" s="18" t="s">
        <v>9</v>
      </c>
      <c r="F1315" s="17" t="s">
        <v>23</v>
      </c>
      <c r="G1315" s="17">
        <f>ROUNDUP(G1313/6,0)</f>
        <v>0</v>
      </c>
      <c r="H1315" s="13">
        <f t="shared" si="20"/>
        <v>0</v>
      </c>
    </row>
    <row r="1316" spans="2:8" ht="13.5" thickBot="1" x14ac:dyDescent="0.35">
      <c r="B1316" s="9">
        <f>COUNT($B$4:B1315)+1</f>
        <v>506</v>
      </c>
      <c r="C1316" s="10" t="s">
        <v>865</v>
      </c>
      <c r="D1316" s="10"/>
      <c r="E1316" s="11" t="s">
        <v>9</v>
      </c>
      <c r="F1316" s="12" t="s">
        <v>51</v>
      </c>
      <c r="G1316" s="12"/>
      <c r="H1316" s="13">
        <f t="shared" si="20"/>
        <v>0</v>
      </c>
    </row>
    <row r="1317" spans="2:8" ht="13.5" thickBot="1" x14ac:dyDescent="0.35">
      <c r="B1317" s="9"/>
      <c r="C1317" s="14" t="s">
        <v>866</v>
      </c>
      <c r="D1317" s="14" t="s">
        <v>540</v>
      </c>
      <c r="E1317" s="18" t="s">
        <v>9</v>
      </c>
      <c r="F1317" s="17" t="s">
        <v>23</v>
      </c>
      <c r="G1317" s="17">
        <f>ROUNDUP(G1316/3,0)</f>
        <v>0</v>
      </c>
      <c r="H1317" s="13">
        <f t="shared" si="20"/>
        <v>0</v>
      </c>
    </row>
    <row r="1318" spans="2:8" ht="13.5" thickBot="1" x14ac:dyDescent="0.35">
      <c r="B1318" s="9"/>
      <c r="C1318" s="14" t="s">
        <v>867</v>
      </c>
      <c r="D1318" s="14" t="s">
        <v>540</v>
      </c>
      <c r="E1318" s="18" t="s">
        <v>9</v>
      </c>
      <c r="F1318" s="17" t="s">
        <v>23</v>
      </c>
      <c r="G1318" s="17">
        <f>ROUNDUP(G1316/6,0)</f>
        <v>0</v>
      </c>
      <c r="H1318" s="13">
        <f t="shared" si="20"/>
        <v>0</v>
      </c>
    </row>
    <row r="1319" spans="2:8" ht="13.5" thickBot="1" x14ac:dyDescent="0.35">
      <c r="B1319" s="9">
        <f>COUNT($B$4:B1318)+1</f>
        <v>507</v>
      </c>
      <c r="C1319" s="10" t="s">
        <v>868</v>
      </c>
      <c r="D1319" s="10"/>
      <c r="E1319" s="11" t="s">
        <v>9</v>
      </c>
      <c r="F1319" s="12" t="s">
        <v>51</v>
      </c>
      <c r="G1319" s="12"/>
      <c r="H1319" s="13">
        <f t="shared" si="20"/>
        <v>0</v>
      </c>
    </row>
    <row r="1320" spans="2:8" ht="13.5" thickBot="1" x14ac:dyDescent="0.35">
      <c r="B1320" s="9"/>
      <c r="C1320" s="14" t="s">
        <v>869</v>
      </c>
      <c r="D1320" s="14" t="s">
        <v>540</v>
      </c>
      <c r="E1320" s="18" t="s">
        <v>9</v>
      </c>
      <c r="F1320" s="17" t="s">
        <v>23</v>
      </c>
      <c r="G1320" s="17">
        <f>ROUNDUP(G1319/3,0)</f>
        <v>0</v>
      </c>
      <c r="H1320" s="13">
        <f t="shared" si="20"/>
        <v>0</v>
      </c>
    </row>
    <row r="1321" spans="2:8" ht="13.5" thickBot="1" x14ac:dyDescent="0.35">
      <c r="B1321" s="9"/>
      <c r="C1321" s="14" t="s">
        <v>870</v>
      </c>
      <c r="D1321" s="14" t="s">
        <v>540</v>
      </c>
      <c r="E1321" s="18" t="s">
        <v>9</v>
      </c>
      <c r="F1321" s="17" t="s">
        <v>23</v>
      </c>
      <c r="G1321" s="17">
        <f>ROUNDUP(G1319/6,0)</f>
        <v>0</v>
      </c>
      <c r="H1321" s="13">
        <f t="shared" si="20"/>
        <v>0</v>
      </c>
    </row>
    <row r="1322" spans="2:8" ht="13.5" thickBot="1" x14ac:dyDescent="0.35">
      <c r="B1322" s="9">
        <f>COUNT($B$4:B1321)+1</f>
        <v>508</v>
      </c>
      <c r="C1322" s="10" t="s">
        <v>871</v>
      </c>
      <c r="D1322" s="10"/>
      <c r="E1322" s="11" t="s">
        <v>9</v>
      </c>
      <c r="F1322" s="12" t="s">
        <v>51</v>
      </c>
      <c r="G1322" s="12"/>
      <c r="H1322" s="13">
        <f t="shared" si="20"/>
        <v>0</v>
      </c>
    </row>
    <row r="1323" spans="2:8" ht="13.5" thickBot="1" x14ac:dyDescent="0.35">
      <c r="B1323" s="9"/>
      <c r="C1323" s="14" t="s">
        <v>872</v>
      </c>
      <c r="D1323" s="14" t="s">
        <v>540</v>
      </c>
      <c r="E1323" s="18" t="s">
        <v>9</v>
      </c>
      <c r="F1323" s="17" t="s">
        <v>23</v>
      </c>
      <c r="G1323" s="17">
        <f>ROUNDUP(G1322/3,0)</f>
        <v>0</v>
      </c>
      <c r="H1323" s="13">
        <f t="shared" si="20"/>
        <v>0</v>
      </c>
    </row>
    <row r="1324" spans="2:8" ht="13.5" thickBot="1" x14ac:dyDescent="0.35">
      <c r="B1324" s="9"/>
      <c r="C1324" s="14" t="s">
        <v>873</v>
      </c>
      <c r="D1324" s="14" t="s">
        <v>540</v>
      </c>
      <c r="E1324" s="18" t="s">
        <v>9</v>
      </c>
      <c r="F1324" s="17" t="s">
        <v>23</v>
      </c>
      <c r="G1324" s="17">
        <f>ROUNDUP(G1322/6,0)</f>
        <v>0</v>
      </c>
      <c r="H1324" s="13">
        <f t="shared" si="20"/>
        <v>0</v>
      </c>
    </row>
    <row r="1325" spans="2:8" ht="13.5" thickBot="1" x14ac:dyDescent="0.35">
      <c r="B1325" s="9">
        <f>COUNT($B$4:B1324)+1</f>
        <v>509</v>
      </c>
      <c r="C1325" s="10" t="s">
        <v>874</v>
      </c>
      <c r="D1325" s="10"/>
      <c r="E1325" s="11" t="s">
        <v>9</v>
      </c>
      <c r="F1325" s="12" t="s">
        <v>51</v>
      </c>
      <c r="G1325" s="12"/>
      <c r="H1325" s="13">
        <f t="shared" si="20"/>
        <v>0</v>
      </c>
    </row>
    <row r="1326" spans="2:8" ht="13.5" thickBot="1" x14ac:dyDescent="0.35">
      <c r="B1326" s="9"/>
      <c r="C1326" s="14" t="s">
        <v>875</v>
      </c>
      <c r="D1326" s="14" t="s">
        <v>540</v>
      </c>
      <c r="E1326" s="18" t="s">
        <v>9</v>
      </c>
      <c r="F1326" s="17" t="s">
        <v>23</v>
      </c>
      <c r="G1326" s="17">
        <f>ROUNDUP(G1325/3,0)</f>
        <v>0</v>
      </c>
      <c r="H1326" s="13">
        <f t="shared" si="20"/>
        <v>0</v>
      </c>
    </row>
    <row r="1327" spans="2:8" ht="13.5" thickBot="1" x14ac:dyDescent="0.35">
      <c r="B1327" s="9"/>
      <c r="C1327" s="14" t="s">
        <v>876</v>
      </c>
      <c r="D1327" s="14" t="s">
        <v>540</v>
      </c>
      <c r="E1327" s="18" t="s">
        <v>9</v>
      </c>
      <c r="F1327" s="17" t="s">
        <v>23</v>
      </c>
      <c r="G1327" s="17">
        <f>ROUNDUP(G1325/6,0)</f>
        <v>0</v>
      </c>
      <c r="H1327" s="13">
        <f t="shared" si="20"/>
        <v>0</v>
      </c>
    </row>
    <row r="1328" spans="2:8" ht="13.5" thickBot="1" x14ac:dyDescent="0.35">
      <c r="B1328" s="9">
        <f>COUNT($B$4:B1327)+1</f>
        <v>510</v>
      </c>
      <c r="C1328" s="10" t="s">
        <v>877</v>
      </c>
      <c r="D1328" s="10"/>
      <c r="E1328" s="11" t="s">
        <v>9</v>
      </c>
      <c r="F1328" s="12" t="s">
        <v>51</v>
      </c>
      <c r="G1328" s="12"/>
      <c r="H1328" s="13">
        <f t="shared" si="20"/>
        <v>0</v>
      </c>
    </row>
    <row r="1329" spans="2:8" ht="13.5" thickBot="1" x14ac:dyDescent="0.35">
      <c r="B1329" s="9"/>
      <c r="C1329" s="14" t="s">
        <v>878</v>
      </c>
      <c r="D1329" s="14" t="s">
        <v>540</v>
      </c>
      <c r="E1329" s="18" t="s">
        <v>9</v>
      </c>
      <c r="F1329" s="17" t="s">
        <v>23</v>
      </c>
      <c r="G1329" s="17">
        <f>ROUNDUP(G1328/3,0)</f>
        <v>0</v>
      </c>
      <c r="H1329" s="13">
        <f t="shared" si="20"/>
        <v>0</v>
      </c>
    </row>
    <row r="1330" spans="2:8" ht="13.5" thickBot="1" x14ac:dyDescent="0.35">
      <c r="B1330" s="9"/>
      <c r="C1330" s="14" t="s">
        <v>879</v>
      </c>
      <c r="D1330" s="14" t="s">
        <v>540</v>
      </c>
      <c r="E1330" s="18" t="s">
        <v>9</v>
      </c>
      <c r="F1330" s="17" t="s">
        <v>23</v>
      </c>
      <c r="G1330" s="17">
        <f>ROUNDUP(G1328/6,0)</f>
        <v>0</v>
      </c>
      <c r="H1330" s="13">
        <f t="shared" si="20"/>
        <v>0</v>
      </c>
    </row>
    <row r="1331" spans="2:8" ht="13.5" thickBot="1" x14ac:dyDescent="0.35">
      <c r="B1331" s="9">
        <f>COUNT($B$4:B1330)+1</f>
        <v>511</v>
      </c>
      <c r="C1331" s="10" t="s">
        <v>880</v>
      </c>
      <c r="D1331" s="10"/>
      <c r="E1331" s="11" t="s">
        <v>9</v>
      </c>
      <c r="F1331" s="12" t="s">
        <v>51</v>
      </c>
      <c r="G1331" s="12"/>
      <c r="H1331" s="13">
        <f t="shared" si="20"/>
        <v>0</v>
      </c>
    </row>
    <row r="1332" spans="2:8" ht="13.5" thickBot="1" x14ac:dyDescent="0.35">
      <c r="B1332" s="9"/>
      <c r="C1332" s="14" t="s">
        <v>881</v>
      </c>
      <c r="D1332" s="14" t="s">
        <v>540</v>
      </c>
      <c r="E1332" s="18" t="s">
        <v>9</v>
      </c>
      <c r="F1332" s="17" t="s">
        <v>23</v>
      </c>
      <c r="G1332" s="17">
        <f>ROUNDUP(G1331/3,0)</f>
        <v>0</v>
      </c>
      <c r="H1332" s="13">
        <f t="shared" si="20"/>
        <v>0</v>
      </c>
    </row>
    <row r="1333" spans="2:8" ht="13.5" thickBot="1" x14ac:dyDescent="0.35">
      <c r="B1333" s="9"/>
      <c r="C1333" s="14" t="s">
        <v>882</v>
      </c>
      <c r="D1333" s="14" t="s">
        <v>540</v>
      </c>
      <c r="E1333" s="18" t="s">
        <v>9</v>
      </c>
      <c r="F1333" s="17" t="s">
        <v>23</v>
      </c>
      <c r="G1333" s="17">
        <f>ROUNDUP(G1331/6,0)</f>
        <v>0</v>
      </c>
      <c r="H1333" s="13">
        <f t="shared" si="20"/>
        <v>0</v>
      </c>
    </row>
    <row r="1334" spans="2:8" ht="13.5" thickBot="1" x14ac:dyDescent="0.35">
      <c r="B1334" s="9">
        <f>COUNT($B$4:B1309)+1</f>
        <v>504</v>
      </c>
      <c r="C1334" s="10" t="s">
        <v>883</v>
      </c>
      <c r="D1334" s="10"/>
      <c r="E1334" s="11" t="s">
        <v>7</v>
      </c>
      <c r="F1334" s="12" t="s">
        <v>884</v>
      </c>
      <c r="G1334" s="12"/>
      <c r="H1334" s="13">
        <f t="shared" si="20"/>
        <v>0</v>
      </c>
    </row>
    <row r="1335" spans="2:8" ht="13.5" thickBot="1" x14ac:dyDescent="0.35">
      <c r="B1335" s="9">
        <f>COUNT($B$4:B1334)+1</f>
        <v>513</v>
      </c>
      <c r="C1335" s="10" t="s">
        <v>885</v>
      </c>
      <c r="D1335" s="10" t="s">
        <v>68</v>
      </c>
      <c r="E1335" s="11" t="s">
        <v>4</v>
      </c>
      <c r="F1335" s="12" t="s">
        <v>23</v>
      </c>
      <c r="G1335" s="12"/>
      <c r="H1335" s="13">
        <f t="shared" si="20"/>
        <v>0</v>
      </c>
    </row>
    <row r="1336" spans="2:8" ht="13.5" thickBot="1" x14ac:dyDescent="0.35">
      <c r="B1336" s="9">
        <f>COUNT($B$4:B1335)+1</f>
        <v>514</v>
      </c>
      <c r="C1336" s="10" t="s">
        <v>886</v>
      </c>
      <c r="D1336" s="10" t="s">
        <v>49</v>
      </c>
      <c r="E1336" s="11" t="s">
        <v>6</v>
      </c>
      <c r="F1336" s="12" t="s">
        <v>51</v>
      </c>
      <c r="G1336" s="12"/>
      <c r="H1336" s="13">
        <f t="shared" si="20"/>
        <v>0</v>
      </c>
    </row>
    <row r="1337" spans="2:8" ht="13.5" thickBot="1" x14ac:dyDescent="0.35">
      <c r="B1337" s="9">
        <f>COUNT($B$4:B1336)+1</f>
        <v>515</v>
      </c>
      <c r="C1337" s="10" t="s">
        <v>887</v>
      </c>
      <c r="D1337" s="10" t="s">
        <v>49</v>
      </c>
      <c r="E1337" s="11" t="s">
        <v>6</v>
      </c>
      <c r="F1337" s="12" t="s">
        <v>23</v>
      </c>
      <c r="G1337" s="12"/>
      <c r="H1337" s="13">
        <f t="shared" si="20"/>
        <v>0</v>
      </c>
    </row>
    <row r="1338" spans="2:8" ht="13.5" thickBot="1" x14ac:dyDescent="0.35">
      <c r="B1338" s="9">
        <f>COUNT($B$4:B1337)+1</f>
        <v>516</v>
      </c>
      <c r="C1338" s="10" t="s">
        <v>888</v>
      </c>
      <c r="D1338" s="10"/>
      <c r="E1338" s="11" t="s">
        <v>3</v>
      </c>
      <c r="F1338" s="12" t="s">
        <v>23</v>
      </c>
      <c r="G1338" s="12">
        <v>22</v>
      </c>
      <c r="H1338" s="13">
        <f t="shared" si="20"/>
        <v>22</v>
      </c>
    </row>
    <row r="1339" spans="2:8" ht="13.5" thickBot="1" x14ac:dyDescent="0.35">
      <c r="B1339" s="9"/>
      <c r="C1339" s="14" t="s">
        <v>24</v>
      </c>
      <c r="D1339" s="15" t="s">
        <v>25</v>
      </c>
      <c r="E1339" s="16" t="s">
        <v>9</v>
      </c>
      <c r="F1339" s="17" t="s">
        <v>23</v>
      </c>
      <c r="G1339" s="17">
        <f>G1338</f>
        <v>22</v>
      </c>
      <c r="H1339" s="13">
        <f t="shared" si="20"/>
        <v>22</v>
      </c>
    </row>
    <row r="1340" spans="2:8" ht="13.5" thickBot="1" x14ac:dyDescent="0.35">
      <c r="B1340" s="9"/>
      <c r="C1340" s="14" t="s">
        <v>889</v>
      </c>
      <c r="D1340" s="14" t="s">
        <v>302</v>
      </c>
      <c r="E1340" s="16" t="s">
        <v>9</v>
      </c>
      <c r="F1340" s="17" t="s">
        <v>23</v>
      </c>
      <c r="G1340" s="17">
        <f>G1338</f>
        <v>22</v>
      </c>
      <c r="H1340" s="13">
        <f t="shared" si="20"/>
        <v>22</v>
      </c>
    </row>
    <row r="1341" spans="2:8" ht="13.5" thickBot="1" x14ac:dyDescent="0.35">
      <c r="B1341" s="9"/>
      <c r="C1341" s="14" t="s">
        <v>890</v>
      </c>
      <c r="D1341" s="14" t="s">
        <v>302</v>
      </c>
      <c r="E1341" s="16" t="s">
        <v>3</v>
      </c>
      <c r="F1341" s="17" t="s">
        <v>23</v>
      </c>
      <c r="G1341" s="17">
        <f>G1338</f>
        <v>22</v>
      </c>
      <c r="H1341" s="13">
        <f t="shared" si="20"/>
        <v>22</v>
      </c>
    </row>
    <row r="1342" spans="2:8" ht="13.5" thickBot="1" x14ac:dyDescent="0.35">
      <c r="B1342" s="9"/>
      <c r="C1342" s="14" t="s">
        <v>406</v>
      </c>
      <c r="D1342" s="14" t="s">
        <v>302</v>
      </c>
      <c r="E1342" s="16" t="s">
        <v>9</v>
      </c>
      <c r="F1342" s="17" t="s">
        <v>23</v>
      </c>
      <c r="G1342" s="17">
        <f>G1338</f>
        <v>22</v>
      </c>
      <c r="H1342" s="13">
        <f t="shared" si="20"/>
        <v>22</v>
      </c>
    </row>
    <row r="1343" spans="2:8" ht="13.5" thickBot="1" x14ac:dyDescent="0.35">
      <c r="B1343" s="9">
        <f>COUNT($B$4:B1342)+1</f>
        <v>517</v>
      </c>
      <c r="C1343" s="10" t="s">
        <v>891</v>
      </c>
      <c r="D1343" s="10"/>
      <c r="E1343" s="11" t="s">
        <v>3</v>
      </c>
      <c r="F1343" s="12" t="s">
        <v>23</v>
      </c>
      <c r="G1343" s="12"/>
      <c r="H1343" s="13">
        <f t="shared" si="20"/>
        <v>0</v>
      </c>
    </row>
    <row r="1344" spans="2:8" ht="13.5" thickBot="1" x14ac:dyDescent="0.35">
      <c r="B1344" s="9"/>
      <c r="C1344" s="14" t="s">
        <v>24</v>
      </c>
      <c r="D1344" s="15" t="s">
        <v>25</v>
      </c>
      <c r="E1344" s="16" t="s">
        <v>9</v>
      </c>
      <c r="F1344" s="17" t="s">
        <v>23</v>
      </c>
      <c r="G1344" s="17">
        <f>G1343</f>
        <v>0</v>
      </c>
      <c r="H1344" s="13">
        <f t="shared" si="20"/>
        <v>0</v>
      </c>
    </row>
    <row r="1345" spans="2:8" ht="13.5" thickBot="1" x14ac:dyDescent="0.35">
      <c r="B1345" s="9"/>
      <c r="C1345" s="14" t="s">
        <v>403</v>
      </c>
      <c r="D1345" s="14" t="s">
        <v>302</v>
      </c>
      <c r="E1345" s="16" t="s">
        <v>9</v>
      </c>
      <c r="F1345" s="17" t="s">
        <v>23</v>
      </c>
      <c r="G1345" s="17">
        <f>G1343</f>
        <v>0</v>
      </c>
      <c r="H1345" s="13">
        <f t="shared" si="20"/>
        <v>0</v>
      </c>
    </row>
    <row r="1346" spans="2:8" ht="13.5" thickBot="1" x14ac:dyDescent="0.35">
      <c r="B1346" s="9"/>
      <c r="C1346" s="14" t="s">
        <v>890</v>
      </c>
      <c r="D1346" s="14" t="s">
        <v>302</v>
      </c>
      <c r="E1346" s="16" t="s">
        <v>3</v>
      </c>
      <c r="F1346" s="17" t="s">
        <v>23</v>
      </c>
      <c r="G1346" s="17">
        <f>G1343*2</f>
        <v>0</v>
      </c>
      <c r="H1346" s="13">
        <f t="shared" si="20"/>
        <v>0</v>
      </c>
    </row>
    <row r="1347" spans="2:8" ht="13.5" thickBot="1" x14ac:dyDescent="0.35">
      <c r="B1347" s="9"/>
      <c r="C1347" s="14" t="s">
        <v>406</v>
      </c>
      <c r="D1347" s="14" t="s">
        <v>302</v>
      </c>
      <c r="E1347" s="16" t="s">
        <v>9</v>
      </c>
      <c r="F1347" s="17" t="s">
        <v>23</v>
      </c>
      <c r="G1347" s="17">
        <f>G1343</f>
        <v>0</v>
      </c>
      <c r="H1347" s="13">
        <f t="shared" si="20"/>
        <v>0</v>
      </c>
    </row>
    <row r="1348" spans="2:8" ht="13.5" thickBot="1" x14ac:dyDescent="0.35">
      <c r="B1348" s="9">
        <f>COUNT($B$4:B1347)+1</f>
        <v>518</v>
      </c>
      <c r="C1348" s="10" t="s">
        <v>892</v>
      </c>
      <c r="D1348" s="10"/>
      <c r="E1348" s="11" t="s">
        <v>3</v>
      </c>
      <c r="F1348" s="12" t="s">
        <v>23</v>
      </c>
      <c r="G1348" s="12"/>
      <c r="H1348" s="13">
        <f t="shared" si="20"/>
        <v>0</v>
      </c>
    </row>
    <row r="1349" spans="2:8" ht="13.5" thickBot="1" x14ac:dyDescent="0.35">
      <c r="B1349" s="9"/>
      <c r="C1349" s="14" t="s">
        <v>234</v>
      </c>
      <c r="D1349" s="15" t="s">
        <v>25</v>
      </c>
      <c r="E1349" s="16" t="s">
        <v>9</v>
      </c>
      <c r="F1349" s="17" t="s">
        <v>23</v>
      </c>
      <c r="G1349" s="17">
        <f>G1348</f>
        <v>0</v>
      </c>
      <c r="H1349" s="13">
        <f t="shared" ref="H1349:H1412" si="21">SUM(G1349:G1349)</f>
        <v>0</v>
      </c>
    </row>
    <row r="1350" spans="2:8" ht="13.5" thickBot="1" x14ac:dyDescent="0.35">
      <c r="B1350" s="9"/>
      <c r="C1350" s="14" t="s">
        <v>893</v>
      </c>
      <c r="D1350" s="14" t="s">
        <v>302</v>
      </c>
      <c r="E1350" s="16" t="s">
        <v>9</v>
      </c>
      <c r="F1350" s="17" t="s">
        <v>23</v>
      </c>
      <c r="G1350" s="17">
        <f>G1348</f>
        <v>0</v>
      </c>
      <c r="H1350" s="13">
        <f t="shared" si="21"/>
        <v>0</v>
      </c>
    </row>
    <row r="1351" spans="2:8" ht="13.5" thickBot="1" x14ac:dyDescent="0.35">
      <c r="B1351" s="9"/>
      <c r="C1351" s="14" t="s">
        <v>890</v>
      </c>
      <c r="D1351" s="14" t="s">
        <v>302</v>
      </c>
      <c r="E1351" s="16" t="s">
        <v>3</v>
      </c>
      <c r="F1351" s="17" t="s">
        <v>23</v>
      </c>
      <c r="G1351" s="17">
        <f>G1348*5</f>
        <v>0</v>
      </c>
      <c r="H1351" s="13">
        <f t="shared" si="21"/>
        <v>0</v>
      </c>
    </row>
    <row r="1352" spans="2:8" ht="13.5" thickBot="1" x14ac:dyDescent="0.35">
      <c r="B1352" s="9"/>
      <c r="C1352" s="14" t="s">
        <v>894</v>
      </c>
      <c r="D1352" s="14" t="s">
        <v>302</v>
      </c>
      <c r="E1352" s="16" t="s">
        <v>9</v>
      </c>
      <c r="F1352" s="17" t="s">
        <v>23</v>
      </c>
      <c r="G1352" s="17">
        <f>G1348</f>
        <v>0</v>
      </c>
      <c r="H1352" s="13">
        <f t="shared" si="21"/>
        <v>0</v>
      </c>
    </row>
    <row r="1353" spans="2:8" ht="13.5" thickBot="1" x14ac:dyDescent="0.35">
      <c r="B1353" s="9">
        <f>COUNT($B$4:B1352)+1</f>
        <v>519</v>
      </c>
      <c r="C1353" s="10" t="s">
        <v>895</v>
      </c>
      <c r="D1353" s="10"/>
      <c r="E1353" s="11" t="s">
        <v>3</v>
      </c>
      <c r="F1353" s="12" t="s">
        <v>23</v>
      </c>
      <c r="G1353" s="12">
        <v>0</v>
      </c>
      <c r="H1353" s="13">
        <f t="shared" si="21"/>
        <v>0</v>
      </c>
    </row>
    <row r="1354" spans="2:8" ht="13.5" thickBot="1" x14ac:dyDescent="0.35">
      <c r="B1354" s="9"/>
      <c r="C1354" s="14" t="s">
        <v>24</v>
      </c>
      <c r="D1354" s="15" t="s">
        <v>25</v>
      </c>
      <c r="E1354" s="16" t="s">
        <v>9</v>
      </c>
      <c r="F1354" s="17" t="s">
        <v>23</v>
      </c>
      <c r="G1354" s="17">
        <f>G1353</f>
        <v>0</v>
      </c>
      <c r="H1354" s="13">
        <f t="shared" si="21"/>
        <v>0</v>
      </c>
    </row>
    <row r="1355" spans="2:8" ht="13.5" thickBot="1" x14ac:dyDescent="0.35">
      <c r="B1355" s="9"/>
      <c r="C1355" s="14" t="s">
        <v>889</v>
      </c>
      <c r="D1355" s="14" t="s">
        <v>302</v>
      </c>
      <c r="E1355" s="16" t="s">
        <v>9</v>
      </c>
      <c r="F1355" s="17" t="s">
        <v>23</v>
      </c>
      <c r="G1355" s="17">
        <f>G1353</f>
        <v>0</v>
      </c>
      <c r="H1355" s="13">
        <f t="shared" si="21"/>
        <v>0</v>
      </c>
    </row>
    <row r="1356" spans="2:8" ht="13.5" thickBot="1" x14ac:dyDescent="0.35">
      <c r="B1356" s="9"/>
      <c r="C1356" s="14" t="s">
        <v>404</v>
      </c>
      <c r="D1356" s="14" t="s">
        <v>302</v>
      </c>
      <c r="E1356" s="16" t="s">
        <v>3</v>
      </c>
      <c r="F1356" s="17" t="s">
        <v>23</v>
      </c>
      <c r="G1356" s="17">
        <f>G1353</f>
        <v>0</v>
      </c>
      <c r="H1356" s="13">
        <f t="shared" si="21"/>
        <v>0</v>
      </c>
    </row>
    <row r="1357" spans="2:8" ht="13.5" thickBot="1" x14ac:dyDescent="0.35">
      <c r="B1357" s="9"/>
      <c r="C1357" s="14" t="s">
        <v>406</v>
      </c>
      <c r="D1357" s="14" t="s">
        <v>302</v>
      </c>
      <c r="E1357" s="16" t="s">
        <v>9</v>
      </c>
      <c r="F1357" s="17" t="s">
        <v>23</v>
      </c>
      <c r="G1357" s="17">
        <f>G1353</f>
        <v>0</v>
      </c>
      <c r="H1357" s="13">
        <f t="shared" si="21"/>
        <v>0</v>
      </c>
    </row>
    <row r="1358" spans="2:8" ht="13.5" thickBot="1" x14ac:dyDescent="0.35">
      <c r="B1358" s="9">
        <f>COUNT($B$4:B1357)+1</f>
        <v>520</v>
      </c>
      <c r="C1358" s="10" t="s">
        <v>896</v>
      </c>
      <c r="D1358" s="10"/>
      <c r="E1358" s="11" t="s">
        <v>3</v>
      </c>
      <c r="F1358" s="12" t="s">
        <v>23</v>
      </c>
      <c r="G1358" s="12"/>
      <c r="H1358" s="13">
        <f t="shared" si="21"/>
        <v>0</v>
      </c>
    </row>
    <row r="1359" spans="2:8" ht="13.5" thickBot="1" x14ac:dyDescent="0.35">
      <c r="B1359" s="9"/>
      <c r="C1359" s="14" t="s">
        <v>41</v>
      </c>
      <c r="D1359" s="14" t="s">
        <v>42</v>
      </c>
      <c r="E1359" s="16" t="s">
        <v>9</v>
      </c>
      <c r="F1359" s="17" t="s">
        <v>23</v>
      </c>
      <c r="G1359" s="17">
        <f>G1358</f>
        <v>0</v>
      </c>
      <c r="H1359" s="13">
        <f t="shared" si="21"/>
        <v>0</v>
      </c>
    </row>
    <row r="1360" spans="2:8" ht="13.5" thickBot="1" x14ac:dyDescent="0.35">
      <c r="B1360" s="9"/>
      <c r="C1360" s="14" t="s">
        <v>897</v>
      </c>
      <c r="D1360" s="14" t="s">
        <v>42</v>
      </c>
      <c r="E1360" s="16" t="s">
        <v>9</v>
      </c>
      <c r="F1360" s="17" t="s">
        <v>23</v>
      </c>
      <c r="G1360" s="17">
        <f>G1358</f>
        <v>0</v>
      </c>
      <c r="H1360" s="13">
        <f t="shared" si="21"/>
        <v>0</v>
      </c>
    </row>
    <row r="1361" spans="2:8" ht="13.5" thickBot="1" x14ac:dyDescent="0.35">
      <c r="B1361" s="9"/>
      <c r="C1361" s="14" t="s">
        <v>898</v>
      </c>
      <c r="D1361" s="14" t="s">
        <v>42</v>
      </c>
      <c r="E1361" s="16" t="s">
        <v>3</v>
      </c>
      <c r="F1361" s="17" t="s">
        <v>23</v>
      </c>
      <c r="G1361" s="17">
        <f>G1358</f>
        <v>0</v>
      </c>
      <c r="H1361" s="13">
        <f t="shared" si="21"/>
        <v>0</v>
      </c>
    </row>
    <row r="1362" spans="2:8" ht="13.5" thickBot="1" x14ac:dyDescent="0.35">
      <c r="B1362" s="9"/>
      <c r="C1362" s="14" t="s">
        <v>418</v>
      </c>
      <c r="D1362" s="14" t="s">
        <v>42</v>
      </c>
      <c r="E1362" s="16" t="s">
        <v>9</v>
      </c>
      <c r="F1362" s="17" t="s">
        <v>23</v>
      </c>
      <c r="G1362" s="17">
        <f>G1358</f>
        <v>0</v>
      </c>
      <c r="H1362" s="13">
        <f t="shared" si="21"/>
        <v>0</v>
      </c>
    </row>
    <row r="1363" spans="2:8" ht="13.5" thickBot="1" x14ac:dyDescent="0.35">
      <c r="B1363" s="9">
        <f>COUNT($B$4:B1362)+1</f>
        <v>521</v>
      </c>
      <c r="C1363" s="10" t="s">
        <v>899</v>
      </c>
      <c r="D1363" s="10"/>
      <c r="E1363" s="11" t="s">
        <v>3</v>
      </c>
      <c r="F1363" s="12" t="s">
        <v>23</v>
      </c>
      <c r="G1363" s="12"/>
      <c r="H1363" s="13">
        <f t="shared" si="21"/>
        <v>0</v>
      </c>
    </row>
    <row r="1364" spans="2:8" ht="13.5" thickBot="1" x14ac:dyDescent="0.35">
      <c r="B1364" s="9"/>
      <c r="C1364" s="14" t="s">
        <v>24</v>
      </c>
      <c r="D1364" s="15" t="s">
        <v>25</v>
      </c>
      <c r="E1364" s="16" t="s">
        <v>9</v>
      </c>
      <c r="F1364" s="17" t="s">
        <v>23</v>
      </c>
      <c r="G1364" s="17">
        <f>G1363</f>
        <v>0</v>
      </c>
      <c r="H1364" s="13">
        <f t="shared" si="21"/>
        <v>0</v>
      </c>
    </row>
    <row r="1365" spans="2:8" ht="13.5" thickBot="1" x14ac:dyDescent="0.35">
      <c r="B1365" s="9"/>
      <c r="C1365" s="14" t="s">
        <v>900</v>
      </c>
      <c r="D1365" s="14" t="s">
        <v>302</v>
      </c>
      <c r="E1365" s="16" t="s">
        <v>9</v>
      </c>
      <c r="F1365" s="17" t="s">
        <v>23</v>
      </c>
      <c r="G1365" s="17">
        <f>G1363</f>
        <v>0</v>
      </c>
      <c r="H1365" s="13">
        <f t="shared" si="21"/>
        <v>0</v>
      </c>
    </row>
    <row r="1366" spans="2:8" ht="13.5" thickBot="1" x14ac:dyDescent="0.35">
      <c r="B1366" s="9"/>
      <c r="C1366" s="14" t="s">
        <v>901</v>
      </c>
      <c r="D1366" s="14" t="s">
        <v>302</v>
      </c>
      <c r="E1366" s="16" t="s">
        <v>3</v>
      </c>
      <c r="F1366" s="17" t="s">
        <v>23</v>
      </c>
      <c r="G1366" s="17">
        <f>G1363</f>
        <v>0</v>
      </c>
      <c r="H1366" s="13">
        <f t="shared" si="21"/>
        <v>0</v>
      </c>
    </row>
    <row r="1367" spans="2:8" ht="13.5" thickBot="1" x14ac:dyDescent="0.35">
      <c r="B1367" s="9"/>
      <c r="C1367" s="14" t="s">
        <v>406</v>
      </c>
      <c r="D1367" s="14" t="s">
        <v>302</v>
      </c>
      <c r="E1367" s="16" t="s">
        <v>9</v>
      </c>
      <c r="F1367" s="17" t="s">
        <v>23</v>
      </c>
      <c r="G1367" s="17">
        <f>G1363</f>
        <v>0</v>
      </c>
      <c r="H1367" s="13">
        <f t="shared" si="21"/>
        <v>0</v>
      </c>
    </row>
    <row r="1368" spans="2:8" ht="13.5" thickBot="1" x14ac:dyDescent="0.35">
      <c r="B1368" s="9">
        <f>COUNT($B$4:B1367)+1</f>
        <v>522</v>
      </c>
      <c r="C1368" s="10" t="s">
        <v>902</v>
      </c>
      <c r="D1368" s="10"/>
      <c r="E1368" s="11" t="s">
        <v>3</v>
      </c>
      <c r="F1368" s="12" t="s">
        <v>23</v>
      </c>
      <c r="G1368" s="12"/>
      <c r="H1368" s="13">
        <f t="shared" si="21"/>
        <v>0</v>
      </c>
    </row>
    <row r="1369" spans="2:8" ht="13.5" thickBot="1" x14ac:dyDescent="0.35">
      <c r="B1369" s="9"/>
      <c r="C1369" s="14" t="s">
        <v>24</v>
      </c>
      <c r="D1369" s="15" t="s">
        <v>25</v>
      </c>
      <c r="E1369" s="16" t="s">
        <v>9</v>
      </c>
      <c r="F1369" s="17" t="s">
        <v>23</v>
      </c>
      <c r="G1369" s="17">
        <f>G1368</f>
        <v>0</v>
      </c>
      <c r="H1369" s="13">
        <f t="shared" si="21"/>
        <v>0</v>
      </c>
    </row>
    <row r="1370" spans="2:8" ht="13.5" thickBot="1" x14ac:dyDescent="0.35">
      <c r="B1370" s="9"/>
      <c r="C1370" s="14" t="s">
        <v>403</v>
      </c>
      <c r="D1370" s="14" t="s">
        <v>302</v>
      </c>
      <c r="E1370" s="16" t="s">
        <v>9</v>
      </c>
      <c r="F1370" s="17" t="s">
        <v>23</v>
      </c>
      <c r="G1370" s="17">
        <f>G1368</f>
        <v>0</v>
      </c>
      <c r="H1370" s="13">
        <f t="shared" si="21"/>
        <v>0</v>
      </c>
    </row>
    <row r="1371" spans="2:8" ht="13.5" thickBot="1" x14ac:dyDescent="0.35">
      <c r="B1371" s="9"/>
      <c r="C1371" s="14" t="s">
        <v>903</v>
      </c>
      <c r="D1371" s="14" t="s">
        <v>302</v>
      </c>
      <c r="E1371" s="16" t="s">
        <v>3</v>
      </c>
      <c r="F1371" s="17" t="s">
        <v>23</v>
      </c>
      <c r="G1371" s="17">
        <f>G1368</f>
        <v>0</v>
      </c>
      <c r="H1371" s="13">
        <f t="shared" si="21"/>
        <v>0</v>
      </c>
    </row>
    <row r="1372" spans="2:8" ht="13.5" thickBot="1" x14ac:dyDescent="0.35">
      <c r="B1372" s="9"/>
      <c r="C1372" s="14" t="s">
        <v>404</v>
      </c>
      <c r="D1372" s="14" t="s">
        <v>302</v>
      </c>
      <c r="E1372" s="16" t="s">
        <v>3</v>
      </c>
      <c r="F1372" s="17" t="s">
        <v>23</v>
      </c>
      <c r="G1372" s="17">
        <f>G1368</f>
        <v>0</v>
      </c>
      <c r="H1372" s="13">
        <f t="shared" si="21"/>
        <v>0</v>
      </c>
    </row>
    <row r="1373" spans="2:8" ht="13.5" thickBot="1" x14ac:dyDescent="0.35">
      <c r="B1373" s="9"/>
      <c r="C1373" s="14" t="s">
        <v>406</v>
      </c>
      <c r="D1373" s="14" t="s">
        <v>302</v>
      </c>
      <c r="E1373" s="16" t="s">
        <v>9</v>
      </c>
      <c r="F1373" s="17" t="s">
        <v>23</v>
      </c>
      <c r="G1373" s="17">
        <f>G1368</f>
        <v>0</v>
      </c>
      <c r="H1373" s="13">
        <f t="shared" si="21"/>
        <v>0</v>
      </c>
    </row>
    <row r="1374" spans="2:8" ht="13.5" thickBot="1" x14ac:dyDescent="0.35">
      <c r="B1374" s="9">
        <f>COUNT($B$4:B1373)+1</f>
        <v>523</v>
      </c>
      <c r="C1374" s="10" t="s">
        <v>904</v>
      </c>
      <c r="D1374" s="10"/>
      <c r="E1374" s="11" t="s">
        <v>3</v>
      </c>
      <c r="F1374" s="12" t="s">
        <v>23</v>
      </c>
      <c r="G1374" s="12"/>
      <c r="H1374" s="13">
        <f t="shared" si="21"/>
        <v>0</v>
      </c>
    </row>
    <row r="1375" spans="2:8" ht="13.5" thickBot="1" x14ac:dyDescent="0.35">
      <c r="B1375" s="9"/>
      <c r="C1375" s="14" t="s">
        <v>24</v>
      </c>
      <c r="D1375" s="15" t="s">
        <v>25</v>
      </c>
      <c r="E1375" s="16" t="s">
        <v>9</v>
      </c>
      <c r="F1375" s="17" t="s">
        <v>23</v>
      </c>
      <c r="G1375" s="17">
        <f>G1374</f>
        <v>0</v>
      </c>
      <c r="H1375" s="13">
        <f t="shared" si="21"/>
        <v>0</v>
      </c>
    </row>
    <row r="1376" spans="2:8" ht="13.5" thickBot="1" x14ac:dyDescent="0.35">
      <c r="B1376" s="9"/>
      <c r="C1376" s="14" t="s">
        <v>403</v>
      </c>
      <c r="D1376" s="14" t="s">
        <v>302</v>
      </c>
      <c r="E1376" s="16" t="s">
        <v>9</v>
      </c>
      <c r="F1376" s="17" t="s">
        <v>23</v>
      </c>
      <c r="G1376" s="17">
        <f>G1374</f>
        <v>0</v>
      </c>
      <c r="H1376" s="13">
        <f t="shared" si="21"/>
        <v>0</v>
      </c>
    </row>
    <row r="1377" spans="2:8" ht="13.5" thickBot="1" x14ac:dyDescent="0.35">
      <c r="B1377" s="9"/>
      <c r="C1377" s="14" t="s">
        <v>905</v>
      </c>
      <c r="D1377" s="14" t="s">
        <v>302</v>
      </c>
      <c r="E1377" s="16" t="s">
        <v>3</v>
      </c>
      <c r="F1377" s="17" t="s">
        <v>23</v>
      </c>
      <c r="G1377" s="17">
        <f>G1374</f>
        <v>0</v>
      </c>
      <c r="H1377" s="13">
        <f t="shared" si="21"/>
        <v>0</v>
      </c>
    </row>
    <row r="1378" spans="2:8" ht="13.5" thickBot="1" x14ac:dyDescent="0.35">
      <c r="B1378" s="9"/>
      <c r="C1378" s="14" t="s">
        <v>404</v>
      </c>
      <c r="D1378" s="14" t="s">
        <v>302</v>
      </c>
      <c r="E1378" s="16" t="s">
        <v>3</v>
      </c>
      <c r="F1378" s="17" t="s">
        <v>23</v>
      </c>
      <c r="G1378" s="17">
        <f>G1374</f>
        <v>0</v>
      </c>
      <c r="H1378" s="13">
        <f t="shared" si="21"/>
        <v>0</v>
      </c>
    </row>
    <row r="1379" spans="2:8" ht="13.5" thickBot="1" x14ac:dyDescent="0.35">
      <c r="B1379" s="9"/>
      <c r="C1379" s="14" t="s">
        <v>406</v>
      </c>
      <c r="D1379" s="14" t="s">
        <v>302</v>
      </c>
      <c r="E1379" s="16" t="s">
        <v>9</v>
      </c>
      <c r="F1379" s="17" t="s">
        <v>23</v>
      </c>
      <c r="G1379" s="17">
        <f>G1374</f>
        <v>0</v>
      </c>
      <c r="H1379" s="13">
        <f t="shared" si="21"/>
        <v>0</v>
      </c>
    </row>
    <row r="1380" spans="2:8" ht="13.5" thickBot="1" x14ac:dyDescent="0.35">
      <c r="B1380" s="9">
        <f>COUNT($B$4:B1379)+1</f>
        <v>524</v>
      </c>
      <c r="C1380" s="10" t="s">
        <v>906</v>
      </c>
      <c r="D1380" s="10"/>
      <c r="E1380" s="11" t="s">
        <v>3</v>
      </c>
      <c r="F1380" s="12" t="s">
        <v>23</v>
      </c>
      <c r="G1380" s="12"/>
      <c r="H1380" s="13">
        <f t="shared" si="21"/>
        <v>0</v>
      </c>
    </row>
    <row r="1381" spans="2:8" ht="13.5" thickBot="1" x14ac:dyDescent="0.35">
      <c r="B1381" s="9"/>
      <c r="C1381" s="14" t="s">
        <v>24</v>
      </c>
      <c r="D1381" s="15" t="s">
        <v>25</v>
      </c>
      <c r="E1381" s="16" t="s">
        <v>9</v>
      </c>
      <c r="F1381" s="17" t="s">
        <v>23</v>
      </c>
      <c r="G1381" s="17">
        <f>G1380</f>
        <v>0</v>
      </c>
      <c r="H1381" s="13">
        <f t="shared" si="21"/>
        <v>0</v>
      </c>
    </row>
    <row r="1382" spans="2:8" ht="13.5" thickBot="1" x14ac:dyDescent="0.35">
      <c r="B1382" s="9"/>
      <c r="C1382" s="14" t="s">
        <v>420</v>
      </c>
      <c r="D1382" s="14" t="s">
        <v>302</v>
      </c>
      <c r="E1382" s="16" t="s">
        <v>9</v>
      </c>
      <c r="F1382" s="17" t="s">
        <v>23</v>
      </c>
      <c r="G1382" s="17">
        <f>G1380</f>
        <v>0</v>
      </c>
      <c r="H1382" s="13">
        <f t="shared" si="21"/>
        <v>0</v>
      </c>
    </row>
    <row r="1383" spans="2:8" ht="13.5" thickBot="1" x14ac:dyDescent="0.35">
      <c r="B1383" s="9"/>
      <c r="C1383" s="14" t="s">
        <v>905</v>
      </c>
      <c r="D1383" s="14" t="s">
        <v>302</v>
      </c>
      <c r="E1383" s="16" t="s">
        <v>3</v>
      </c>
      <c r="F1383" s="17" t="s">
        <v>23</v>
      </c>
      <c r="G1383" s="17">
        <f>G1380*2</f>
        <v>0</v>
      </c>
      <c r="H1383" s="13">
        <f t="shared" si="21"/>
        <v>0</v>
      </c>
    </row>
    <row r="1384" spans="2:8" ht="13.5" thickBot="1" x14ac:dyDescent="0.35">
      <c r="B1384" s="9"/>
      <c r="C1384" s="14" t="s">
        <v>404</v>
      </c>
      <c r="D1384" s="14" t="s">
        <v>302</v>
      </c>
      <c r="E1384" s="16" t="s">
        <v>3</v>
      </c>
      <c r="F1384" s="17" t="s">
        <v>23</v>
      </c>
      <c r="G1384" s="17">
        <f>G1380</f>
        <v>0</v>
      </c>
      <c r="H1384" s="13">
        <f t="shared" si="21"/>
        <v>0</v>
      </c>
    </row>
    <row r="1385" spans="2:8" ht="13.5" thickBot="1" x14ac:dyDescent="0.35">
      <c r="B1385" s="9"/>
      <c r="C1385" s="14" t="s">
        <v>406</v>
      </c>
      <c r="D1385" s="14" t="s">
        <v>302</v>
      </c>
      <c r="E1385" s="16" t="s">
        <v>9</v>
      </c>
      <c r="F1385" s="17" t="s">
        <v>23</v>
      </c>
      <c r="G1385" s="17">
        <f>G1380</f>
        <v>0</v>
      </c>
      <c r="H1385" s="13">
        <f t="shared" si="21"/>
        <v>0</v>
      </c>
    </row>
    <row r="1386" spans="2:8" ht="13.5" thickBot="1" x14ac:dyDescent="0.35">
      <c r="B1386" s="9">
        <f>COUNT($B$4:B1385)+1</f>
        <v>525</v>
      </c>
      <c r="C1386" s="10" t="s">
        <v>907</v>
      </c>
      <c r="D1386" s="10"/>
      <c r="E1386" s="11" t="s">
        <v>3</v>
      </c>
      <c r="F1386" s="12" t="s">
        <v>23</v>
      </c>
      <c r="G1386" s="12"/>
      <c r="H1386" s="13">
        <f t="shared" si="21"/>
        <v>0</v>
      </c>
    </row>
    <row r="1387" spans="2:8" ht="13.5" thickBot="1" x14ac:dyDescent="0.35">
      <c r="B1387" s="9"/>
      <c r="C1387" s="14" t="s">
        <v>234</v>
      </c>
      <c r="D1387" s="15" t="s">
        <v>25</v>
      </c>
      <c r="E1387" s="16" t="s">
        <v>9</v>
      </c>
      <c r="F1387" s="17" t="s">
        <v>23</v>
      </c>
      <c r="G1387" s="17">
        <f>G1386</f>
        <v>0</v>
      </c>
      <c r="H1387" s="13">
        <f t="shared" si="21"/>
        <v>0</v>
      </c>
    </row>
    <row r="1388" spans="2:8" ht="13.5" thickBot="1" x14ac:dyDescent="0.35">
      <c r="B1388" s="9"/>
      <c r="C1388" s="14" t="s">
        <v>893</v>
      </c>
      <c r="D1388" s="14" t="s">
        <v>302</v>
      </c>
      <c r="E1388" s="16" t="s">
        <v>9</v>
      </c>
      <c r="F1388" s="17" t="s">
        <v>23</v>
      </c>
      <c r="G1388" s="17">
        <f>G1386</f>
        <v>0</v>
      </c>
      <c r="H1388" s="13">
        <f t="shared" si="21"/>
        <v>0</v>
      </c>
    </row>
    <row r="1389" spans="2:8" ht="13.5" thickBot="1" x14ac:dyDescent="0.35">
      <c r="B1389" s="9"/>
      <c r="C1389" s="14" t="s">
        <v>905</v>
      </c>
      <c r="D1389" s="14" t="s">
        <v>302</v>
      </c>
      <c r="E1389" s="16" t="s">
        <v>3</v>
      </c>
      <c r="F1389" s="17" t="s">
        <v>23</v>
      </c>
      <c r="G1389" s="17">
        <f>G1386*3</f>
        <v>0</v>
      </c>
      <c r="H1389" s="13">
        <f t="shared" si="21"/>
        <v>0</v>
      </c>
    </row>
    <row r="1390" spans="2:8" ht="13.5" thickBot="1" x14ac:dyDescent="0.35">
      <c r="B1390" s="9"/>
      <c r="C1390" s="14" t="s">
        <v>404</v>
      </c>
      <c r="D1390" s="14" t="s">
        <v>302</v>
      </c>
      <c r="E1390" s="16" t="s">
        <v>3</v>
      </c>
      <c r="F1390" s="17" t="s">
        <v>23</v>
      </c>
      <c r="G1390" s="17">
        <f>G1386</f>
        <v>0</v>
      </c>
      <c r="H1390" s="13">
        <f t="shared" si="21"/>
        <v>0</v>
      </c>
    </row>
    <row r="1391" spans="2:8" ht="13.5" thickBot="1" x14ac:dyDescent="0.35">
      <c r="B1391" s="9"/>
      <c r="C1391" s="14" t="s">
        <v>894</v>
      </c>
      <c r="D1391" s="14" t="s">
        <v>302</v>
      </c>
      <c r="E1391" s="16" t="s">
        <v>9</v>
      </c>
      <c r="F1391" s="17" t="s">
        <v>23</v>
      </c>
      <c r="G1391" s="17">
        <f>G1386</f>
        <v>0</v>
      </c>
      <c r="H1391" s="13">
        <f t="shared" si="21"/>
        <v>0</v>
      </c>
    </row>
    <row r="1392" spans="2:8" ht="13.5" thickBot="1" x14ac:dyDescent="0.35">
      <c r="B1392" s="9">
        <f>COUNT($B$4:B1391)+1</f>
        <v>526</v>
      </c>
      <c r="C1392" s="10" t="s">
        <v>908</v>
      </c>
      <c r="D1392" s="10"/>
      <c r="E1392" s="11" t="s">
        <v>3</v>
      </c>
      <c r="F1392" s="12" t="s">
        <v>23</v>
      </c>
      <c r="G1392" s="12"/>
      <c r="H1392" s="13">
        <f t="shared" si="21"/>
        <v>0</v>
      </c>
    </row>
    <row r="1393" spans="2:8" ht="13.5" thickBot="1" x14ac:dyDescent="0.35">
      <c r="B1393" s="9"/>
      <c r="C1393" s="14" t="s">
        <v>234</v>
      </c>
      <c r="D1393" s="15" t="s">
        <v>25</v>
      </c>
      <c r="E1393" s="16" t="s">
        <v>9</v>
      </c>
      <c r="F1393" s="17" t="s">
        <v>23</v>
      </c>
      <c r="G1393" s="17">
        <f>G1392</f>
        <v>0</v>
      </c>
      <c r="H1393" s="13">
        <f t="shared" si="21"/>
        <v>0</v>
      </c>
    </row>
    <row r="1394" spans="2:8" ht="13.5" thickBot="1" x14ac:dyDescent="0.35">
      <c r="B1394" s="9"/>
      <c r="C1394" s="14" t="s">
        <v>909</v>
      </c>
      <c r="D1394" s="14" t="s">
        <v>302</v>
      </c>
      <c r="E1394" s="16" t="s">
        <v>9</v>
      </c>
      <c r="F1394" s="17" t="s">
        <v>23</v>
      </c>
      <c r="G1394" s="17">
        <f>G1392</f>
        <v>0</v>
      </c>
      <c r="H1394" s="13">
        <f t="shared" si="21"/>
        <v>0</v>
      </c>
    </row>
    <row r="1395" spans="2:8" ht="13.5" thickBot="1" x14ac:dyDescent="0.35">
      <c r="B1395" s="9"/>
      <c r="C1395" s="14" t="s">
        <v>905</v>
      </c>
      <c r="D1395" s="14" t="s">
        <v>302</v>
      </c>
      <c r="E1395" s="16" t="s">
        <v>3</v>
      </c>
      <c r="F1395" s="17" t="s">
        <v>23</v>
      </c>
      <c r="G1395" s="17">
        <f>G1392*4</f>
        <v>0</v>
      </c>
      <c r="H1395" s="13">
        <f t="shared" si="21"/>
        <v>0</v>
      </c>
    </row>
    <row r="1396" spans="2:8" ht="13.5" thickBot="1" x14ac:dyDescent="0.35">
      <c r="B1396" s="9"/>
      <c r="C1396" s="14" t="s">
        <v>404</v>
      </c>
      <c r="D1396" s="14" t="s">
        <v>302</v>
      </c>
      <c r="E1396" s="16" t="s">
        <v>3</v>
      </c>
      <c r="F1396" s="17" t="s">
        <v>23</v>
      </c>
      <c r="G1396" s="17">
        <f>G1392</f>
        <v>0</v>
      </c>
      <c r="H1396" s="13">
        <f t="shared" si="21"/>
        <v>0</v>
      </c>
    </row>
    <row r="1397" spans="2:8" ht="13.5" thickBot="1" x14ac:dyDescent="0.35">
      <c r="B1397" s="9"/>
      <c r="C1397" s="14" t="s">
        <v>910</v>
      </c>
      <c r="D1397" s="14" t="s">
        <v>302</v>
      </c>
      <c r="E1397" s="16" t="s">
        <v>3</v>
      </c>
      <c r="F1397" s="17" t="s">
        <v>23</v>
      </c>
      <c r="G1397" s="17">
        <f>G1392</f>
        <v>0</v>
      </c>
      <c r="H1397" s="13">
        <f t="shared" si="21"/>
        <v>0</v>
      </c>
    </row>
    <row r="1398" spans="2:8" ht="13.5" thickBot="1" x14ac:dyDescent="0.35">
      <c r="B1398" s="9"/>
      <c r="C1398" s="14" t="s">
        <v>894</v>
      </c>
      <c r="D1398" s="14" t="s">
        <v>302</v>
      </c>
      <c r="E1398" s="16" t="s">
        <v>9</v>
      </c>
      <c r="F1398" s="17" t="s">
        <v>23</v>
      </c>
      <c r="G1398" s="17">
        <f>G1392</f>
        <v>0</v>
      </c>
      <c r="H1398" s="13">
        <f t="shared" si="21"/>
        <v>0</v>
      </c>
    </row>
    <row r="1399" spans="2:8" ht="13.5" thickBot="1" x14ac:dyDescent="0.35">
      <c r="B1399" s="9">
        <f>COUNT($B$4:B1398)+1</f>
        <v>527</v>
      </c>
      <c r="C1399" s="10" t="s">
        <v>911</v>
      </c>
      <c r="D1399" s="10"/>
      <c r="E1399" s="11" t="s">
        <v>3</v>
      </c>
      <c r="F1399" s="12" t="s">
        <v>23</v>
      </c>
      <c r="G1399" s="12"/>
      <c r="H1399" s="13">
        <f t="shared" si="21"/>
        <v>0</v>
      </c>
    </row>
    <row r="1400" spans="2:8" ht="13.5" thickBot="1" x14ac:dyDescent="0.35">
      <c r="B1400" s="9"/>
      <c r="C1400" s="14" t="s">
        <v>234</v>
      </c>
      <c r="D1400" s="15" t="s">
        <v>25</v>
      </c>
      <c r="E1400" s="16" t="s">
        <v>9</v>
      </c>
      <c r="F1400" s="17" t="s">
        <v>23</v>
      </c>
      <c r="G1400" s="17">
        <f>G1399</f>
        <v>0</v>
      </c>
      <c r="H1400" s="13">
        <f t="shared" si="21"/>
        <v>0</v>
      </c>
    </row>
    <row r="1401" spans="2:8" ht="13.5" thickBot="1" x14ac:dyDescent="0.35">
      <c r="B1401" s="9"/>
      <c r="C1401" s="14" t="s">
        <v>909</v>
      </c>
      <c r="D1401" s="14" t="s">
        <v>302</v>
      </c>
      <c r="E1401" s="16" t="s">
        <v>9</v>
      </c>
      <c r="F1401" s="17" t="s">
        <v>23</v>
      </c>
      <c r="G1401" s="17">
        <f>G1399</f>
        <v>0</v>
      </c>
      <c r="H1401" s="13">
        <f t="shared" si="21"/>
        <v>0</v>
      </c>
    </row>
    <row r="1402" spans="2:8" ht="13.5" thickBot="1" x14ac:dyDescent="0.35">
      <c r="B1402" s="9"/>
      <c r="C1402" s="14" t="s">
        <v>905</v>
      </c>
      <c r="D1402" s="14" t="s">
        <v>302</v>
      </c>
      <c r="E1402" s="16" t="s">
        <v>3</v>
      </c>
      <c r="F1402" s="17" t="s">
        <v>23</v>
      </c>
      <c r="G1402" s="17">
        <f>G1399*5</f>
        <v>0</v>
      </c>
      <c r="H1402" s="13">
        <f t="shared" si="21"/>
        <v>0</v>
      </c>
    </row>
    <row r="1403" spans="2:8" ht="13.5" thickBot="1" x14ac:dyDescent="0.35">
      <c r="B1403" s="9"/>
      <c r="C1403" s="14" t="s">
        <v>404</v>
      </c>
      <c r="D1403" s="14" t="s">
        <v>302</v>
      </c>
      <c r="E1403" s="16" t="s">
        <v>3</v>
      </c>
      <c r="F1403" s="17" t="s">
        <v>23</v>
      </c>
      <c r="G1403" s="17">
        <f>G1399</f>
        <v>0</v>
      </c>
      <c r="H1403" s="13">
        <f t="shared" si="21"/>
        <v>0</v>
      </c>
    </row>
    <row r="1404" spans="2:8" ht="13.5" thickBot="1" x14ac:dyDescent="0.35">
      <c r="B1404" s="9"/>
      <c r="C1404" s="14" t="s">
        <v>894</v>
      </c>
      <c r="D1404" s="14" t="s">
        <v>302</v>
      </c>
      <c r="E1404" s="16" t="s">
        <v>9</v>
      </c>
      <c r="F1404" s="17" t="s">
        <v>23</v>
      </c>
      <c r="G1404" s="17">
        <f>G1399</f>
        <v>0</v>
      </c>
      <c r="H1404" s="13">
        <f t="shared" si="21"/>
        <v>0</v>
      </c>
    </row>
    <row r="1405" spans="2:8" ht="13.5" thickBot="1" x14ac:dyDescent="0.35">
      <c r="B1405" s="9">
        <f>COUNT($B$4:B1404)+1</f>
        <v>528</v>
      </c>
      <c r="C1405" s="10" t="s">
        <v>912</v>
      </c>
      <c r="D1405" s="10"/>
      <c r="E1405" s="11" t="s">
        <v>3</v>
      </c>
      <c r="F1405" s="12" t="s">
        <v>23</v>
      </c>
      <c r="G1405" s="12"/>
      <c r="H1405" s="13">
        <f t="shared" si="21"/>
        <v>0</v>
      </c>
    </row>
    <row r="1406" spans="2:8" ht="13.5" thickBot="1" x14ac:dyDescent="0.35">
      <c r="B1406" s="9"/>
      <c r="C1406" s="14" t="s">
        <v>24</v>
      </c>
      <c r="D1406" s="15" t="s">
        <v>25</v>
      </c>
      <c r="E1406" s="16" t="s">
        <v>9</v>
      </c>
      <c r="F1406" s="17" t="s">
        <v>23</v>
      </c>
      <c r="G1406" s="17">
        <f>G1405</f>
        <v>0</v>
      </c>
      <c r="H1406" s="13">
        <f t="shared" si="21"/>
        <v>0</v>
      </c>
    </row>
    <row r="1407" spans="2:8" ht="13.5" thickBot="1" x14ac:dyDescent="0.35">
      <c r="B1407" s="9"/>
      <c r="C1407" s="14" t="s">
        <v>403</v>
      </c>
      <c r="D1407" s="14" t="s">
        <v>302</v>
      </c>
      <c r="E1407" s="16" t="s">
        <v>9</v>
      </c>
      <c r="F1407" s="17" t="s">
        <v>23</v>
      </c>
      <c r="G1407" s="17">
        <f>G1405</f>
        <v>0</v>
      </c>
      <c r="H1407" s="13">
        <f t="shared" si="21"/>
        <v>0</v>
      </c>
    </row>
    <row r="1408" spans="2:8" ht="13.5" thickBot="1" x14ac:dyDescent="0.35">
      <c r="B1408" s="9"/>
      <c r="C1408" s="14" t="s">
        <v>404</v>
      </c>
      <c r="D1408" s="14" t="s">
        <v>302</v>
      </c>
      <c r="E1408" s="16" t="s">
        <v>3</v>
      </c>
      <c r="F1408" s="17" t="s">
        <v>23</v>
      </c>
      <c r="G1408" s="17">
        <f>G1405*2</f>
        <v>0</v>
      </c>
      <c r="H1408" s="13">
        <f t="shared" si="21"/>
        <v>0</v>
      </c>
    </row>
    <row r="1409" spans="2:8" ht="13.5" thickBot="1" x14ac:dyDescent="0.35">
      <c r="B1409" s="9"/>
      <c r="C1409" s="14" t="s">
        <v>406</v>
      </c>
      <c r="D1409" s="14" t="s">
        <v>302</v>
      </c>
      <c r="E1409" s="16" t="s">
        <v>9</v>
      </c>
      <c r="F1409" s="17" t="s">
        <v>23</v>
      </c>
      <c r="G1409" s="17">
        <f>G1405</f>
        <v>0</v>
      </c>
      <c r="H1409" s="13">
        <f t="shared" si="21"/>
        <v>0</v>
      </c>
    </row>
    <row r="1410" spans="2:8" ht="13.5" thickBot="1" x14ac:dyDescent="0.35">
      <c r="B1410" s="9">
        <f>COUNT($B$4:B1409)+1</f>
        <v>529</v>
      </c>
      <c r="C1410" s="10" t="s">
        <v>913</v>
      </c>
      <c r="D1410" s="10"/>
      <c r="E1410" s="11" t="s">
        <v>3</v>
      </c>
      <c r="F1410" s="12" t="s">
        <v>23</v>
      </c>
      <c r="G1410" s="12"/>
      <c r="H1410" s="13">
        <f t="shared" si="21"/>
        <v>0</v>
      </c>
    </row>
    <row r="1411" spans="2:8" ht="13.5" thickBot="1" x14ac:dyDescent="0.35">
      <c r="B1411" s="9"/>
      <c r="C1411" s="14" t="s">
        <v>24</v>
      </c>
      <c r="D1411" s="15" t="s">
        <v>25</v>
      </c>
      <c r="E1411" s="16" t="s">
        <v>9</v>
      </c>
      <c r="F1411" s="17" t="s">
        <v>23</v>
      </c>
      <c r="G1411" s="17">
        <f>G1410</f>
        <v>0</v>
      </c>
      <c r="H1411" s="13">
        <f t="shared" si="21"/>
        <v>0</v>
      </c>
    </row>
    <row r="1412" spans="2:8" ht="13.5" thickBot="1" x14ac:dyDescent="0.35">
      <c r="B1412" s="9"/>
      <c r="C1412" s="14" t="s">
        <v>403</v>
      </c>
      <c r="D1412" s="14" t="s">
        <v>302</v>
      </c>
      <c r="E1412" s="16" t="s">
        <v>9</v>
      </c>
      <c r="F1412" s="17" t="s">
        <v>23</v>
      </c>
      <c r="G1412" s="17">
        <f>G1410</f>
        <v>0</v>
      </c>
      <c r="H1412" s="13">
        <f t="shared" si="21"/>
        <v>0</v>
      </c>
    </row>
    <row r="1413" spans="2:8" ht="13.5" thickBot="1" x14ac:dyDescent="0.35">
      <c r="B1413" s="9"/>
      <c r="C1413" s="14" t="s">
        <v>903</v>
      </c>
      <c r="D1413" s="14" t="s">
        <v>302</v>
      </c>
      <c r="E1413" s="16" t="s">
        <v>3</v>
      </c>
      <c r="F1413" s="17" t="s">
        <v>23</v>
      </c>
      <c r="G1413" s="17">
        <f>G1410</f>
        <v>0</v>
      </c>
      <c r="H1413" s="13">
        <f t="shared" ref="H1413:H1476" si="22">SUM(G1413:G1413)</f>
        <v>0</v>
      </c>
    </row>
    <row r="1414" spans="2:8" ht="13.5" thickBot="1" x14ac:dyDescent="0.35">
      <c r="B1414" s="9"/>
      <c r="C1414" s="14" t="s">
        <v>404</v>
      </c>
      <c r="D1414" s="14" t="s">
        <v>302</v>
      </c>
      <c r="E1414" s="16" t="s">
        <v>3</v>
      </c>
      <c r="F1414" s="17" t="s">
        <v>23</v>
      </c>
      <c r="G1414" s="17">
        <f>G1410*2</f>
        <v>0</v>
      </c>
      <c r="H1414" s="13">
        <f t="shared" si="22"/>
        <v>0</v>
      </c>
    </row>
    <row r="1415" spans="2:8" ht="13.5" thickBot="1" x14ac:dyDescent="0.35">
      <c r="B1415" s="9"/>
      <c r="C1415" s="14" t="s">
        <v>406</v>
      </c>
      <c r="D1415" s="14" t="s">
        <v>302</v>
      </c>
      <c r="E1415" s="16" t="s">
        <v>9</v>
      </c>
      <c r="F1415" s="17" t="s">
        <v>23</v>
      </c>
      <c r="G1415" s="17">
        <f>G1410</f>
        <v>0</v>
      </c>
      <c r="H1415" s="13">
        <f t="shared" si="22"/>
        <v>0</v>
      </c>
    </row>
    <row r="1416" spans="2:8" ht="13.5" thickBot="1" x14ac:dyDescent="0.35">
      <c r="B1416" s="9">
        <f>COUNT($B$4:B1415)+1</f>
        <v>530</v>
      </c>
      <c r="C1416" s="10" t="s">
        <v>914</v>
      </c>
      <c r="D1416" s="10"/>
      <c r="E1416" s="11" t="s">
        <v>3</v>
      </c>
      <c r="F1416" s="12" t="s">
        <v>23</v>
      </c>
      <c r="G1416" s="12"/>
      <c r="H1416" s="13">
        <f t="shared" si="22"/>
        <v>0</v>
      </c>
    </row>
    <row r="1417" spans="2:8" ht="13.5" thickBot="1" x14ac:dyDescent="0.35">
      <c r="B1417" s="9"/>
      <c r="C1417" s="14" t="s">
        <v>24</v>
      </c>
      <c r="D1417" s="15" t="s">
        <v>25</v>
      </c>
      <c r="E1417" s="16" t="s">
        <v>9</v>
      </c>
      <c r="F1417" s="17" t="s">
        <v>23</v>
      </c>
      <c r="G1417" s="17">
        <f>G1416</f>
        <v>0</v>
      </c>
      <c r="H1417" s="13">
        <f t="shared" si="22"/>
        <v>0</v>
      </c>
    </row>
    <row r="1418" spans="2:8" ht="13.5" thickBot="1" x14ac:dyDescent="0.35">
      <c r="B1418" s="9"/>
      <c r="C1418" s="14" t="s">
        <v>403</v>
      </c>
      <c r="D1418" s="14" t="s">
        <v>302</v>
      </c>
      <c r="E1418" s="16" t="s">
        <v>9</v>
      </c>
      <c r="F1418" s="17" t="s">
        <v>23</v>
      </c>
      <c r="G1418" s="17">
        <f>G1416</f>
        <v>0</v>
      </c>
      <c r="H1418" s="13">
        <f t="shared" si="22"/>
        <v>0</v>
      </c>
    </row>
    <row r="1419" spans="2:8" ht="13.5" thickBot="1" x14ac:dyDescent="0.35">
      <c r="B1419" s="9"/>
      <c r="C1419" s="14" t="s">
        <v>905</v>
      </c>
      <c r="D1419" s="14" t="s">
        <v>302</v>
      </c>
      <c r="E1419" s="16" t="s">
        <v>3</v>
      </c>
      <c r="F1419" s="17" t="s">
        <v>23</v>
      </c>
      <c r="G1419" s="17">
        <f>G1416</f>
        <v>0</v>
      </c>
      <c r="H1419" s="13">
        <f t="shared" si="22"/>
        <v>0</v>
      </c>
    </row>
    <row r="1420" spans="2:8" ht="13.5" thickBot="1" x14ac:dyDescent="0.35">
      <c r="B1420" s="9"/>
      <c r="C1420" s="14" t="s">
        <v>404</v>
      </c>
      <c r="D1420" s="14" t="s">
        <v>302</v>
      </c>
      <c r="E1420" s="16" t="s">
        <v>3</v>
      </c>
      <c r="F1420" s="17" t="s">
        <v>23</v>
      </c>
      <c r="G1420" s="17">
        <f>G1416*2</f>
        <v>0</v>
      </c>
      <c r="H1420" s="13">
        <f t="shared" si="22"/>
        <v>0</v>
      </c>
    </row>
    <row r="1421" spans="2:8" ht="13.5" thickBot="1" x14ac:dyDescent="0.35">
      <c r="B1421" s="9"/>
      <c r="C1421" s="14" t="s">
        <v>406</v>
      </c>
      <c r="D1421" s="14" t="s">
        <v>302</v>
      </c>
      <c r="E1421" s="16" t="s">
        <v>9</v>
      </c>
      <c r="F1421" s="17" t="s">
        <v>23</v>
      </c>
      <c r="G1421" s="17">
        <f>G1416</f>
        <v>0</v>
      </c>
      <c r="H1421" s="13">
        <f t="shared" si="22"/>
        <v>0</v>
      </c>
    </row>
    <row r="1422" spans="2:8" ht="13.5" thickBot="1" x14ac:dyDescent="0.35">
      <c r="B1422" s="9">
        <f>COUNT($B$4:B1421)+1</f>
        <v>531</v>
      </c>
      <c r="C1422" s="10" t="s">
        <v>915</v>
      </c>
      <c r="D1422" s="10"/>
      <c r="E1422" s="11" t="s">
        <v>3</v>
      </c>
      <c r="F1422" s="12" t="s">
        <v>23</v>
      </c>
      <c r="G1422" s="12"/>
      <c r="H1422" s="13">
        <f t="shared" si="22"/>
        <v>0</v>
      </c>
    </row>
    <row r="1423" spans="2:8" ht="13.5" thickBot="1" x14ac:dyDescent="0.35">
      <c r="B1423" s="9"/>
      <c r="C1423" s="14" t="s">
        <v>234</v>
      </c>
      <c r="D1423" s="15" t="s">
        <v>25</v>
      </c>
      <c r="E1423" s="16" t="s">
        <v>9</v>
      </c>
      <c r="F1423" s="17" t="s">
        <v>23</v>
      </c>
      <c r="G1423" s="17">
        <f>G1422</f>
        <v>0</v>
      </c>
      <c r="H1423" s="13">
        <f t="shared" si="22"/>
        <v>0</v>
      </c>
    </row>
    <row r="1424" spans="2:8" ht="13.5" thickBot="1" x14ac:dyDescent="0.35">
      <c r="B1424" s="9"/>
      <c r="C1424" s="14" t="s">
        <v>893</v>
      </c>
      <c r="D1424" s="14" t="s">
        <v>302</v>
      </c>
      <c r="E1424" s="16" t="s">
        <v>9</v>
      </c>
      <c r="F1424" s="17" t="s">
        <v>23</v>
      </c>
      <c r="G1424" s="17">
        <f>G1422</f>
        <v>0</v>
      </c>
      <c r="H1424" s="13">
        <f t="shared" si="22"/>
        <v>0</v>
      </c>
    </row>
    <row r="1425" spans="2:8" ht="13.5" thickBot="1" x14ac:dyDescent="0.35">
      <c r="B1425" s="9"/>
      <c r="C1425" s="14" t="s">
        <v>905</v>
      </c>
      <c r="D1425" s="14" t="s">
        <v>302</v>
      </c>
      <c r="E1425" s="16" t="s">
        <v>3</v>
      </c>
      <c r="F1425" s="17" t="s">
        <v>23</v>
      </c>
      <c r="G1425" s="17">
        <f>G1422*2</f>
        <v>0</v>
      </c>
      <c r="H1425" s="13">
        <f t="shared" si="22"/>
        <v>0</v>
      </c>
    </row>
    <row r="1426" spans="2:8" ht="13.5" thickBot="1" x14ac:dyDescent="0.35">
      <c r="B1426" s="9"/>
      <c r="C1426" s="14" t="s">
        <v>404</v>
      </c>
      <c r="D1426" s="14" t="s">
        <v>302</v>
      </c>
      <c r="E1426" s="16" t="s">
        <v>3</v>
      </c>
      <c r="F1426" s="17" t="s">
        <v>23</v>
      </c>
      <c r="G1426" s="17">
        <f>G1422*2</f>
        <v>0</v>
      </c>
      <c r="H1426" s="13">
        <f t="shared" si="22"/>
        <v>0</v>
      </c>
    </row>
    <row r="1427" spans="2:8" ht="13.5" thickBot="1" x14ac:dyDescent="0.35">
      <c r="B1427" s="9"/>
      <c r="C1427" s="14" t="s">
        <v>894</v>
      </c>
      <c r="D1427" s="14" t="s">
        <v>302</v>
      </c>
      <c r="E1427" s="16" t="s">
        <v>9</v>
      </c>
      <c r="F1427" s="17" t="s">
        <v>23</v>
      </c>
      <c r="G1427" s="17">
        <f>G1422</f>
        <v>0</v>
      </c>
      <c r="H1427" s="13">
        <f t="shared" si="22"/>
        <v>0</v>
      </c>
    </row>
    <row r="1428" spans="2:8" ht="13.5" thickBot="1" x14ac:dyDescent="0.35">
      <c r="B1428" s="9">
        <f>COUNT($B$4:B1427)+1</f>
        <v>532</v>
      </c>
      <c r="C1428" s="10" t="s">
        <v>916</v>
      </c>
      <c r="D1428" s="10"/>
      <c r="E1428" s="11" t="s">
        <v>3</v>
      </c>
      <c r="F1428" s="12" t="s">
        <v>23</v>
      </c>
      <c r="G1428" s="12"/>
      <c r="H1428" s="13">
        <f t="shared" si="22"/>
        <v>0</v>
      </c>
    </row>
    <row r="1429" spans="2:8" ht="13.5" thickBot="1" x14ac:dyDescent="0.35">
      <c r="B1429" s="9"/>
      <c r="C1429" s="14" t="s">
        <v>234</v>
      </c>
      <c r="D1429" s="15" t="s">
        <v>25</v>
      </c>
      <c r="E1429" s="16" t="s">
        <v>9</v>
      </c>
      <c r="F1429" s="17" t="s">
        <v>23</v>
      </c>
      <c r="G1429" s="17">
        <f>G1428</f>
        <v>0</v>
      </c>
      <c r="H1429" s="13">
        <f t="shared" si="22"/>
        <v>0</v>
      </c>
    </row>
    <row r="1430" spans="2:8" ht="13.5" thickBot="1" x14ac:dyDescent="0.35">
      <c r="B1430" s="9"/>
      <c r="C1430" s="14" t="s">
        <v>909</v>
      </c>
      <c r="D1430" s="14" t="s">
        <v>302</v>
      </c>
      <c r="E1430" s="16" t="s">
        <v>9</v>
      </c>
      <c r="F1430" s="17" t="s">
        <v>23</v>
      </c>
      <c r="G1430" s="17">
        <f>G1428</f>
        <v>0</v>
      </c>
      <c r="H1430" s="13">
        <f t="shared" si="22"/>
        <v>0</v>
      </c>
    </row>
    <row r="1431" spans="2:8" ht="13.5" thickBot="1" x14ac:dyDescent="0.35">
      <c r="B1431" s="9"/>
      <c r="C1431" s="14" t="s">
        <v>905</v>
      </c>
      <c r="D1431" s="14" t="s">
        <v>302</v>
      </c>
      <c r="E1431" s="16" t="s">
        <v>3</v>
      </c>
      <c r="F1431" s="17" t="s">
        <v>23</v>
      </c>
      <c r="G1431" s="17">
        <f>G1428*3</f>
        <v>0</v>
      </c>
      <c r="H1431" s="13">
        <f t="shared" si="22"/>
        <v>0</v>
      </c>
    </row>
    <row r="1432" spans="2:8" ht="13.5" thickBot="1" x14ac:dyDescent="0.35">
      <c r="B1432" s="9"/>
      <c r="C1432" s="14" t="s">
        <v>404</v>
      </c>
      <c r="D1432" s="14" t="s">
        <v>302</v>
      </c>
      <c r="E1432" s="16" t="s">
        <v>3</v>
      </c>
      <c r="F1432" s="17" t="s">
        <v>23</v>
      </c>
      <c r="G1432" s="17">
        <f>G1428*2</f>
        <v>0</v>
      </c>
      <c r="H1432" s="13">
        <f t="shared" si="22"/>
        <v>0</v>
      </c>
    </row>
    <row r="1433" spans="2:8" ht="13.5" thickBot="1" x14ac:dyDescent="0.35">
      <c r="B1433" s="9"/>
      <c r="C1433" s="14" t="s">
        <v>910</v>
      </c>
      <c r="D1433" s="14" t="s">
        <v>302</v>
      </c>
      <c r="E1433" s="16" t="s">
        <v>3</v>
      </c>
      <c r="F1433" s="17" t="s">
        <v>23</v>
      </c>
      <c r="G1433" s="17">
        <f>G1428</f>
        <v>0</v>
      </c>
      <c r="H1433" s="13">
        <f t="shared" si="22"/>
        <v>0</v>
      </c>
    </row>
    <row r="1434" spans="2:8" ht="13.5" thickBot="1" x14ac:dyDescent="0.35">
      <c r="B1434" s="9"/>
      <c r="C1434" s="14" t="s">
        <v>894</v>
      </c>
      <c r="D1434" s="14" t="s">
        <v>302</v>
      </c>
      <c r="E1434" s="16" t="s">
        <v>9</v>
      </c>
      <c r="F1434" s="17" t="s">
        <v>23</v>
      </c>
      <c r="G1434" s="17">
        <f>G1428</f>
        <v>0</v>
      </c>
      <c r="H1434" s="13">
        <f t="shared" si="22"/>
        <v>0</v>
      </c>
    </row>
    <row r="1435" spans="2:8" ht="13.5" thickBot="1" x14ac:dyDescent="0.35">
      <c r="B1435" s="9">
        <f>COUNT($B$4:B1434)+1</f>
        <v>533</v>
      </c>
      <c r="C1435" s="10" t="s">
        <v>917</v>
      </c>
      <c r="D1435" s="10"/>
      <c r="E1435" s="11" t="s">
        <v>3</v>
      </c>
      <c r="F1435" s="12" t="s">
        <v>23</v>
      </c>
      <c r="G1435" s="12"/>
      <c r="H1435" s="13">
        <f t="shared" si="22"/>
        <v>0</v>
      </c>
    </row>
    <row r="1436" spans="2:8" ht="13.5" thickBot="1" x14ac:dyDescent="0.35">
      <c r="B1436" s="9"/>
      <c r="C1436" s="14" t="s">
        <v>234</v>
      </c>
      <c r="D1436" s="15" t="s">
        <v>25</v>
      </c>
      <c r="E1436" s="16" t="s">
        <v>9</v>
      </c>
      <c r="F1436" s="17" t="s">
        <v>23</v>
      </c>
      <c r="G1436" s="17">
        <f>G1435</f>
        <v>0</v>
      </c>
      <c r="H1436" s="13">
        <f t="shared" si="22"/>
        <v>0</v>
      </c>
    </row>
    <row r="1437" spans="2:8" ht="13.5" thickBot="1" x14ac:dyDescent="0.35">
      <c r="B1437" s="9"/>
      <c r="C1437" s="14" t="s">
        <v>909</v>
      </c>
      <c r="D1437" s="14" t="s">
        <v>302</v>
      </c>
      <c r="E1437" s="16" t="s">
        <v>9</v>
      </c>
      <c r="F1437" s="17" t="s">
        <v>23</v>
      </c>
      <c r="G1437" s="17">
        <f>G1435</f>
        <v>0</v>
      </c>
      <c r="H1437" s="13">
        <f t="shared" si="22"/>
        <v>0</v>
      </c>
    </row>
    <row r="1438" spans="2:8" ht="13.5" thickBot="1" x14ac:dyDescent="0.35">
      <c r="B1438" s="9"/>
      <c r="C1438" s="14" t="s">
        <v>905</v>
      </c>
      <c r="D1438" s="14" t="s">
        <v>302</v>
      </c>
      <c r="E1438" s="16" t="s">
        <v>3</v>
      </c>
      <c r="F1438" s="17" t="s">
        <v>23</v>
      </c>
      <c r="G1438" s="17">
        <f>G1435*4</f>
        <v>0</v>
      </c>
      <c r="H1438" s="13">
        <f t="shared" si="22"/>
        <v>0</v>
      </c>
    </row>
    <row r="1439" spans="2:8" ht="13.5" thickBot="1" x14ac:dyDescent="0.35">
      <c r="B1439" s="9"/>
      <c r="C1439" s="14" t="s">
        <v>404</v>
      </c>
      <c r="D1439" s="14" t="s">
        <v>302</v>
      </c>
      <c r="E1439" s="16" t="s">
        <v>3</v>
      </c>
      <c r="F1439" s="17" t="s">
        <v>23</v>
      </c>
      <c r="G1439" s="17">
        <f>G1435*2</f>
        <v>0</v>
      </c>
      <c r="H1439" s="13">
        <f t="shared" si="22"/>
        <v>0</v>
      </c>
    </row>
    <row r="1440" spans="2:8" ht="13.5" thickBot="1" x14ac:dyDescent="0.35">
      <c r="B1440" s="9"/>
      <c r="C1440" s="14" t="s">
        <v>894</v>
      </c>
      <c r="D1440" s="14" t="s">
        <v>302</v>
      </c>
      <c r="E1440" s="16" t="s">
        <v>9</v>
      </c>
      <c r="F1440" s="17" t="s">
        <v>23</v>
      </c>
      <c r="G1440" s="17">
        <f>G1435</f>
        <v>0</v>
      </c>
      <c r="H1440" s="13">
        <f t="shared" si="22"/>
        <v>0</v>
      </c>
    </row>
    <row r="1441" spans="2:8" ht="13.5" thickBot="1" x14ac:dyDescent="0.35">
      <c r="B1441" s="9">
        <f>COUNT($B$4:B1440)+1</f>
        <v>534</v>
      </c>
      <c r="C1441" s="10" t="s">
        <v>918</v>
      </c>
      <c r="D1441" s="10"/>
      <c r="E1441" s="11" t="s">
        <v>3</v>
      </c>
      <c r="F1441" s="12" t="s">
        <v>23</v>
      </c>
      <c r="G1441" s="12"/>
      <c r="H1441" s="13">
        <f t="shared" si="22"/>
        <v>0</v>
      </c>
    </row>
    <row r="1442" spans="2:8" ht="13.5" thickBot="1" x14ac:dyDescent="0.35">
      <c r="B1442" s="9"/>
      <c r="C1442" s="14" t="s">
        <v>24</v>
      </c>
      <c r="D1442" s="15" t="s">
        <v>25</v>
      </c>
      <c r="E1442" s="16" t="s">
        <v>9</v>
      </c>
      <c r="F1442" s="17" t="s">
        <v>23</v>
      </c>
      <c r="G1442" s="17">
        <f>G1441</f>
        <v>0</v>
      </c>
      <c r="H1442" s="13">
        <f t="shared" si="22"/>
        <v>0</v>
      </c>
    </row>
    <row r="1443" spans="2:8" ht="13.5" thickBot="1" x14ac:dyDescent="0.35">
      <c r="B1443" s="9"/>
      <c r="C1443" s="14" t="s">
        <v>420</v>
      </c>
      <c r="D1443" s="14" t="s">
        <v>302</v>
      </c>
      <c r="E1443" s="16" t="s">
        <v>9</v>
      </c>
      <c r="F1443" s="17" t="s">
        <v>23</v>
      </c>
      <c r="G1443" s="17">
        <f>G1441</f>
        <v>0</v>
      </c>
      <c r="H1443" s="13">
        <f t="shared" si="22"/>
        <v>0</v>
      </c>
    </row>
    <row r="1444" spans="2:8" ht="13.5" thickBot="1" x14ac:dyDescent="0.35">
      <c r="B1444" s="9"/>
      <c r="C1444" s="14" t="s">
        <v>404</v>
      </c>
      <c r="D1444" s="14" t="s">
        <v>302</v>
      </c>
      <c r="E1444" s="16" t="s">
        <v>3</v>
      </c>
      <c r="F1444" s="17" t="s">
        <v>23</v>
      </c>
      <c r="G1444" s="17">
        <f>G1441*3</f>
        <v>0</v>
      </c>
      <c r="H1444" s="13">
        <f t="shared" si="22"/>
        <v>0</v>
      </c>
    </row>
    <row r="1445" spans="2:8" ht="13.5" thickBot="1" x14ac:dyDescent="0.35">
      <c r="B1445" s="9"/>
      <c r="C1445" s="14" t="s">
        <v>406</v>
      </c>
      <c r="D1445" s="14" t="s">
        <v>302</v>
      </c>
      <c r="E1445" s="16" t="s">
        <v>9</v>
      </c>
      <c r="F1445" s="17" t="s">
        <v>23</v>
      </c>
      <c r="G1445" s="17">
        <f>G1441</f>
        <v>0</v>
      </c>
      <c r="H1445" s="13">
        <f t="shared" si="22"/>
        <v>0</v>
      </c>
    </row>
    <row r="1446" spans="2:8" ht="13.5" thickBot="1" x14ac:dyDescent="0.35">
      <c r="B1446" s="9">
        <f>COUNT($B$4:B1445)+1</f>
        <v>535</v>
      </c>
      <c r="C1446" s="10" t="s">
        <v>919</v>
      </c>
      <c r="D1446" s="10"/>
      <c r="E1446" s="11" t="s">
        <v>3</v>
      </c>
      <c r="F1446" s="12" t="s">
        <v>23</v>
      </c>
      <c r="G1446" s="12"/>
      <c r="H1446" s="13">
        <f t="shared" si="22"/>
        <v>0</v>
      </c>
    </row>
    <row r="1447" spans="2:8" ht="13.5" thickBot="1" x14ac:dyDescent="0.35">
      <c r="B1447" s="9"/>
      <c r="C1447" s="14" t="s">
        <v>234</v>
      </c>
      <c r="D1447" s="15" t="s">
        <v>25</v>
      </c>
      <c r="E1447" s="16" t="s">
        <v>9</v>
      </c>
      <c r="F1447" s="17" t="s">
        <v>23</v>
      </c>
      <c r="G1447" s="17">
        <f>G1446</f>
        <v>0</v>
      </c>
      <c r="H1447" s="13">
        <f t="shared" si="22"/>
        <v>0</v>
      </c>
    </row>
    <row r="1448" spans="2:8" ht="13.5" thickBot="1" x14ac:dyDescent="0.35">
      <c r="B1448" s="9"/>
      <c r="C1448" s="14" t="s">
        <v>893</v>
      </c>
      <c r="D1448" s="14" t="s">
        <v>302</v>
      </c>
      <c r="E1448" s="16" t="s">
        <v>9</v>
      </c>
      <c r="F1448" s="17" t="s">
        <v>23</v>
      </c>
      <c r="G1448" s="17">
        <f>G1446</f>
        <v>0</v>
      </c>
      <c r="H1448" s="13">
        <f t="shared" si="22"/>
        <v>0</v>
      </c>
    </row>
    <row r="1449" spans="2:8" ht="13.5" thickBot="1" x14ac:dyDescent="0.35">
      <c r="B1449" s="9"/>
      <c r="C1449" s="14" t="s">
        <v>903</v>
      </c>
      <c r="D1449" s="14" t="s">
        <v>302</v>
      </c>
      <c r="E1449" s="16" t="s">
        <v>3</v>
      </c>
      <c r="F1449" s="17" t="s">
        <v>23</v>
      </c>
      <c r="G1449" s="17">
        <f>G1446</f>
        <v>0</v>
      </c>
      <c r="H1449" s="13">
        <f t="shared" si="22"/>
        <v>0</v>
      </c>
    </row>
    <row r="1450" spans="2:8" ht="13.5" thickBot="1" x14ac:dyDescent="0.35">
      <c r="B1450" s="9"/>
      <c r="C1450" s="14" t="s">
        <v>404</v>
      </c>
      <c r="D1450" s="14" t="s">
        <v>302</v>
      </c>
      <c r="E1450" s="16" t="s">
        <v>3</v>
      </c>
      <c r="F1450" s="17" t="s">
        <v>23</v>
      </c>
      <c r="G1450" s="17">
        <f>G1446*3</f>
        <v>0</v>
      </c>
      <c r="H1450" s="13">
        <f t="shared" si="22"/>
        <v>0</v>
      </c>
    </row>
    <row r="1451" spans="2:8" ht="13.5" thickBot="1" x14ac:dyDescent="0.35">
      <c r="B1451" s="9"/>
      <c r="C1451" s="14" t="s">
        <v>894</v>
      </c>
      <c r="D1451" s="14" t="s">
        <v>302</v>
      </c>
      <c r="E1451" s="16" t="s">
        <v>9</v>
      </c>
      <c r="F1451" s="17" t="s">
        <v>23</v>
      </c>
      <c r="G1451" s="17">
        <f>G1446</f>
        <v>0</v>
      </c>
      <c r="H1451" s="13">
        <f t="shared" si="22"/>
        <v>0</v>
      </c>
    </row>
    <row r="1452" spans="2:8" ht="13.5" thickBot="1" x14ac:dyDescent="0.35">
      <c r="B1452" s="9">
        <f>COUNT($B$4:B1451)+1</f>
        <v>536</v>
      </c>
      <c r="C1452" s="10" t="s">
        <v>920</v>
      </c>
      <c r="D1452" s="10"/>
      <c r="E1452" s="11" t="s">
        <v>3</v>
      </c>
      <c r="F1452" s="12" t="s">
        <v>23</v>
      </c>
      <c r="G1452" s="12"/>
      <c r="H1452" s="13">
        <f t="shared" si="22"/>
        <v>0</v>
      </c>
    </row>
    <row r="1453" spans="2:8" ht="13.5" thickBot="1" x14ac:dyDescent="0.35">
      <c r="B1453" s="9"/>
      <c r="C1453" s="14" t="s">
        <v>234</v>
      </c>
      <c r="D1453" s="15" t="s">
        <v>25</v>
      </c>
      <c r="E1453" s="16" t="s">
        <v>9</v>
      </c>
      <c r="F1453" s="17" t="s">
        <v>23</v>
      </c>
      <c r="G1453" s="17">
        <f>G1452</f>
        <v>0</v>
      </c>
      <c r="H1453" s="13">
        <f t="shared" si="22"/>
        <v>0</v>
      </c>
    </row>
    <row r="1454" spans="2:8" ht="13.5" thickBot="1" x14ac:dyDescent="0.35">
      <c r="B1454" s="9"/>
      <c r="C1454" s="14" t="s">
        <v>893</v>
      </c>
      <c r="D1454" s="14" t="s">
        <v>302</v>
      </c>
      <c r="E1454" s="16" t="s">
        <v>9</v>
      </c>
      <c r="F1454" s="17" t="s">
        <v>23</v>
      </c>
      <c r="G1454" s="17">
        <f>G1452</f>
        <v>0</v>
      </c>
      <c r="H1454" s="13">
        <f t="shared" si="22"/>
        <v>0</v>
      </c>
    </row>
    <row r="1455" spans="2:8" ht="13.5" thickBot="1" x14ac:dyDescent="0.35">
      <c r="B1455" s="9"/>
      <c r="C1455" s="14" t="s">
        <v>905</v>
      </c>
      <c r="D1455" s="14" t="s">
        <v>302</v>
      </c>
      <c r="E1455" s="16" t="s">
        <v>3</v>
      </c>
      <c r="F1455" s="17" t="s">
        <v>23</v>
      </c>
      <c r="G1455" s="17">
        <f>G1452</f>
        <v>0</v>
      </c>
      <c r="H1455" s="13">
        <f t="shared" si="22"/>
        <v>0</v>
      </c>
    </row>
    <row r="1456" spans="2:8" ht="13.5" thickBot="1" x14ac:dyDescent="0.35">
      <c r="B1456" s="9"/>
      <c r="C1456" s="14" t="s">
        <v>404</v>
      </c>
      <c r="D1456" s="14" t="s">
        <v>302</v>
      </c>
      <c r="E1456" s="16" t="s">
        <v>3</v>
      </c>
      <c r="F1456" s="17" t="s">
        <v>23</v>
      </c>
      <c r="G1456" s="17">
        <f>G1452*3</f>
        <v>0</v>
      </c>
      <c r="H1456" s="13">
        <f t="shared" si="22"/>
        <v>0</v>
      </c>
    </row>
    <row r="1457" spans="2:8" ht="13.5" thickBot="1" x14ac:dyDescent="0.35">
      <c r="B1457" s="9"/>
      <c r="C1457" s="14" t="s">
        <v>894</v>
      </c>
      <c r="D1457" s="14" t="s">
        <v>302</v>
      </c>
      <c r="E1457" s="16" t="s">
        <v>9</v>
      </c>
      <c r="F1457" s="17" t="s">
        <v>23</v>
      </c>
      <c r="G1457" s="17">
        <f>G1452</f>
        <v>0</v>
      </c>
      <c r="H1457" s="13">
        <f t="shared" si="22"/>
        <v>0</v>
      </c>
    </row>
    <row r="1458" spans="2:8" ht="13.5" thickBot="1" x14ac:dyDescent="0.35">
      <c r="B1458" s="9">
        <f>COUNT($B$4:B1457)+1</f>
        <v>537</v>
      </c>
      <c r="C1458" s="10" t="s">
        <v>921</v>
      </c>
      <c r="D1458" s="10"/>
      <c r="E1458" s="11" t="s">
        <v>3</v>
      </c>
      <c r="F1458" s="12" t="s">
        <v>23</v>
      </c>
      <c r="G1458" s="12"/>
      <c r="H1458" s="13">
        <f t="shared" si="22"/>
        <v>0</v>
      </c>
    </row>
    <row r="1459" spans="2:8" ht="13.5" thickBot="1" x14ac:dyDescent="0.35">
      <c r="B1459" s="9"/>
      <c r="C1459" s="14" t="s">
        <v>234</v>
      </c>
      <c r="D1459" s="15" t="s">
        <v>25</v>
      </c>
      <c r="E1459" s="16" t="s">
        <v>9</v>
      </c>
      <c r="F1459" s="17" t="s">
        <v>23</v>
      </c>
      <c r="G1459" s="17">
        <f>G1458</f>
        <v>0</v>
      </c>
      <c r="H1459" s="13">
        <f t="shared" si="22"/>
        <v>0</v>
      </c>
    </row>
    <row r="1460" spans="2:8" ht="13.5" thickBot="1" x14ac:dyDescent="0.35">
      <c r="B1460" s="9"/>
      <c r="C1460" s="14" t="s">
        <v>909</v>
      </c>
      <c r="D1460" s="14" t="s">
        <v>302</v>
      </c>
      <c r="E1460" s="16" t="s">
        <v>9</v>
      </c>
      <c r="F1460" s="17" t="s">
        <v>23</v>
      </c>
      <c r="G1460" s="17">
        <f>G1458</f>
        <v>0</v>
      </c>
      <c r="H1460" s="13">
        <f t="shared" si="22"/>
        <v>0</v>
      </c>
    </row>
    <row r="1461" spans="2:8" ht="13.5" thickBot="1" x14ac:dyDescent="0.35">
      <c r="B1461" s="9"/>
      <c r="C1461" s="14" t="s">
        <v>905</v>
      </c>
      <c r="D1461" s="14" t="s">
        <v>302</v>
      </c>
      <c r="E1461" s="16" t="s">
        <v>3</v>
      </c>
      <c r="F1461" s="17" t="s">
        <v>23</v>
      </c>
      <c r="G1461" s="17">
        <f>G1458*2</f>
        <v>0</v>
      </c>
      <c r="H1461" s="13">
        <f t="shared" si="22"/>
        <v>0</v>
      </c>
    </row>
    <row r="1462" spans="2:8" ht="13.5" thickBot="1" x14ac:dyDescent="0.35">
      <c r="B1462" s="9"/>
      <c r="C1462" s="14" t="s">
        <v>404</v>
      </c>
      <c r="D1462" s="14" t="s">
        <v>302</v>
      </c>
      <c r="E1462" s="16" t="s">
        <v>3</v>
      </c>
      <c r="F1462" s="17" t="s">
        <v>23</v>
      </c>
      <c r="G1462" s="17">
        <f>G1458*3</f>
        <v>0</v>
      </c>
      <c r="H1462" s="13">
        <f t="shared" si="22"/>
        <v>0</v>
      </c>
    </row>
    <row r="1463" spans="2:8" ht="13.5" thickBot="1" x14ac:dyDescent="0.35">
      <c r="B1463" s="9"/>
      <c r="C1463" s="14" t="s">
        <v>910</v>
      </c>
      <c r="D1463" s="14" t="s">
        <v>302</v>
      </c>
      <c r="E1463" s="16" t="s">
        <v>3</v>
      </c>
      <c r="F1463" s="17" t="s">
        <v>23</v>
      </c>
      <c r="G1463" s="17">
        <f>G1458</f>
        <v>0</v>
      </c>
      <c r="H1463" s="13">
        <f t="shared" si="22"/>
        <v>0</v>
      </c>
    </row>
    <row r="1464" spans="2:8" ht="13.5" thickBot="1" x14ac:dyDescent="0.35">
      <c r="B1464" s="9"/>
      <c r="C1464" s="14" t="s">
        <v>894</v>
      </c>
      <c r="D1464" s="14" t="s">
        <v>302</v>
      </c>
      <c r="E1464" s="16" t="s">
        <v>9</v>
      </c>
      <c r="F1464" s="17" t="s">
        <v>23</v>
      </c>
      <c r="G1464" s="17">
        <f>G1458</f>
        <v>0</v>
      </c>
      <c r="H1464" s="13">
        <f t="shared" si="22"/>
        <v>0</v>
      </c>
    </row>
    <row r="1465" spans="2:8" ht="13.5" thickBot="1" x14ac:dyDescent="0.35">
      <c r="B1465" s="9">
        <f>COUNT($B$4:B1464)+1</f>
        <v>538</v>
      </c>
      <c r="C1465" s="10" t="s">
        <v>922</v>
      </c>
      <c r="D1465" s="10"/>
      <c r="E1465" s="11" t="s">
        <v>3</v>
      </c>
      <c r="F1465" s="12" t="s">
        <v>23</v>
      </c>
      <c r="G1465" s="12"/>
      <c r="H1465" s="13">
        <f t="shared" si="22"/>
        <v>0</v>
      </c>
    </row>
    <row r="1466" spans="2:8" ht="13.5" thickBot="1" x14ac:dyDescent="0.35">
      <c r="B1466" s="9"/>
      <c r="C1466" s="14" t="s">
        <v>234</v>
      </c>
      <c r="D1466" s="15" t="s">
        <v>25</v>
      </c>
      <c r="E1466" s="16" t="s">
        <v>9</v>
      </c>
      <c r="F1466" s="17" t="s">
        <v>23</v>
      </c>
      <c r="G1466" s="17">
        <f>G1465</f>
        <v>0</v>
      </c>
      <c r="H1466" s="13">
        <f t="shared" si="22"/>
        <v>0</v>
      </c>
    </row>
    <row r="1467" spans="2:8" ht="13.5" thickBot="1" x14ac:dyDescent="0.35">
      <c r="B1467" s="9"/>
      <c r="C1467" s="14" t="s">
        <v>909</v>
      </c>
      <c r="D1467" s="14" t="s">
        <v>302</v>
      </c>
      <c r="E1467" s="16" t="s">
        <v>9</v>
      </c>
      <c r="F1467" s="17" t="s">
        <v>23</v>
      </c>
      <c r="G1467" s="17">
        <f>G1465</f>
        <v>0</v>
      </c>
      <c r="H1467" s="13">
        <f t="shared" si="22"/>
        <v>0</v>
      </c>
    </row>
    <row r="1468" spans="2:8" ht="13.5" thickBot="1" x14ac:dyDescent="0.35">
      <c r="B1468" s="9"/>
      <c r="C1468" s="14" t="s">
        <v>905</v>
      </c>
      <c r="D1468" s="14" t="s">
        <v>302</v>
      </c>
      <c r="E1468" s="16" t="s">
        <v>3</v>
      </c>
      <c r="F1468" s="17" t="s">
        <v>23</v>
      </c>
      <c r="G1468" s="17">
        <f>G1465*3</f>
        <v>0</v>
      </c>
      <c r="H1468" s="13">
        <f t="shared" si="22"/>
        <v>0</v>
      </c>
    </row>
    <row r="1469" spans="2:8" ht="13.5" thickBot="1" x14ac:dyDescent="0.35">
      <c r="B1469" s="9"/>
      <c r="C1469" s="14" t="s">
        <v>404</v>
      </c>
      <c r="D1469" s="14" t="s">
        <v>302</v>
      </c>
      <c r="E1469" s="16" t="s">
        <v>3</v>
      </c>
      <c r="F1469" s="17" t="s">
        <v>23</v>
      </c>
      <c r="G1469" s="17">
        <f>G1465*3</f>
        <v>0</v>
      </c>
      <c r="H1469" s="13">
        <f t="shared" si="22"/>
        <v>0</v>
      </c>
    </row>
    <row r="1470" spans="2:8" ht="13.5" thickBot="1" x14ac:dyDescent="0.35">
      <c r="B1470" s="9"/>
      <c r="C1470" s="14" t="s">
        <v>894</v>
      </c>
      <c r="D1470" s="14" t="s">
        <v>302</v>
      </c>
      <c r="E1470" s="16" t="s">
        <v>9</v>
      </c>
      <c r="F1470" s="17" t="s">
        <v>23</v>
      </c>
      <c r="G1470" s="17">
        <f>G1465</f>
        <v>0</v>
      </c>
      <c r="H1470" s="13">
        <f t="shared" si="22"/>
        <v>0</v>
      </c>
    </row>
    <row r="1471" spans="2:8" ht="13.5" thickBot="1" x14ac:dyDescent="0.35">
      <c r="B1471" s="9">
        <f>COUNT($B$4:B1470)+1</f>
        <v>539</v>
      </c>
      <c r="C1471" s="10" t="s">
        <v>923</v>
      </c>
      <c r="D1471" s="10"/>
      <c r="E1471" s="11" t="s">
        <v>3</v>
      </c>
      <c r="F1471" s="12" t="s">
        <v>23</v>
      </c>
      <c r="G1471" s="12"/>
      <c r="H1471" s="13">
        <f t="shared" si="22"/>
        <v>0</v>
      </c>
    </row>
    <row r="1472" spans="2:8" ht="13.5" thickBot="1" x14ac:dyDescent="0.35">
      <c r="B1472" s="9"/>
      <c r="C1472" s="14" t="s">
        <v>234</v>
      </c>
      <c r="D1472" s="15" t="s">
        <v>25</v>
      </c>
      <c r="E1472" s="16" t="s">
        <v>9</v>
      </c>
      <c r="F1472" s="17" t="s">
        <v>23</v>
      </c>
      <c r="G1472" s="17">
        <f>G1471</f>
        <v>0</v>
      </c>
      <c r="H1472" s="13">
        <f t="shared" si="22"/>
        <v>0</v>
      </c>
    </row>
    <row r="1473" spans="2:8" ht="13.5" thickBot="1" x14ac:dyDescent="0.35">
      <c r="B1473" s="9"/>
      <c r="C1473" s="14" t="s">
        <v>893</v>
      </c>
      <c r="D1473" s="14" t="s">
        <v>302</v>
      </c>
      <c r="E1473" s="16" t="s">
        <v>9</v>
      </c>
      <c r="F1473" s="17" t="s">
        <v>23</v>
      </c>
      <c r="G1473" s="17">
        <f>G1471</f>
        <v>0</v>
      </c>
      <c r="H1473" s="13">
        <f t="shared" si="22"/>
        <v>0</v>
      </c>
    </row>
    <row r="1474" spans="2:8" ht="13.5" thickBot="1" x14ac:dyDescent="0.35">
      <c r="B1474" s="9"/>
      <c r="C1474" s="14" t="s">
        <v>404</v>
      </c>
      <c r="D1474" s="14" t="s">
        <v>302</v>
      </c>
      <c r="E1474" s="16" t="s">
        <v>3</v>
      </c>
      <c r="F1474" s="17" t="s">
        <v>23</v>
      </c>
      <c r="G1474" s="17">
        <f>G1471*4</f>
        <v>0</v>
      </c>
      <c r="H1474" s="13">
        <f t="shared" si="22"/>
        <v>0</v>
      </c>
    </row>
    <row r="1475" spans="2:8" ht="13.5" thickBot="1" x14ac:dyDescent="0.35">
      <c r="B1475" s="9"/>
      <c r="C1475" s="14" t="s">
        <v>894</v>
      </c>
      <c r="D1475" s="14" t="s">
        <v>302</v>
      </c>
      <c r="E1475" s="16" t="s">
        <v>9</v>
      </c>
      <c r="F1475" s="17" t="s">
        <v>23</v>
      </c>
      <c r="G1475" s="17">
        <f>G1471</f>
        <v>0</v>
      </c>
      <c r="H1475" s="13">
        <f t="shared" si="22"/>
        <v>0</v>
      </c>
    </row>
    <row r="1476" spans="2:8" ht="13.5" thickBot="1" x14ac:dyDescent="0.35">
      <c r="B1476" s="9">
        <f>COUNT($B$4:B1475)+1</f>
        <v>540</v>
      </c>
      <c r="C1476" s="10" t="s">
        <v>924</v>
      </c>
      <c r="D1476" s="10"/>
      <c r="E1476" s="11" t="s">
        <v>3</v>
      </c>
      <c r="F1476" s="12" t="s">
        <v>23</v>
      </c>
      <c r="G1476" s="12"/>
      <c r="H1476" s="13">
        <f t="shared" si="22"/>
        <v>0</v>
      </c>
    </row>
    <row r="1477" spans="2:8" ht="13.5" thickBot="1" x14ac:dyDescent="0.35">
      <c r="B1477" s="9"/>
      <c r="C1477" s="14" t="s">
        <v>234</v>
      </c>
      <c r="D1477" s="15" t="s">
        <v>25</v>
      </c>
      <c r="E1477" s="16" t="s">
        <v>9</v>
      </c>
      <c r="F1477" s="17" t="s">
        <v>23</v>
      </c>
      <c r="G1477" s="17">
        <f>G1476</f>
        <v>0</v>
      </c>
      <c r="H1477" s="13">
        <f t="shared" ref="H1477:H1540" si="23">SUM(G1477:G1477)</f>
        <v>0</v>
      </c>
    </row>
    <row r="1478" spans="2:8" ht="13.5" thickBot="1" x14ac:dyDescent="0.35">
      <c r="B1478" s="9"/>
      <c r="C1478" s="14" t="s">
        <v>909</v>
      </c>
      <c r="D1478" s="14" t="s">
        <v>302</v>
      </c>
      <c r="E1478" s="16" t="s">
        <v>9</v>
      </c>
      <c r="F1478" s="17" t="s">
        <v>23</v>
      </c>
      <c r="G1478" s="17">
        <f>G1476</f>
        <v>0</v>
      </c>
      <c r="H1478" s="13">
        <f t="shared" si="23"/>
        <v>0</v>
      </c>
    </row>
    <row r="1479" spans="2:8" ht="13.5" thickBot="1" x14ac:dyDescent="0.35">
      <c r="B1479" s="9"/>
      <c r="C1479" s="14" t="s">
        <v>903</v>
      </c>
      <c r="D1479" s="14" t="s">
        <v>302</v>
      </c>
      <c r="E1479" s="16" t="s">
        <v>3</v>
      </c>
      <c r="F1479" s="17" t="s">
        <v>23</v>
      </c>
      <c r="G1479" s="17">
        <f>G1476</f>
        <v>0</v>
      </c>
      <c r="H1479" s="13">
        <f t="shared" si="23"/>
        <v>0</v>
      </c>
    </row>
    <row r="1480" spans="2:8" ht="13.5" thickBot="1" x14ac:dyDescent="0.35">
      <c r="B1480" s="9"/>
      <c r="C1480" s="14" t="s">
        <v>404</v>
      </c>
      <c r="D1480" s="14" t="s">
        <v>302</v>
      </c>
      <c r="E1480" s="16" t="s">
        <v>3</v>
      </c>
      <c r="F1480" s="17" t="s">
        <v>23</v>
      </c>
      <c r="G1480" s="17">
        <f>G1476*4</f>
        <v>0</v>
      </c>
      <c r="H1480" s="13">
        <f t="shared" si="23"/>
        <v>0</v>
      </c>
    </row>
    <row r="1481" spans="2:8" ht="13.5" thickBot="1" x14ac:dyDescent="0.35">
      <c r="B1481" s="9"/>
      <c r="C1481" s="14" t="s">
        <v>910</v>
      </c>
      <c r="D1481" s="14" t="s">
        <v>302</v>
      </c>
      <c r="E1481" s="16" t="s">
        <v>3</v>
      </c>
      <c r="F1481" s="17" t="s">
        <v>23</v>
      </c>
      <c r="G1481" s="17">
        <f>G1476</f>
        <v>0</v>
      </c>
      <c r="H1481" s="13">
        <f t="shared" si="23"/>
        <v>0</v>
      </c>
    </row>
    <row r="1482" spans="2:8" ht="13.5" thickBot="1" x14ac:dyDescent="0.35">
      <c r="B1482" s="9"/>
      <c r="C1482" s="14" t="s">
        <v>894</v>
      </c>
      <c r="D1482" s="14" t="s">
        <v>302</v>
      </c>
      <c r="E1482" s="16" t="s">
        <v>9</v>
      </c>
      <c r="F1482" s="17" t="s">
        <v>23</v>
      </c>
      <c r="G1482" s="17">
        <f>G1476</f>
        <v>0</v>
      </c>
      <c r="H1482" s="13">
        <f t="shared" si="23"/>
        <v>0</v>
      </c>
    </row>
    <row r="1483" spans="2:8" ht="13.5" thickBot="1" x14ac:dyDescent="0.35">
      <c r="B1483" s="9">
        <f>COUNT($B$4:B1482)+1</f>
        <v>541</v>
      </c>
      <c r="C1483" s="10" t="s">
        <v>925</v>
      </c>
      <c r="D1483" s="10"/>
      <c r="E1483" s="11" t="s">
        <v>3</v>
      </c>
      <c r="F1483" s="12" t="s">
        <v>23</v>
      </c>
      <c r="G1483" s="12"/>
      <c r="H1483" s="13">
        <f t="shared" si="23"/>
        <v>0</v>
      </c>
    </row>
    <row r="1484" spans="2:8" ht="13.5" thickBot="1" x14ac:dyDescent="0.35">
      <c r="B1484" s="9"/>
      <c r="C1484" s="14" t="s">
        <v>234</v>
      </c>
      <c r="D1484" s="15" t="s">
        <v>25</v>
      </c>
      <c r="E1484" s="16" t="s">
        <v>9</v>
      </c>
      <c r="F1484" s="17" t="s">
        <v>23</v>
      </c>
      <c r="G1484" s="17">
        <f>G1483</f>
        <v>0</v>
      </c>
      <c r="H1484" s="13">
        <f t="shared" si="23"/>
        <v>0</v>
      </c>
    </row>
    <row r="1485" spans="2:8" ht="13.5" thickBot="1" x14ac:dyDescent="0.35">
      <c r="B1485" s="9"/>
      <c r="C1485" s="14" t="s">
        <v>909</v>
      </c>
      <c r="D1485" s="14" t="s">
        <v>302</v>
      </c>
      <c r="E1485" s="16" t="s">
        <v>9</v>
      </c>
      <c r="F1485" s="17" t="s">
        <v>23</v>
      </c>
      <c r="G1485" s="17">
        <f>G1483</f>
        <v>0</v>
      </c>
      <c r="H1485" s="13">
        <f t="shared" si="23"/>
        <v>0</v>
      </c>
    </row>
    <row r="1486" spans="2:8" ht="13.5" thickBot="1" x14ac:dyDescent="0.35">
      <c r="B1486" s="9"/>
      <c r="C1486" s="14" t="s">
        <v>905</v>
      </c>
      <c r="D1486" s="14" t="s">
        <v>302</v>
      </c>
      <c r="E1486" s="16" t="s">
        <v>3</v>
      </c>
      <c r="F1486" s="17" t="s">
        <v>23</v>
      </c>
      <c r="G1486" s="17">
        <f>G1483</f>
        <v>0</v>
      </c>
      <c r="H1486" s="13">
        <f t="shared" si="23"/>
        <v>0</v>
      </c>
    </row>
    <row r="1487" spans="2:8" ht="13.5" thickBot="1" x14ac:dyDescent="0.35">
      <c r="B1487" s="9"/>
      <c r="C1487" s="14" t="s">
        <v>404</v>
      </c>
      <c r="D1487" s="14" t="s">
        <v>302</v>
      </c>
      <c r="E1487" s="16" t="s">
        <v>3</v>
      </c>
      <c r="F1487" s="17" t="s">
        <v>23</v>
      </c>
      <c r="G1487" s="17">
        <f>G1483*4</f>
        <v>0</v>
      </c>
      <c r="H1487" s="13">
        <f t="shared" si="23"/>
        <v>0</v>
      </c>
    </row>
    <row r="1488" spans="2:8" ht="13.5" thickBot="1" x14ac:dyDescent="0.35">
      <c r="B1488" s="9"/>
      <c r="C1488" s="14" t="s">
        <v>910</v>
      </c>
      <c r="D1488" s="14" t="s">
        <v>302</v>
      </c>
      <c r="E1488" s="16" t="s">
        <v>3</v>
      </c>
      <c r="F1488" s="17" t="s">
        <v>23</v>
      </c>
      <c r="G1488" s="17">
        <f>G1483</f>
        <v>0</v>
      </c>
      <c r="H1488" s="13">
        <f t="shared" si="23"/>
        <v>0</v>
      </c>
    </row>
    <row r="1489" spans="2:8" ht="13.5" thickBot="1" x14ac:dyDescent="0.35">
      <c r="B1489" s="9"/>
      <c r="C1489" s="14" t="s">
        <v>894</v>
      </c>
      <c r="D1489" s="14" t="s">
        <v>302</v>
      </c>
      <c r="E1489" s="16" t="s">
        <v>9</v>
      </c>
      <c r="F1489" s="17" t="s">
        <v>23</v>
      </c>
      <c r="G1489" s="17">
        <f>G1483</f>
        <v>0</v>
      </c>
      <c r="H1489" s="13">
        <f t="shared" si="23"/>
        <v>0</v>
      </c>
    </row>
    <row r="1490" spans="2:8" ht="13.5" thickBot="1" x14ac:dyDescent="0.35">
      <c r="B1490" s="9">
        <f>COUNT($B$4:B1489)+1</f>
        <v>542</v>
      </c>
      <c r="C1490" s="10" t="s">
        <v>926</v>
      </c>
      <c r="D1490" s="10"/>
      <c r="E1490" s="11" t="s">
        <v>3</v>
      </c>
      <c r="F1490" s="12" t="s">
        <v>23</v>
      </c>
      <c r="G1490" s="12"/>
      <c r="H1490" s="13">
        <f t="shared" si="23"/>
        <v>0</v>
      </c>
    </row>
    <row r="1491" spans="2:8" ht="13.5" thickBot="1" x14ac:dyDescent="0.35">
      <c r="B1491" s="9"/>
      <c r="C1491" s="14" t="s">
        <v>234</v>
      </c>
      <c r="D1491" s="15" t="s">
        <v>25</v>
      </c>
      <c r="E1491" s="16" t="s">
        <v>9</v>
      </c>
      <c r="F1491" s="17" t="s">
        <v>23</v>
      </c>
      <c r="G1491" s="17">
        <f>G1490</f>
        <v>0</v>
      </c>
      <c r="H1491" s="13">
        <f t="shared" si="23"/>
        <v>0</v>
      </c>
    </row>
    <row r="1492" spans="2:8" ht="13.5" thickBot="1" x14ac:dyDescent="0.35">
      <c r="B1492" s="9"/>
      <c r="C1492" s="14" t="s">
        <v>909</v>
      </c>
      <c r="D1492" s="14" t="s">
        <v>302</v>
      </c>
      <c r="E1492" s="16" t="s">
        <v>9</v>
      </c>
      <c r="F1492" s="17" t="s">
        <v>23</v>
      </c>
      <c r="G1492" s="17">
        <f>G1490</f>
        <v>0</v>
      </c>
      <c r="H1492" s="13">
        <f t="shared" si="23"/>
        <v>0</v>
      </c>
    </row>
    <row r="1493" spans="2:8" ht="13.5" thickBot="1" x14ac:dyDescent="0.35">
      <c r="B1493" s="9"/>
      <c r="C1493" s="14" t="s">
        <v>905</v>
      </c>
      <c r="D1493" s="14" t="s">
        <v>302</v>
      </c>
      <c r="E1493" s="16" t="s">
        <v>3</v>
      </c>
      <c r="F1493" s="17" t="s">
        <v>23</v>
      </c>
      <c r="G1493" s="17">
        <f>G1490*2</f>
        <v>0</v>
      </c>
      <c r="H1493" s="13">
        <f t="shared" si="23"/>
        <v>0</v>
      </c>
    </row>
    <row r="1494" spans="2:8" ht="13.5" thickBot="1" x14ac:dyDescent="0.35">
      <c r="B1494" s="9"/>
      <c r="C1494" s="14" t="s">
        <v>404</v>
      </c>
      <c r="D1494" s="14" t="s">
        <v>302</v>
      </c>
      <c r="E1494" s="16" t="s">
        <v>3</v>
      </c>
      <c r="F1494" s="17" t="s">
        <v>23</v>
      </c>
      <c r="G1494" s="17">
        <f>G1490*4</f>
        <v>0</v>
      </c>
      <c r="H1494" s="13">
        <f t="shared" si="23"/>
        <v>0</v>
      </c>
    </row>
    <row r="1495" spans="2:8" ht="13.5" thickBot="1" x14ac:dyDescent="0.35">
      <c r="B1495" s="9"/>
      <c r="C1495" s="14" t="s">
        <v>894</v>
      </c>
      <c r="D1495" s="14" t="s">
        <v>302</v>
      </c>
      <c r="E1495" s="16" t="s">
        <v>9</v>
      </c>
      <c r="F1495" s="17" t="s">
        <v>23</v>
      </c>
      <c r="G1495" s="17">
        <f>G1490</f>
        <v>0</v>
      </c>
      <c r="H1495" s="13">
        <f t="shared" si="23"/>
        <v>0</v>
      </c>
    </row>
    <row r="1496" spans="2:8" ht="13.5" thickBot="1" x14ac:dyDescent="0.35">
      <c r="B1496" s="9">
        <f>COUNT($B$4:B1495)+1</f>
        <v>543</v>
      </c>
      <c r="C1496" s="10" t="s">
        <v>927</v>
      </c>
      <c r="D1496" s="10"/>
      <c r="E1496" s="11" t="s">
        <v>3</v>
      </c>
      <c r="F1496" s="12" t="s">
        <v>23</v>
      </c>
      <c r="G1496" s="12"/>
      <c r="H1496" s="13">
        <f t="shared" si="23"/>
        <v>0</v>
      </c>
    </row>
    <row r="1497" spans="2:8" ht="13.5" thickBot="1" x14ac:dyDescent="0.35">
      <c r="B1497" s="9"/>
      <c r="C1497" s="14" t="s">
        <v>234</v>
      </c>
      <c r="D1497" s="15" t="s">
        <v>25</v>
      </c>
      <c r="E1497" s="16" t="s">
        <v>9</v>
      </c>
      <c r="F1497" s="17" t="s">
        <v>23</v>
      </c>
      <c r="G1497" s="17">
        <f>G1496</f>
        <v>0</v>
      </c>
      <c r="H1497" s="13">
        <f t="shared" si="23"/>
        <v>0</v>
      </c>
    </row>
    <row r="1498" spans="2:8" ht="13.5" thickBot="1" x14ac:dyDescent="0.35">
      <c r="B1498" s="9"/>
      <c r="C1498" s="14" t="s">
        <v>909</v>
      </c>
      <c r="D1498" s="14" t="s">
        <v>302</v>
      </c>
      <c r="E1498" s="16" t="s">
        <v>9</v>
      </c>
      <c r="F1498" s="17" t="s">
        <v>23</v>
      </c>
      <c r="G1498" s="17">
        <f>G1496</f>
        <v>0</v>
      </c>
      <c r="H1498" s="13">
        <f t="shared" si="23"/>
        <v>0</v>
      </c>
    </row>
    <row r="1499" spans="2:8" ht="13.5" thickBot="1" x14ac:dyDescent="0.35">
      <c r="B1499" s="9"/>
      <c r="C1499" s="14" t="s">
        <v>404</v>
      </c>
      <c r="D1499" s="14" t="s">
        <v>302</v>
      </c>
      <c r="E1499" s="16" t="s">
        <v>3</v>
      </c>
      <c r="F1499" s="17" t="s">
        <v>23</v>
      </c>
      <c r="G1499" s="17">
        <f>G1496*5</f>
        <v>0</v>
      </c>
      <c r="H1499" s="13">
        <f t="shared" si="23"/>
        <v>0</v>
      </c>
    </row>
    <row r="1500" spans="2:8" ht="13.5" thickBot="1" x14ac:dyDescent="0.35">
      <c r="B1500" s="9"/>
      <c r="C1500" s="14" t="s">
        <v>910</v>
      </c>
      <c r="D1500" s="14" t="s">
        <v>302</v>
      </c>
      <c r="E1500" s="16" t="s">
        <v>3</v>
      </c>
      <c r="F1500" s="17" t="s">
        <v>23</v>
      </c>
      <c r="G1500" s="17">
        <f>G1496</f>
        <v>0</v>
      </c>
      <c r="H1500" s="13">
        <f t="shared" si="23"/>
        <v>0</v>
      </c>
    </row>
    <row r="1501" spans="2:8" ht="13.5" thickBot="1" x14ac:dyDescent="0.35">
      <c r="B1501" s="9"/>
      <c r="C1501" s="14" t="s">
        <v>894</v>
      </c>
      <c r="D1501" s="14" t="s">
        <v>302</v>
      </c>
      <c r="E1501" s="16" t="s">
        <v>9</v>
      </c>
      <c r="F1501" s="17" t="s">
        <v>23</v>
      </c>
      <c r="G1501" s="17">
        <f>G1496</f>
        <v>0</v>
      </c>
      <c r="H1501" s="13">
        <f t="shared" si="23"/>
        <v>0</v>
      </c>
    </row>
    <row r="1502" spans="2:8" ht="13.5" thickBot="1" x14ac:dyDescent="0.35">
      <c r="B1502" s="9">
        <f>COUNT($B$4:B1501)+1</f>
        <v>544</v>
      </c>
      <c r="C1502" s="10" t="s">
        <v>928</v>
      </c>
      <c r="D1502" s="10"/>
      <c r="E1502" s="11" t="s">
        <v>3</v>
      </c>
      <c r="F1502" s="12" t="s">
        <v>23</v>
      </c>
      <c r="G1502" s="12"/>
      <c r="H1502" s="13">
        <f t="shared" si="23"/>
        <v>0</v>
      </c>
    </row>
    <row r="1503" spans="2:8" ht="13.5" thickBot="1" x14ac:dyDescent="0.35">
      <c r="B1503" s="9"/>
      <c r="C1503" s="14" t="s">
        <v>234</v>
      </c>
      <c r="D1503" s="15" t="s">
        <v>25</v>
      </c>
      <c r="E1503" s="16" t="s">
        <v>9</v>
      </c>
      <c r="F1503" s="17" t="s">
        <v>23</v>
      </c>
      <c r="G1503" s="17">
        <f>G1502</f>
        <v>0</v>
      </c>
      <c r="H1503" s="13">
        <f t="shared" si="23"/>
        <v>0</v>
      </c>
    </row>
    <row r="1504" spans="2:8" ht="13.5" thickBot="1" x14ac:dyDescent="0.35">
      <c r="B1504" s="9"/>
      <c r="C1504" s="14" t="s">
        <v>909</v>
      </c>
      <c r="D1504" s="14" t="s">
        <v>302</v>
      </c>
      <c r="E1504" s="16" t="s">
        <v>9</v>
      </c>
      <c r="F1504" s="17" t="s">
        <v>23</v>
      </c>
      <c r="G1504" s="17">
        <f>G1502</f>
        <v>0</v>
      </c>
      <c r="H1504" s="13">
        <f t="shared" si="23"/>
        <v>0</v>
      </c>
    </row>
    <row r="1505" spans="2:8" ht="13.5" thickBot="1" x14ac:dyDescent="0.35">
      <c r="B1505" s="9"/>
      <c r="C1505" s="14" t="s">
        <v>903</v>
      </c>
      <c r="D1505" s="14" t="s">
        <v>302</v>
      </c>
      <c r="E1505" s="16" t="s">
        <v>3</v>
      </c>
      <c r="F1505" s="17" t="s">
        <v>23</v>
      </c>
      <c r="G1505" s="17">
        <f>G1502</f>
        <v>0</v>
      </c>
      <c r="H1505" s="13">
        <f t="shared" si="23"/>
        <v>0</v>
      </c>
    </row>
    <row r="1506" spans="2:8" ht="13.5" thickBot="1" x14ac:dyDescent="0.35">
      <c r="B1506" s="9"/>
      <c r="C1506" s="14" t="s">
        <v>404</v>
      </c>
      <c r="D1506" s="14" t="s">
        <v>302</v>
      </c>
      <c r="E1506" s="16" t="s">
        <v>3</v>
      </c>
      <c r="F1506" s="17" t="s">
        <v>23</v>
      </c>
      <c r="G1506" s="17">
        <f>G1502*5</f>
        <v>0</v>
      </c>
      <c r="H1506" s="13">
        <f t="shared" si="23"/>
        <v>0</v>
      </c>
    </row>
    <row r="1507" spans="2:8" ht="13.5" thickBot="1" x14ac:dyDescent="0.35">
      <c r="B1507" s="9"/>
      <c r="C1507" s="14" t="s">
        <v>894</v>
      </c>
      <c r="D1507" s="14" t="s">
        <v>302</v>
      </c>
      <c r="E1507" s="16" t="s">
        <v>9</v>
      </c>
      <c r="F1507" s="17" t="s">
        <v>23</v>
      </c>
      <c r="G1507" s="17">
        <f>G1502</f>
        <v>0</v>
      </c>
      <c r="H1507" s="13">
        <f t="shared" si="23"/>
        <v>0</v>
      </c>
    </row>
    <row r="1508" spans="2:8" ht="13.5" thickBot="1" x14ac:dyDescent="0.35">
      <c r="B1508" s="9">
        <f>COUNT($B$4:B1507)+1</f>
        <v>545</v>
      </c>
      <c r="C1508" s="10" t="s">
        <v>929</v>
      </c>
      <c r="D1508" s="10"/>
      <c r="E1508" s="11" t="s">
        <v>3</v>
      </c>
      <c r="F1508" s="12" t="s">
        <v>23</v>
      </c>
      <c r="G1508" s="12"/>
      <c r="H1508" s="13">
        <f t="shared" si="23"/>
        <v>0</v>
      </c>
    </row>
    <row r="1509" spans="2:8" ht="13.5" thickBot="1" x14ac:dyDescent="0.35">
      <c r="B1509" s="9"/>
      <c r="C1509" s="14" t="s">
        <v>234</v>
      </c>
      <c r="D1509" s="15" t="s">
        <v>25</v>
      </c>
      <c r="E1509" s="16" t="s">
        <v>9</v>
      </c>
      <c r="F1509" s="17" t="s">
        <v>23</v>
      </c>
      <c r="G1509" s="17">
        <f>G1508</f>
        <v>0</v>
      </c>
      <c r="H1509" s="13">
        <f t="shared" si="23"/>
        <v>0</v>
      </c>
    </row>
    <row r="1510" spans="2:8" ht="13.5" thickBot="1" x14ac:dyDescent="0.35">
      <c r="B1510" s="9"/>
      <c r="C1510" s="14" t="s">
        <v>909</v>
      </c>
      <c r="D1510" s="14" t="s">
        <v>302</v>
      </c>
      <c r="E1510" s="16" t="s">
        <v>9</v>
      </c>
      <c r="F1510" s="17" t="s">
        <v>23</v>
      </c>
      <c r="G1510" s="17">
        <f>G1508</f>
        <v>0</v>
      </c>
      <c r="H1510" s="13">
        <f t="shared" si="23"/>
        <v>0</v>
      </c>
    </row>
    <row r="1511" spans="2:8" ht="13.5" thickBot="1" x14ac:dyDescent="0.35">
      <c r="B1511" s="9"/>
      <c r="C1511" s="14" t="s">
        <v>905</v>
      </c>
      <c r="D1511" s="14" t="s">
        <v>302</v>
      </c>
      <c r="E1511" s="16" t="s">
        <v>3</v>
      </c>
      <c r="F1511" s="17" t="s">
        <v>23</v>
      </c>
      <c r="G1511" s="17">
        <f>G1508</f>
        <v>0</v>
      </c>
      <c r="H1511" s="13">
        <f t="shared" si="23"/>
        <v>0</v>
      </c>
    </row>
    <row r="1512" spans="2:8" ht="13.5" thickBot="1" x14ac:dyDescent="0.35">
      <c r="B1512" s="9"/>
      <c r="C1512" s="14" t="s">
        <v>404</v>
      </c>
      <c r="D1512" s="14" t="s">
        <v>302</v>
      </c>
      <c r="E1512" s="16" t="s">
        <v>3</v>
      </c>
      <c r="F1512" s="17" t="s">
        <v>23</v>
      </c>
      <c r="G1512" s="17">
        <f>G1508*5</f>
        <v>0</v>
      </c>
      <c r="H1512" s="13">
        <f t="shared" si="23"/>
        <v>0</v>
      </c>
    </row>
    <row r="1513" spans="2:8" ht="13.5" thickBot="1" x14ac:dyDescent="0.35">
      <c r="B1513" s="9"/>
      <c r="C1513" s="14" t="s">
        <v>894</v>
      </c>
      <c r="D1513" s="14" t="s">
        <v>302</v>
      </c>
      <c r="E1513" s="16" t="s">
        <v>9</v>
      </c>
      <c r="F1513" s="17" t="s">
        <v>23</v>
      </c>
      <c r="G1513" s="17">
        <f>G1508</f>
        <v>0</v>
      </c>
      <c r="H1513" s="13">
        <f t="shared" si="23"/>
        <v>0</v>
      </c>
    </row>
    <row r="1514" spans="2:8" ht="13.5" thickBot="1" x14ac:dyDescent="0.35">
      <c r="B1514" s="9">
        <f>COUNT($B$4:B1513)+1</f>
        <v>546</v>
      </c>
      <c r="C1514" s="10" t="s">
        <v>930</v>
      </c>
      <c r="D1514" s="10"/>
      <c r="E1514" s="11" t="s">
        <v>3</v>
      </c>
      <c r="F1514" s="12" t="s">
        <v>23</v>
      </c>
      <c r="G1514" s="12"/>
      <c r="H1514" s="13">
        <f t="shared" si="23"/>
        <v>0</v>
      </c>
    </row>
    <row r="1515" spans="2:8" ht="13.5" thickBot="1" x14ac:dyDescent="0.35">
      <c r="B1515" s="9"/>
      <c r="C1515" s="14" t="s">
        <v>234</v>
      </c>
      <c r="D1515" s="15" t="s">
        <v>25</v>
      </c>
      <c r="E1515" s="16" t="s">
        <v>9</v>
      </c>
      <c r="F1515" s="17" t="s">
        <v>23</v>
      </c>
      <c r="G1515" s="17">
        <f>G1514</f>
        <v>0</v>
      </c>
      <c r="H1515" s="13">
        <f t="shared" si="23"/>
        <v>0</v>
      </c>
    </row>
    <row r="1516" spans="2:8" ht="13.5" thickBot="1" x14ac:dyDescent="0.35">
      <c r="B1516" s="9"/>
      <c r="C1516" s="14" t="s">
        <v>909</v>
      </c>
      <c r="D1516" s="14" t="s">
        <v>302</v>
      </c>
      <c r="E1516" s="16" t="s">
        <v>9</v>
      </c>
      <c r="F1516" s="17" t="s">
        <v>23</v>
      </c>
      <c r="G1516" s="17">
        <f>G1514</f>
        <v>0</v>
      </c>
      <c r="H1516" s="13">
        <f t="shared" si="23"/>
        <v>0</v>
      </c>
    </row>
    <row r="1517" spans="2:8" ht="13.5" thickBot="1" x14ac:dyDescent="0.35">
      <c r="B1517" s="9"/>
      <c r="C1517" s="14" t="s">
        <v>404</v>
      </c>
      <c r="D1517" s="14" t="s">
        <v>302</v>
      </c>
      <c r="E1517" s="16" t="s">
        <v>3</v>
      </c>
      <c r="F1517" s="17" t="s">
        <v>23</v>
      </c>
      <c r="G1517" s="17">
        <f>G1514*6</f>
        <v>0</v>
      </c>
      <c r="H1517" s="13">
        <f t="shared" si="23"/>
        <v>0</v>
      </c>
    </row>
    <row r="1518" spans="2:8" ht="13.5" thickBot="1" x14ac:dyDescent="0.35">
      <c r="B1518" s="9"/>
      <c r="C1518" s="14" t="s">
        <v>894</v>
      </c>
      <c r="D1518" s="14" t="s">
        <v>302</v>
      </c>
      <c r="E1518" s="16" t="s">
        <v>9</v>
      </c>
      <c r="F1518" s="17" t="s">
        <v>23</v>
      </c>
      <c r="G1518" s="17">
        <f>G1514</f>
        <v>0</v>
      </c>
      <c r="H1518" s="13">
        <f t="shared" si="23"/>
        <v>0</v>
      </c>
    </row>
    <row r="1519" spans="2:8" ht="13.5" thickBot="1" x14ac:dyDescent="0.35">
      <c r="B1519" s="9">
        <f>COUNT($B$4:B1518)+1</f>
        <v>547</v>
      </c>
      <c r="C1519" s="10" t="s">
        <v>931</v>
      </c>
      <c r="D1519" s="10"/>
      <c r="E1519" s="11" t="s">
        <v>3</v>
      </c>
      <c r="F1519" s="12" t="s">
        <v>23</v>
      </c>
      <c r="G1519" s="12"/>
      <c r="H1519" s="13">
        <f t="shared" si="23"/>
        <v>0</v>
      </c>
    </row>
    <row r="1520" spans="2:8" ht="13.5" thickBot="1" x14ac:dyDescent="0.35">
      <c r="B1520" s="9"/>
      <c r="C1520" s="14" t="s">
        <v>24</v>
      </c>
      <c r="D1520" s="15" t="s">
        <v>25</v>
      </c>
      <c r="E1520" s="16" t="s">
        <v>9</v>
      </c>
      <c r="F1520" s="17" t="s">
        <v>23</v>
      </c>
      <c r="G1520" s="17">
        <f>G1519</f>
        <v>0</v>
      </c>
      <c r="H1520" s="13">
        <f t="shared" si="23"/>
        <v>0</v>
      </c>
    </row>
    <row r="1521" spans="2:8" ht="13.5" thickBot="1" x14ac:dyDescent="0.35">
      <c r="B1521" s="9"/>
      <c r="C1521" s="14" t="s">
        <v>889</v>
      </c>
      <c r="D1521" s="14" t="s">
        <v>302</v>
      </c>
      <c r="E1521" s="16" t="s">
        <v>9</v>
      </c>
      <c r="F1521" s="17" t="s">
        <v>23</v>
      </c>
      <c r="G1521" s="17">
        <f>G1519</f>
        <v>0</v>
      </c>
      <c r="H1521" s="13">
        <f t="shared" si="23"/>
        <v>0</v>
      </c>
    </row>
    <row r="1522" spans="2:8" ht="13.5" thickBot="1" x14ac:dyDescent="0.35">
      <c r="B1522" s="9"/>
      <c r="C1522" s="14" t="s">
        <v>903</v>
      </c>
      <c r="D1522" s="14" t="s">
        <v>302</v>
      </c>
      <c r="E1522" s="16" t="s">
        <v>3</v>
      </c>
      <c r="F1522" s="17" t="s">
        <v>23</v>
      </c>
      <c r="G1522" s="17">
        <f>G1519</f>
        <v>0</v>
      </c>
      <c r="H1522" s="13">
        <f t="shared" si="23"/>
        <v>0</v>
      </c>
    </row>
    <row r="1523" spans="2:8" ht="13.5" thickBot="1" x14ac:dyDescent="0.35">
      <c r="B1523" s="9"/>
      <c r="C1523" s="14" t="s">
        <v>406</v>
      </c>
      <c r="D1523" s="14" t="s">
        <v>302</v>
      </c>
      <c r="E1523" s="16" t="s">
        <v>9</v>
      </c>
      <c r="F1523" s="17" t="s">
        <v>23</v>
      </c>
      <c r="G1523" s="17">
        <f>G1519</f>
        <v>0</v>
      </c>
      <c r="H1523" s="13">
        <f t="shared" si="23"/>
        <v>0</v>
      </c>
    </row>
    <row r="1524" spans="2:8" ht="13.5" thickBot="1" x14ac:dyDescent="0.35">
      <c r="B1524" s="9">
        <f>COUNT($B$4:B1523)+1</f>
        <v>548</v>
      </c>
      <c r="C1524" s="10" t="s">
        <v>932</v>
      </c>
      <c r="D1524" s="10"/>
      <c r="E1524" s="11" t="s">
        <v>3</v>
      </c>
      <c r="F1524" s="12" t="s">
        <v>23</v>
      </c>
      <c r="G1524" s="12">
        <v>6</v>
      </c>
      <c r="H1524" s="13">
        <f t="shared" si="23"/>
        <v>6</v>
      </c>
    </row>
    <row r="1525" spans="2:8" ht="13.5" thickBot="1" x14ac:dyDescent="0.35">
      <c r="B1525" s="9"/>
      <c r="C1525" s="14" t="s">
        <v>24</v>
      </c>
      <c r="D1525" s="15" t="s">
        <v>25</v>
      </c>
      <c r="E1525" s="16" t="s">
        <v>9</v>
      </c>
      <c r="F1525" s="17" t="s">
        <v>23</v>
      </c>
      <c r="G1525" s="17">
        <f>G1524</f>
        <v>6</v>
      </c>
      <c r="H1525" s="13">
        <f t="shared" si="23"/>
        <v>6</v>
      </c>
    </row>
    <row r="1526" spans="2:8" ht="13.5" thickBot="1" x14ac:dyDescent="0.35">
      <c r="B1526" s="9"/>
      <c r="C1526" s="14" t="s">
        <v>889</v>
      </c>
      <c r="D1526" s="14" t="s">
        <v>302</v>
      </c>
      <c r="E1526" s="16" t="s">
        <v>9</v>
      </c>
      <c r="F1526" s="17" t="s">
        <v>23</v>
      </c>
      <c r="G1526" s="17">
        <f>G1524</f>
        <v>6</v>
      </c>
      <c r="H1526" s="13">
        <f t="shared" si="23"/>
        <v>6</v>
      </c>
    </row>
    <row r="1527" spans="2:8" ht="13.5" thickBot="1" x14ac:dyDescent="0.35">
      <c r="B1527" s="9"/>
      <c r="C1527" s="14" t="s">
        <v>905</v>
      </c>
      <c r="D1527" s="14" t="s">
        <v>302</v>
      </c>
      <c r="E1527" s="16" t="s">
        <v>3</v>
      </c>
      <c r="F1527" s="17" t="s">
        <v>23</v>
      </c>
      <c r="G1527" s="17">
        <f>G1524</f>
        <v>6</v>
      </c>
      <c r="H1527" s="13">
        <f t="shared" si="23"/>
        <v>6</v>
      </c>
    </row>
    <row r="1528" spans="2:8" ht="13.5" thickBot="1" x14ac:dyDescent="0.35">
      <c r="B1528" s="9"/>
      <c r="C1528" s="14" t="s">
        <v>406</v>
      </c>
      <c r="D1528" s="14" t="s">
        <v>302</v>
      </c>
      <c r="E1528" s="16" t="s">
        <v>9</v>
      </c>
      <c r="F1528" s="17" t="s">
        <v>23</v>
      </c>
      <c r="G1528" s="17">
        <f>G1524</f>
        <v>6</v>
      </c>
      <c r="H1528" s="13">
        <f t="shared" si="23"/>
        <v>6</v>
      </c>
    </row>
    <row r="1529" spans="2:8" s="2" customFormat="1" ht="13.5" thickBot="1" x14ac:dyDescent="0.35">
      <c r="B1529" s="9">
        <f>COUNT($B$4:B1528)+1</f>
        <v>549</v>
      </c>
      <c r="C1529" s="10" t="s">
        <v>933</v>
      </c>
      <c r="D1529" s="10"/>
      <c r="E1529" s="11" t="s">
        <v>3</v>
      </c>
      <c r="F1529" s="12" t="s">
        <v>23</v>
      </c>
      <c r="G1529" s="12"/>
      <c r="H1529" s="13">
        <f t="shared" si="23"/>
        <v>0</v>
      </c>
    </row>
    <row r="1530" spans="2:8" s="2" customFormat="1" ht="13.5" thickBot="1" x14ac:dyDescent="0.35">
      <c r="B1530" s="9"/>
      <c r="C1530" s="14" t="s">
        <v>41</v>
      </c>
      <c r="D1530" s="14" t="s">
        <v>42</v>
      </c>
      <c r="E1530" s="16" t="s">
        <v>9</v>
      </c>
      <c r="F1530" s="17" t="s">
        <v>23</v>
      </c>
      <c r="G1530" s="17">
        <f>G1529</f>
        <v>0</v>
      </c>
      <c r="H1530" s="13">
        <f t="shared" si="23"/>
        <v>0</v>
      </c>
    </row>
    <row r="1531" spans="2:8" s="2" customFormat="1" ht="13.5" thickBot="1" x14ac:dyDescent="0.35">
      <c r="B1531" s="9"/>
      <c r="C1531" s="14" t="s">
        <v>897</v>
      </c>
      <c r="D1531" s="14" t="s">
        <v>42</v>
      </c>
      <c r="E1531" s="16" t="s">
        <v>9</v>
      </c>
      <c r="F1531" s="17" t="s">
        <v>23</v>
      </c>
      <c r="G1531" s="17">
        <f>G1529</f>
        <v>0</v>
      </c>
      <c r="H1531" s="13">
        <f t="shared" si="23"/>
        <v>0</v>
      </c>
    </row>
    <row r="1532" spans="2:8" s="2" customFormat="1" ht="13.5" thickBot="1" x14ac:dyDescent="0.35">
      <c r="B1532" s="9"/>
      <c r="C1532" s="14" t="s">
        <v>934</v>
      </c>
      <c r="D1532" s="14" t="s">
        <v>42</v>
      </c>
      <c r="E1532" s="16" t="s">
        <v>3</v>
      </c>
      <c r="F1532" s="17" t="s">
        <v>23</v>
      </c>
      <c r="G1532" s="17">
        <f>G1529</f>
        <v>0</v>
      </c>
      <c r="H1532" s="13">
        <f t="shared" si="23"/>
        <v>0</v>
      </c>
    </row>
    <row r="1533" spans="2:8" s="2" customFormat="1" ht="13.5" thickBot="1" x14ac:dyDescent="0.35">
      <c r="B1533" s="9"/>
      <c r="C1533" s="14" t="s">
        <v>418</v>
      </c>
      <c r="D1533" s="14" t="s">
        <v>42</v>
      </c>
      <c r="E1533" s="16" t="s">
        <v>9</v>
      </c>
      <c r="F1533" s="17" t="s">
        <v>23</v>
      </c>
      <c r="G1533" s="17">
        <f>G1529</f>
        <v>0</v>
      </c>
      <c r="H1533" s="13">
        <f t="shared" si="23"/>
        <v>0</v>
      </c>
    </row>
    <row r="1534" spans="2:8" ht="13.5" thickBot="1" x14ac:dyDescent="0.35">
      <c r="B1534" s="9">
        <f>COUNT($B$4:B1533)+1</f>
        <v>550</v>
      </c>
      <c r="C1534" s="10" t="s">
        <v>935</v>
      </c>
      <c r="D1534" s="10"/>
      <c r="E1534" s="11" t="s">
        <v>3</v>
      </c>
      <c r="F1534" s="12" t="s">
        <v>23</v>
      </c>
      <c r="G1534" s="12"/>
      <c r="H1534" s="13">
        <f t="shared" si="23"/>
        <v>0</v>
      </c>
    </row>
    <row r="1535" spans="2:8" ht="13.5" thickBot="1" x14ac:dyDescent="0.35">
      <c r="B1535" s="9"/>
      <c r="C1535" s="14" t="s">
        <v>24</v>
      </c>
      <c r="D1535" s="15" t="s">
        <v>25</v>
      </c>
      <c r="E1535" s="16" t="s">
        <v>9</v>
      </c>
      <c r="F1535" s="17" t="s">
        <v>23</v>
      </c>
      <c r="G1535" s="17">
        <f>G1534</f>
        <v>0</v>
      </c>
      <c r="H1535" s="13">
        <f t="shared" si="23"/>
        <v>0</v>
      </c>
    </row>
    <row r="1536" spans="2:8" ht="13.5" thickBot="1" x14ac:dyDescent="0.35">
      <c r="B1536" s="9"/>
      <c r="C1536" s="14" t="s">
        <v>403</v>
      </c>
      <c r="D1536" s="14" t="s">
        <v>302</v>
      </c>
      <c r="E1536" s="16" t="s">
        <v>9</v>
      </c>
      <c r="F1536" s="17" t="s">
        <v>23</v>
      </c>
      <c r="G1536" s="17">
        <f>G1534</f>
        <v>0</v>
      </c>
      <c r="H1536" s="13">
        <f t="shared" si="23"/>
        <v>0</v>
      </c>
    </row>
    <row r="1537" spans="2:8" ht="13.5" thickBot="1" x14ac:dyDescent="0.35">
      <c r="B1537" s="9"/>
      <c r="C1537" s="14" t="s">
        <v>905</v>
      </c>
      <c r="D1537" s="14" t="s">
        <v>302</v>
      </c>
      <c r="E1537" s="16" t="s">
        <v>3</v>
      </c>
      <c r="F1537" s="17" t="s">
        <v>23</v>
      </c>
      <c r="G1537" s="17">
        <f>G1534*2</f>
        <v>0</v>
      </c>
      <c r="H1537" s="13">
        <f t="shared" si="23"/>
        <v>0</v>
      </c>
    </row>
    <row r="1538" spans="2:8" ht="13.5" thickBot="1" x14ac:dyDescent="0.35">
      <c r="B1538" s="9"/>
      <c r="C1538" s="14" t="s">
        <v>406</v>
      </c>
      <c r="D1538" s="14" t="s">
        <v>302</v>
      </c>
      <c r="E1538" s="16" t="s">
        <v>9</v>
      </c>
      <c r="F1538" s="17" t="s">
        <v>23</v>
      </c>
      <c r="G1538" s="17">
        <f>G1534</f>
        <v>0</v>
      </c>
      <c r="H1538" s="13">
        <f t="shared" si="23"/>
        <v>0</v>
      </c>
    </row>
    <row r="1539" spans="2:8" ht="13.5" thickBot="1" x14ac:dyDescent="0.35">
      <c r="B1539" s="9">
        <f>COUNT($B$4:B1538)+1</f>
        <v>551</v>
      </c>
      <c r="C1539" s="10" t="s">
        <v>936</v>
      </c>
      <c r="D1539" s="10"/>
      <c r="E1539" s="11" t="s">
        <v>3</v>
      </c>
      <c r="F1539" s="12" t="s">
        <v>23</v>
      </c>
      <c r="G1539" s="12"/>
      <c r="H1539" s="13">
        <f t="shared" si="23"/>
        <v>0</v>
      </c>
    </row>
    <row r="1540" spans="2:8" ht="13.5" thickBot="1" x14ac:dyDescent="0.35">
      <c r="B1540" s="9"/>
      <c r="C1540" s="14" t="s">
        <v>24</v>
      </c>
      <c r="D1540" s="15" t="s">
        <v>25</v>
      </c>
      <c r="E1540" s="16" t="s">
        <v>9</v>
      </c>
      <c r="F1540" s="17" t="s">
        <v>23</v>
      </c>
      <c r="G1540" s="17">
        <f>G1539</f>
        <v>0</v>
      </c>
      <c r="H1540" s="13">
        <f t="shared" si="23"/>
        <v>0</v>
      </c>
    </row>
    <row r="1541" spans="2:8" ht="13.5" thickBot="1" x14ac:dyDescent="0.35">
      <c r="B1541" s="9"/>
      <c r="C1541" s="14" t="s">
        <v>420</v>
      </c>
      <c r="D1541" s="14" t="s">
        <v>302</v>
      </c>
      <c r="E1541" s="16" t="s">
        <v>9</v>
      </c>
      <c r="F1541" s="17" t="s">
        <v>23</v>
      </c>
      <c r="G1541" s="17">
        <f>G1539</f>
        <v>0</v>
      </c>
      <c r="H1541" s="13">
        <f t="shared" ref="H1541:H1604" si="24">SUM(G1541:G1541)</f>
        <v>0</v>
      </c>
    </row>
    <row r="1542" spans="2:8" ht="13.5" thickBot="1" x14ac:dyDescent="0.35">
      <c r="B1542" s="9"/>
      <c r="C1542" s="14" t="s">
        <v>905</v>
      </c>
      <c r="D1542" s="14" t="s">
        <v>302</v>
      </c>
      <c r="E1542" s="16" t="s">
        <v>3</v>
      </c>
      <c r="F1542" s="17" t="s">
        <v>23</v>
      </c>
      <c r="G1542" s="17">
        <f>G1539*3</f>
        <v>0</v>
      </c>
      <c r="H1542" s="13">
        <f t="shared" si="24"/>
        <v>0</v>
      </c>
    </row>
    <row r="1543" spans="2:8" ht="13.5" thickBot="1" x14ac:dyDescent="0.35">
      <c r="B1543" s="9"/>
      <c r="C1543" s="14" t="s">
        <v>406</v>
      </c>
      <c r="D1543" s="14" t="s">
        <v>302</v>
      </c>
      <c r="E1543" s="16" t="s">
        <v>9</v>
      </c>
      <c r="F1543" s="17" t="s">
        <v>23</v>
      </c>
      <c r="G1543" s="17">
        <f>G1539</f>
        <v>0</v>
      </c>
      <c r="H1543" s="13">
        <f t="shared" si="24"/>
        <v>0</v>
      </c>
    </row>
    <row r="1544" spans="2:8" ht="13.5" thickBot="1" x14ac:dyDescent="0.35">
      <c r="B1544" s="9">
        <f>COUNT($B$4:B1543)+1</f>
        <v>552</v>
      </c>
      <c r="C1544" s="10" t="s">
        <v>937</v>
      </c>
      <c r="D1544" s="10"/>
      <c r="E1544" s="11" t="s">
        <v>3</v>
      </c>
      <c r="F1544" s="12" t="s">
        <v>23</v>
      </c>
      <c r="G1544" s="12"/>
      <c r="H1544" s="13">
        <f t="shared" si="24"/>
        <v>0</v>
      </c>
    </row>
    <row r="1545" spans="2:8" ht="13.5" thickBot="1" x14ac:dyDescent="0.35">
      <c r="B1545" s="9"/>
      <c r="C1545" s="14" t="s">
        <v>234</v>
      </c>
      <c r="D1545" s="15" t="s">
        <v>25</v>
      </c>
      <c r="E1545" s="16" t="s">
        <v>9</v>
      </c>
      <c r="F1545" s="17" t="s">
        <v>23</v>
      </c>
      <c r="G1545" s="17">
        <f>G1544</f>
        <v>0</v>
      </c>
      <c r="H1545" s="13">
        <f t="shared" si="24"/>
        <v>0</v>
      </c>
    </row>
    <row r="1546" spans="2:8" ht="13.5" thickBot="1" x14ac:dyDescent="0.35">
      <c r="B1546" s="9"/>
      <c r="C1546" s="14" t="s">
        <v>893</v>
      </c>
      <c r="D1546" s="14" t="s">
        <v>302</v>
      </c>
      <c r="E1546" s="16" t="s">
        <v>9</v>
      </c>
      <c r="F1546" s="17" t="s">
        <v>23</v>
      </c>
      <c r="G1546" s="17">
        <f>G1544</f>
        <v>0</v>
      </c>
      <c r="H1546" s="13">
        <f t="shared" si="24"/>
        <v>0</v>
      </c>
    </row>
    <row r="1547" spans="2:8" ht="13.5" thickBot="1" x14ac:dyDescent="0.35">
      <c r="B1547" s="9"/>
      <c r="C1547" s="14" t="s">
        <v>905</v>
      </c>
      <c r="D1547" s="14" t="s">
        <v>302</v>
      </c>
      <c r="E1547" s="16" t="s">
        <v>3</v>
      </c>
      <c r="F1547" s="17" t="s">
        <v>23</v>
      </c>
      <c r="G1547" s="17">
        <f>G1544*4</f>
        <v>0</v>
      </c>
      <c r="H1547" s="13">
        <f t="shared" si="24"/>
        <v>0</v>
      </c>
    </row>
    <row r="1548" spans="2:8" ht="13.5" thickBot="1" x14ac:dyDescent="0.35">
      <c r="B1548" s="9"/>
      <c r="C1548" s="14" t="s">
        <v>894</v>
      </c>
      <c r="D1548" s="14" t="s">
        <v>302</v>
      </c>
      <c r="E1548" s="16" t="s">
        <v>9</v>
      </c>
      <c r="F1548" s="17" t="s">
        <v>23</v>
      </c>
      <c r="G1548" s="17">
        <f>G1544</f>
        <v>0</v>
      </c>
      <c r="H1548" s="13">
        <f t="shared" si="24"/>
        <v>0</v>
      </c>
    </row>
    <row r="1549" spans="2:8" ht="13.5" thickBot="1" x14ac:dyDescent="0.35">
      <c r="B1549" s="9">
        <f>COUNT($B$4:B1548)+1</f>
        <v>553</v>
      </c>
      <c r="C1549" s="10" t="s">
        <v>938</v>
      </c>
      <c r="D1549" s="10"/>
      <c r="E1549" s="11" t="s">
        <v>3</v>
      </c>
      <c r="F1549" s="12" t="s">
        <v>23</v>
      </c>
      <c r="G1549" s="12"/>
      <c r="H1549" s="13">
        <f t="shared" si="24"/>
        <v>0</v>
      </c>
    </row>
    <row r="1550" spans="2:8" ht="13.5" thickBot="1" x14ac:dyDescent="0.35">
      <c r="B1550" s="9"/>
      <c r="C1550" s="14" t="s">
        <v>234</v>
      </c>
      <c r="D1550" s="15" t="s">
        <v>25</v>
      </c>
      <c r="E1550" s="16" t="s">
        <v>9</v>
      </c>
      <c r="F1550" s="17" t="s">
        <v>23</v>
      </c>
      <c r="G1550" s="17">
        <f>G1549</f>
        <v>0</v>
      </c>
      <c r="H1550" s="13">
        <f t="shared" si="24"/>
        <v>0</v>
      </c>
    </row>
    <row r="1551" spans="2:8" ht="13.5" thickBot="1" x14ac:dyDescent="0.35">
      <c r="B1551" s="9"/>
      <c r="C1551" s="14" t="s">
        <v>909</v>
      </c>
      <c r="D1551" s="14" t="s">
        <v>302</v>
      </c>
      <c r="E1551" s="16" t="s">
        <v>9</v>
      </c>
      <c r="F1551" s="17" t="s">
        <v>23</v>
      </c>
      <c r="G1551" s="17">
        <f>G1549</f>
        <v>0</v>
      </c>
      <c r="H1551" s="13">
        <f t="shared" si="24"/>
        <v>0</v>
      </c>
    </row>
    <row r="1552" spans="2:8" ht="13.5" thickBot="1" x14ac:dyDescent="0.35">
      <c r="B1552" s="9"/>
      <c r="C1552" s="14" t="s">
        <v>905</v>
      </c>
      <c r="D1552" s="14" t="s">
        <v>302</v>
      </c>
      <c r="E1552" s="16" t="s">
        <v>3</v>
      </c>
      <c r="F1552" s="17" t="s">
        <v>23</v>
      </c>
      <c r="G1552" s="17">
        <f>G1549*5</f>
        <v>0</v>
      </c>
      <c r="H1552" s="13">
        <f t="shared" si="24"/>
        <v>0</v>
      </c>
    </row>
    <row r="1553" spans="2:8" ht="13.5" thickBot="1" x14ac:dyDescent="0.35">
      <c r="B1553" s="9"/>
      <c r="C1553" s="14" t="s">
        <v>910</v>
      </c>
      <c r="D1553" s="14" t="s">
        <v>302</v>
      </c>
      <c r="E1553" s="16" t="s">
        <v>3</v>
      </c>
      <c r="F1553" s="17" t="s">
        <v>23</v>
      </c>
      <c r="G1553" s="17">
        <f>G1549</f>
        <v>0</v>
      </c>
      <c r="H1553" s="13">
        <f t="shared" si="24"/>
        <v>0</v>
      </c>
    </row>
    <row r="1554" spans="2:8" ht="13.5" thickBot="1" x14ac:dyDescent="0.35">
      <c r="B1554" s="9"/>
      <c r="C1554" s="14" t="s">
        <v>894</v>
      </c>
      <c r="D1554" s="14" t="s">
        <v>302</v>
      </c>
      <c r="E1554" s="16" t="s">
        <v>9</v>
      </c>
      <c r="F1554" s="17" t="s">
        <v>23</v>
      </c>
      <c r="G1554" s="17">
        <f>G1549</f>
        <v>0</v>
      </c>
      <c r="H1554" s="13">
        <f t="shared" si="24"/>
        <v>0</v>
      </c>
    </row>
    <row r="1555" spans="2:8" ht="13.5" thickBot="1" x14ac:dyDescent="0.35">
      <c r="B1555" s="9">
        <f>COUNT($B$4:B1554)+1</f>
        <v>554</v>
      </c>
      <c r="C1555" s="10" t="s">
        <v>939</v>
      </c>
      <c r="D1555" s="10"/>
      <c r="E1555" s="11" t="s">
        <v>3</v>
      </c>
      <c r="F1555" s="12" t="s">
        <v>23</v>
      </c>
      <c r="G1555" s="12"/>
      <c r="H1555" s="13">
        <f t="shared" si="24"/>
        <v>0</v>
      </c>
    </row>
    <row r="1556" spans="2:8" ht="13.5" thickBot="1" x14ac:dyDescent="0.35">
      <c r="B1556" s="9"/>
      <c r="C1556" s="14" t="s">
        <v>234</v>
      </c>
      <c r="D1556" s="15" t="s">
        <v>25</v>
      </c>
      <c r="E1556" s="16" t="s">
        <v>9</v>
      </c>
      <c r="F1556" s="17" t="s">
        <v>23</v>
      </c>
      <c r="G1556" s="17">
        <f>G1555</f>
        <v>0</v>
      </c>
      <c r="H1556" s="13">
        <f t="shared" si="24"/>
        <v>0</v>
      </c>
    </row>
    <row r="1557" spans="2:8" ht="13.5" thickBot="1" x14ac:dyDescent="0.35">
      <c r="B1557" s="9"/>
      <c r="C1557" s="14" t="s">
        <v>909</v>
      </c>
      <c r="D1557" s="14" t="s">
        <v>302</v>
      </c>
      <c r="E1557" s="16" t="s">
        <v>9</v>
      </c>
      <c r="F1557" s="17" t="s">
        <v>23</v>
      </c>
      <c r="G1557" s="17">
        <f>G1555</f>
        <v>0</v>
      </c>
      <c r="H1557" s="13">
        <f t="shared" si="24"/>
        <v>0</v>
      </c>
    </row>
    <row r="1558" spans="2:8" ht="13.5" thickBot="1" x14ac:dyDescent="0.35">
      <c r="B1558" s="9"/>
      <c r="C1558" s="14" t="s">
        <v>905</v>
      </c>
      <c r="D1558" s="14" t="s">
        <v>302</v>
      </c>
      <c r="E1558" s="16" t="s">
        <v>3</v>
      </c>
      <c r="F1558" s="17" t="s">
        <v>23</v>
      </c>
      <c r="G1558" s="17">
        <f>G1555*6</f>
        <v>0</v>
      </c>
      <c r="H1558" s="13">
        <f t="shared" si="24"/>
        <v>0</v>
      </c>
    </row>
    <row r="1559" spans="2:8" ht="13.5" thickBot="1" x14ac:dyDescent="0.35">
      <c r="B1559" s="9"/>
      <c r="C1559" s="14" t="s">
        <v>894</v>
      </c>
      <c r="D1559" s="14" t="s">
        <v>302</v>
      </c>
      <c r="E1559" s="16" t="s">
        <v>9</v>
      </c>
      <c r="F1559" s="17" t="s">
        <v>23</v>
      </c>
      <c r="G1559" s="17">
        <f>G1555</f>
        <v>0</v>
      </c>
      <c r="H1559" s="13">
        <f t="shared" si="24"/>
        <v>0</v>
      </c>
    </row>
    <row r="1560" spans="2:8" ht="13.5" thickBot="1" x14ac:dyDescent="0.35">
      <c r="B1560" s="9">
        <f>COUNT($B$4:B1559)+1</f>
        <v>555</v>
      </c>
      <c r="C1560" s="10" t="s">
        <v>940</v>
      </c>
      <c r="D1560" s="10"/>
      <c r="E1560" s="11" t="s">
        <v>9</v>
      </c>
      <c r="F1560" s="12" t="s">
        <v>23</v>
      </c>
      <c r="G1560" s="12"/>
      <c r="H1560" s="13">
        <f t="shared" si="24"/>
        <v>0</v>
      </c>
    </row>
    <row r="1561" spans="2:8" ht="13.5" thickBot="1" x14ac:dyDescent="0.35">
      <c r="B1561" s="9"/>
      <c r="C1561" s="14" t="s">
        <v>940</v>
      </c>
      <c r="D1561" s="14" t="s">
        <v>278</v>
      </c>
      <c r="E1561" s="16" t="s">
        <v>9</v>
      </c>
      <c r="F1561" s="17" t="s">
        <v>23</v>
      </c>
      <c r="G1561" s="17">
        <f>G1560</f>
        <v>0</v>
      </c>
      <c r="H1561" s="13">
        <f t="shared" si="24"/>
        <v>0</v>
      </c>
    </row>
    <row r="1562" spans="2:8" ht="13.5" thickBot="1" x14ac:dyDescent="0.35">
      <c r="B1562" s="9"/>
      <c r="C1562" s="14" t="s">
        <v>451</v>
      </c>
      <c r="D1562" s="14" t="s">
        <v>278</v>
      </c>
      <c r="E1562" s="18" t="s">
        <v>0</v>
      </c>
      <c r="F1562" s="17" t="s">
        <v>23</v>
      </c>
      <c r="G1562" s="17">
        <f>G1560*4</f>
        <v>0</v>
      </c>
      <c r="H1562" s="13">
        <f t="shared" si="24"/>
        <v>0</v>
      </c>
    </row>
    <row r="1563" spans="2:8" ht="13.5" thickBot="1" x14ac:dyDescent="0.35">
      <c r="B1563" s="9">
        <f>COUNT($B$4:B1562)+1</f>
        <v>556</v>
      </c>
      <c r="C1563" s="10" t="s">
        <v>941</v>
      </c>
      <c r="D1563" s="10"/>
      <c r="E1563" s="11" t="s">
        <v>9</v>
      </c>
      <c r="F1563" s="12" t="s">
        <v>23</v>
      </c>
      <c r="G1563" s="12"/>
      <c r="H1563" s="13">
        <f t="shared" si="24"/>
        <v>0</v>
      </c>
    </row>
    <row r="1564" spans="2:8" ht="13.5" thickBot="1" x14ac:dyDescent="0.35">
      <c r="B1564" s="9"/>
      <c r="C1564" s="14" t="s">
        <v>941</v>
      </c>
      <c r="D1564" s="14" t="s">
        <v>278</v>
      </c>
      <c r="E1564" s="16" t="s">
        <v>9</v>
      </c>
      <c r="F1564" s="17" t="s">
        <v>23</v>
      </c>
      <c r="G1564" s="17">
        <f>G1563</f>
        <v>0</v>
      </c>
      <c r="H1564" s="13">
        <f t="shared" si="24"/>
        <v>0</v>
      </c>
    </row>
    <row r="1565" spans="2:8" ht="13.5" thickBot="1" x14ac:dyDescent="0.35">
      <c r="B1565" s="9"/>
      <c r="C1565" s="14" t="s">
        <v>451</v>
      </c>
      <c r="D1565" s="14" t="s">
        <v>278</v>
      </c>
      <c r="E1565" s="18" t="s">
        <v>0</v>
      </c>
      <c r="F1565" s="17" t="s">
        <v>23</v>
      </c>
      <c r="G1565" s="17">
        <f>G1563*6</f>
        <v>0</v>
      </c>
      <c r="H1565" s="13">
        <f t="shared" si="24"/>
        <v>0</v>
      </c>
    </row>
    <row r="1566" spans="2:8" ht="13.5" thickBot="1" x14ac:dyDescent="0.35">
      <c r="B1566" s="9">
        <f>COUNT($B$4:B1565)+1</f>
        <v>557</v>
      </c>
      <c r="C1566" s="10" t="s">
        <v>942</v>
      </c>
      <c r="D1566" s="10"/>
      <c r="E1566" s="11" t="s">
        <v>9</v>
      </c>
      <c r="F1566" s="12" t="s">
        <v>23</v>
      </c>
      <c r="G1566" s="12"/>
      <c r="H1566" s="13">
        <f t="shared" si="24"/>
        <v>0</v>
      </c>
    </row>
    <row r="1567" spans="2:8" ht="13.5" thickBot="1" x14ac:dyDescent="0.35">
      <c r="B1567" s="9"/>
      <c r="C1567" s="14" t="s">
        <v>942</v>
      </c>
      <c r="D1567" s="14" t="s">
        <v>278</v>
      </c>
      <c r="E1567" s="16" t="s">
        <v>9</v>
      </c>
      <c r="F1567" s="17" t="s">
        <v>23</v>
      </c>
      <c r="G1567" s="17">
        <f>G1566</f>
        <v>0</v>
      </c>
      <c r="H1567" s="13">
        <f t="shared" si="24"/>
        <v>0</v>
      </c>
    </row>
    <row r="1568" spans="2:8" ht="13.5" thickBot="1" x14ac:dyDescent="0.35">
      <c r="B1568" s="9"/>
      <c r="C1568" s="14" t="s">
        <v>451</v>
      </c>
      <c r="D1568" s="14" t="s">
        <v>278</v>
      </c>
      <c r="E1568" s="18" t="s">
        <v>0</v>
      </c>
      <c r="F1568" s="17" t="s">
        <v>23</v>
      </c>
      <c r="G1568" s="17">
        <f>G1566*8</f>
        <v>0</v>
      </c>
      <c r="H1568" s="13">
        <f t="shared" si="24"/>
        <v>0</v>
      </c>
    </row>
    <row r="1569" spans="2:8" ht="13.5" thickBot="1" x14ac:dyDescent="0.35">
      <c r="B1569" s="9">
        <f>COUNT($B$4:B1568)+1</f>
        <v>558</v>
      </c>
      <c r="C1569" s="10" t="s">
        <v>943</v>
      </c>
      <c r="D1569" s="10"/>
      <c r="E1569" s="11" t="s">
        <v>9</v>
      </c>
      <c r="F1569" s="12" t="s">
        <v>23</v>
      </c>
      <c r="G1569" s="12"/>
      <c r="H1569" s="13">
        <f t="shared" si="24"/>
        <v>0</v>
      </c>
    </row>
    <row r="1570" spans="2:8" ht="13.5" thickBot="1" x14ac:dyDescent="0.35">
      <c r="B1570" s="9"/>
      <c r="C1570" s="14" t="s">
        <v>943</v>
      </c>
      <c r="D1570" s="14" t="s">
        <v>278</v>
      </c>
      <c r="E1570" s="16" t="s">
        <v>9</v>
      </c>
      <c r="F1570" s="17" t="s">
        <v>23</v>
      </c>
      <c r="G1570" s="17">
        <f>G1569</f>
        <v>0</v>
      </c>
      <c r="H1570" s="13">
        <f t="shared" si="24"/>
        <v>0</v>
      </c>
    </row>
    <row r="1571" spans="2:8" ht="13.5" thickBot="1" x14ac:dyDescent="0.35">
      <c r="B1571" s="9"/>
      <c r="C1571" s="14" t="s">
        <v>451</v>
      </c>
      <c r="D1571" s="14" t="s">
        <v>278</v>
      </c>
      <c r="E1571" s="18" t="s">
        <v>0</v>
      </c>
      <c r="F1571" s="17" t="s">
        <v>23</v>
      </c>
      <c r="G1571" s="17">
        <f>G1569*4</f>
        <v>0</v>
      </c>
      <c r="H1571" s="13">
        <f t="shared" si="24"/>
        <v>0</v>
      </c>
    </row>
    <row r="1572" spans="2:8" ht="13.5" thickBot="1" x14ac:dyDescent="0.35">
      <c r="B1572" s="9">
        <f>COUNT($B$4:B1571)+1</f>
        <v>559</v>
      </c>
      <c r="C1572" s="10" t="s">
        <v>944</v>
      </c>
      <c r="D1572" s="10"/>
      <c r="E1572" s="11" t="s">
        <v>9</v>
      </c>
      <c r="F1572" s="12" t="s">
        <v>23</v>
      </c>
      <c r="G1572" s="12"/>
      <c r="H1572" s="13">
        <f t="shared" si="24"/>
        <v>0</v>
      </c>
    </row>
    <row r="1573" spans="2:8" ht="13.5" thickBot="1" x14ac:dyDescent="0.35">
      <c r="B1573" s="9"/>
      <c r="C1573" s="14" t="s">
        <v>944</v>
      </c>
      <c r="D1573" s="14" t="s">
        <v>278</v>
      </c>
      <c r="E1573" s="16" t="s">
        <v>9</v>
      </c>
      <c r="F1573" s="17" t="s">
        <v>23</v>
      </c>
      <c r="G1573" s="17">
        <f>G1572</f>
        <v>0</v>
      </c>
      <c r="H1573" s="13">
        <f t="shared" si="24"/>
        <v>0</v>
      </c>
    </row>
    <row r="1574" spans="2:8" ht="13.5" thickBot="1" x14ac:dyDescent="0.35">
      <c r="B1574" s="9"/>
      <c r="C1574" s="14" t="s">
        <v>451</v>
      </c>
      <c r="D1574" s="14" t="s">
        <v>278</v>
      </c>
      <c r="E1574" s="18" t="s">
        <v>0</v>
      </c>
      <c r="F1574" s="17" t="s">
        <v>23</v>
      </c>
      <c r="G1574" s="17">
        <f>G1572*6</f>
        <v>0</v>
      </c>
      <c r="H1574" s="13">
        <f t="shared" si="24"/>
        <v>0</v>
      </c>
    </row>
    <row r="1575" spans="2:8" ht="13.5" thickBot="1" x14ac:dyDescent="0.35">
      <c r="B1575" s="9">
        <f>COUNT($B$4:B1574)+1</f>
        <v>560</v>
      </c>
      <c r="C1575" s="10" t="s">
        <v>945</v>
      </c>
      <c r="D1575" s="10"/>
      <c r="E1575" s="11" t="s">
        <v>9</v>
      </c>
      <c r="F1575" s="12" t="s">
        <v>23</v>
      </c>
      <c r="G1575" s="12"/>
      <c r="H1575" s="13">
        <f t="shared" si="24"/>
        <v>0</v>
      </c>
    </row>
    <row r="1576" spans="2:8" ht="13.5" thickBot="1" x14ac:dyDescent="0.35">
      <c r="B1576" s="9"/>
      <c r="C1576" s="14" t="s">
        <v>945</v>
      </c>
      <c r="D1576" s="14" t="s">
        <v>278</v>
      </c>
      <c r="E1576" s="16" t="s">
        <v>9</v>
      </c>
      <c r="F1576" s="17" t="s">
        <v>23</v>
      </c>
      <c r="G1576" s="17">
        <f>G1575</f>
        <v>0</v>
      </c>
      <c r="H1576" s="13">
        <f t="shared" si="24"/>
        <v>0</v>
      </c>
    </row>
    <row r="1577" spans="2:8" ht="13.5" thickBot="1" x14ac:dyDescent="0.35">
      <c r="B1577" s="9"/>
      <c r="C1577" s="14" t="s">
        <v>451</v>
      </c>
      <c r="D1577" s="14" t="s">
        <v>278</v>
      </c>
      <c r="E1577" s="18" t="s">
        <v>0</v>
      </c>
      <c r="F1577" s="17" t="s">
        <v>23</v>
      </c>
      <c r="G1577" s="17">
        <f>G1575*8</f>
        <v>0</v>
      </c>
      <c r="H1577" s="13">
        <f t="shared" si="24"/>
        <v>0</v>
      </c>
    </row>
    <row r="1578" spans="2:8" ht="13.5" thickBot="1" x14ac:dyDescent="0.35">
      <c r="B1578" s="9">
        <f>COUNT($B$4:B1577)+1</f>
        <v>561</v>
      </c>
      <c r="C1578" s="10" t="s">
        <v>946</v>
      </c>
      <c r="D1578" s="10"/>
      <c r="E1578" s="11" t="s">
        <v>8</v>
      </c>
      <c r="F1578" s="12" t="s">
        <v>23</v>
      </c>
      <c r="G1578" s="12"/>
      <c r="H1578" s="13">
        <f t="shared" si="24"/>
        <v>0</v>
      </c>
    </row>
    <row r="1579" spans="2:8" ht="13.5" thickBot="1" x14ac:dyDescent="0.35">
      <c r="B1579" s="9"/>
      <c r="C1579" s="14" t="s">
        <v>43</v>
      </c>
      <c r="D1579" s="14" t="s">
        <v>27</v>
      </c>
      <c r="E1579" s="18" t="s">
        <v>8</v>
      </c>
      <c r="F1579" s="17" t="s">
        <v>23</v>
      </c>
      <c r="G1579" s="17">
        <f>G1578</f>
        <v>0</v>
      </c>
      <c r="H1579" s="13">
        <f t="shared" si="24"/>
        <v>0</v>
      </c>
    </row>
    <row r="1580" spans="2:8" ht="13.5" thickBot="1" x14ac:dyDescent="0.35">
      <c r="B1580" s="9"/>
      <c r="C1580" s="14" t="s">
        <v>947</v>
      </c>
      <c r="D1580" s="14" t="s">
        <v>29</v>
      </c>
      <c r="E1580" s="18" t="s">
        <v>8</v>
      </c>
      <c r="F1580" s="17" t="s">
        <v>23</v>
      </c>
      <c r="G1580" s="17">
        <f>G1578</f>
        <v>0</v>
      </c>
      <c r="H1580" s="13">
        <f t="shared" si="24"/>
        <v>0</v>
      </c>
    </row>
    <row r="1581" spans="2:8" ht="13.5" thickBot="1" x14ac:dyDescent="0.35">
      <c r="B1581" s="9">
        <f>COUNT($B$4:B1580)+1</f>
        <v>562</v>
      </c>
      <c r="C1581" s="10" t="s">
        <v>948</v>
      </c>
      <c r="D1581" s="10"/>
      <c r="E1581" s="11" t="s">
        <v>8</v>
      </c>
      <c r="F1581" s="12" t="s">
        <v>23</v>
      </c>
      <c r="G1581" s="12"/>
      <c r="H1581" s="13">
        <f t="shared" si="24"/>
        <v>0</v>
      </c>
    </row>
    <row r="1582" spans="2:8" ht="13.5" thickBot="1" x14ac:dyDescent="0.35">
      <c r="B1582" s="9"/>
      <c r="C1582" s="14" t="s">
        <v>46</v>
      </c>
      <c r="D1582" s="14" t="s">
        <v>27</v>
      </c>
      <c r="E1582" s="18" t="s">
        <v>8</v>
      </c>
      <c r="F1582" s="17" t="s">
        <v>23</v>
      </c>
      <c r="G1582" s="17">
        <f>G1581</f>
        <v>0</v>
      </c>
      <c r="H1582" s="13">
        <f t="shared" si="24"/>
        <v>0</v>
      </c>
    </row>
    <row r="1583" spans="2:8" ht="13.5" thickBot="1" x14ac:dyDescent="0.35">
      <c r="B1583" s="9"/>
      <c r="C1583" s="14" t="s">
        <v>947</v>
      </c>
      <c r="D1583" s="14" t="s">
        <v>29</v>
      </c>
      <c r="E1583" s="18" t="s">
        <v>8</v>
      </c>
      <c r="F1583" s="17" t="s">
        <v>23</v>
      </c>
      <c r="G1583" s="17">
        <f>G1581</f>
        <v>0</v>
      </c>
      <c r="H1583" s="13">
        <f t="shared" si="24"/>
        <v>0</v>
      </c>
    </row>
    <row r="1584" spans="2:8" ht="13.5" thickBot="1" x14ac:dyDescent="0.35">
      <c r="B1584" s="9">
        <f>COUNT($B$4:B1583)+1</f>
        <v>563</v>
      </c>
      <c r="C1584" s="10" t="s">
        <v>949</v>
      </c>
      <c r="D1584" s="10"/>
      <c r="E1584" s="11" t="s">
        <v>8</v>
      </c>
      <c r="F1584" s="12" t="s">
        <v>23</v>
      </c>
      <c r="G1584" s="12"/>
      <c r="H1584" s="13">
        <f t="shared" si="24"/>
        <v>0</v>
      </c>
    </row>
    <row r="1585" spans="2:8" ht="13.5" thickBot="1" x14ac:dyDescent="0.35">
      <c r="B1585" s="9"/>
      <c r="C1585" s="14" t="s">
        <v>235</v>
      </c>
      <c r="D1585" s="14" t="s">
        <v>25</v>
      </c>
      <c r="E1585" s="18" t="s">
        <v>9</v>
      </c>
      <c r="F1585" s="17" t="s">
        <v>23</v>
      </c>
      <c r="G1585" s="17">
        <f>G1584</f>
        <v>0</v>
      </c>
      <c r="H1585" s="13">
        <f t="shared" si="24"/>
        <v>0</v>
      </c>
    </row>
    <row r="1586" spans="2:8" ht="13.5" thickBot="1" x14ac:dyDescent="0.35">
      <c r="B1586" s="9"/>
      <c r="C1586" s="14" t="s">
        <v>26</v>
      </c>
      <c r="D1586" s="14" t="s">
        <v>27</v>
      </c>
      <c r="E1586" s="18" t="s">
        <v>8</v>
      </c>
      <c r="F1586" s="17" t="s">
        <v>23</v>
      </c>
      <c r="G1586" s="17">
        <f>G1584</f>
        <v>0</v>
      </c>
      <c r="H1586" s="13">
        <f t="shared" si="24"/>
        <v>0</v>
      </c>
    </row>
    <row r="1587" spans="2:8" ht="13.5" thickBot="1" x14ac:dyDescent="0.35">
      <c r="B1587" s="9"/>
      <c r="C1587" s="14" t="s">
        <v>950</v>
      </c>
      <c r="D1587" s="14" t="s">
        <v>29</v>
      </c>
      <c r="E1587" s="18" t="s">
        <v>8</v>
      </c>
      <c r="F1587" s="17" t="s">
        <v>23</v>
      </c>
      <c r="G1587" s="17">
        <f>G1584</f>
        <v>0</v>
      </c>
      <c r="H1587" s="13">
        <f t="shared" si="24"/>
        <v>0</v>
      </c>
    </row>
    <row r="1588" spans="2:8" ht="13.5" thickBot="1" x14ac:dyDescent="0.35">
      <c r="B1588" s="9">
        <f>COUNT($B$4:B1587)+1</f>
        <v>564</v>
      </c>
      <c r="C1588" s="10" t="s">
        <v>1650</v>
      </c>
      <c r="D1588" s="10"/>
      <c r="E1588" s="11" t="s">
        <v>8</v>
      </c>
      <c r="F1588" s="12" t="s">
        <v>23</v>
      </c>
      <c r="G1588" s="12">
        <v>16</v>
      </c>
      <c r="H1588" s="13">
        <f t="shared" si="24"/>
        <v>16</v>
      </c>
    </row>
    <row r="1589" spans="2:8" ht="13.5" thickBot="1" x14ac:dyDescent="0.35">
      <c r="B1589" s="9"/>
      <c r="C1589" s="14" t="s">
        <v>235</v>
      </c>
      <c r="D1589" s="14" t="s">
        <v>25</v>
      </c>
      <c r="E1589" s="18" t="s">
        <v>9</v>
      </c>
      <c r="F1589" s="17" t="s">
        <v>23</v>
      </c>
      <c r="G1589" s="17">
        <f>G1588</f>
        <v>16</v>
      </c>
      <c r="H1589" s="13">
        <f t="shared" si="24"/>
        <v>16</v>
      </c>
    </row>
    <row r="1590" spans="2:8" ht="13.5" thickBot="1" x14ac:dyDescent="0.35">
      <c r="B1590" s="9"/>
      <c r="C1590" s="14" t="s">
        <v>1650</v>
      </c>
      <c r="D1590" s="14" t="s">
        <v>27</v>
      </c>
      <c r="E1590" s="18" t="s">
        <v>8</v>
      </c>
      <c r="F1590" s="17" t="s">
        <v>23</v>
      </c>
      <c r="G1590" s="17">
        <v>0</v>
      </c>
      <c r="H1590" s="13">
        <f t="shared" si="24"/>
        <v>0</v>
      </c>
    </row>
    <row r="1591" spans="2:8" ht="13.5" thickBot="1" x14ac:dyDescent="0.35">
      <c r="B1591" s="9"/>
      <c r="C1591" s="14" t="s">
        <v>1650</v>
      </c>
      <c r="D1591" s="14" t="s">
        <v>29</v>
      </c>
      <c r="E1591" s="18" t="s">
        <v>8</v>
      </c>
      <c r="F1591" s="17" t="s">
        <v>23</v>
      </c>
      <c r="G1591" s="17">
        <v>0</v>
      </c>
      <c r="H1591" s="13">
        <f t="shared" si="24"/>
        <v>0</v>
      </c>
    </row>
    <row r="1592" spans="2:8" ht="13.5" thickBot="1" x14ac:dyDescent="0.35">
      <c r="B1592" s="9">
        <f>COUNT($B$4:B1591)+1</f>
        <v>565</v>
      </c>
      <c r="C1592" s="10" t="s">
        <v>951</v>
      </c>
      <c r="D1592" s="10"/>
      <c r="E1592" s="11" t="s">
        <v>8</v>
      </c>
      <c r="F1592" s="12" t="s">
        <v>23</v>
      </c>
      <c r="G1592" s="12"/>
      <c r="H1592" s="13">
        <f t="shared" si="24"/>
        <v>0</v>
      </c>
    </row>
    <row r="1593" spans="2:8" ht="13.5" thickBot="1" x14ac:dyDescent="0.35">
      <c r="B1593" s="9"/>
      <c r="C1593" s="14" t="s">
        <v>235</v>
      </c>
      <c r="D1593" s="14" t="s">
        <v>25</v>
      </c>
      <c r="E1593" s="18" t="s">
        <v>9</v>
      </c>
      <c r="F1593" s="17" t="s">
        <v>23</v>
      </c>
      <c r="G1593" s="17">
        <f>G1592</f>
        <v>0</v>
      </c>
      <c r="H1593" s="13">
        <f t="shared" si="24"/>
        <v>0</v>
      </c>
    </row>
    <row r="1594" spans="2:8" ht="13.5" thickBot="1" x14ac:dyDescent="0.35">
      <c r="B1594" s="9"/>
      <c r="C1594" s="14" t="s">
        <v>26</v>
      </c>
      <c r="D1594" s="14" t="s">
        <v>27</v>
      </c>
      <c r="E1594" s="18" t="s">
        <v>8</v>
      </c>
      <c r="F1594" s="17" t="s">
        <v>23</v>
      </c>
      <c r="G1594" s="17">
        <f>G1592</f>
        <v>0</v>
      </c>
      <c r="H1594" s="13">
        <f t="shared" si="24"/>
        <v>0</v>
      </c>
    </row>
    <row r="1595" spans="2:8" ht="13.5" thickBot="1" x14ac:dyDescent="0.35">
      <c r="B1595" s="9"/>
      <c r="C1595" s="14" t="s">
        <v>950</v>
      </c>
      <c r="D1595" s="14" t="s">
        <v>29</v>
      </c>
      <c r="E1595" s="18" t="s">
        <v>8</v>
      </c>
      <c r="F1595" s="17" t="s">
        <v>23</v>
      </c>
      <c r="G1595" s="17">
        <f>G1592</f>
        <v>0</v>
      </c>
      <c r="H1595" s="13">
        <f t="shared" si="24"/>
        <v>0</v>
      </c>
    </row>
    <row r="1596" spans="2:8" ht="13.5" thickBot="1" x14ac:dyDescent="0.35">
      <c r="B1596" s="9"/>
      <c r="C1596" s="14" t="s">
        <v>31</v>
      </c>
      <c r="D1596" s="14" t="s">
        <v>32</v>
      </c>
      <c r="E1596" s="18" t="s">
        <v>8</v>
      </c>
      <c r="F1596" s="17" t="s">
        <v>23</v>
      </c>
      <c r="G1596" s="17">
        <f>G1592</f>
        <v>0</v>
      </c>
      <c r="H1596" s="13">
        <f t="shared" si="24"/>
        <v>0</v>
      </c>
    </row>
    <row r="1597" spans="2:8" ht="13.5" thickBot="1" x14ac:dyDescent="0.35">
      <c r="B1597" s="9">
        <f>COUNT($B$4:B1596)+1</f>
        <v>566</v>
      </c>
      <c r="C1597" s="10" t="s">
        <v>952</v>
      </c>
      <c r="D1597" s="10"/>
      <c r="E1597" s="11" t="s">
        <v>8</v>
      </c>
      <c r="F1597" s="12" t="s">
        <v>23</v>
      </c>
      <c r="G1597" s="12"/>
      <c r="H1597" s="13">
        <f t="shared" si="24"/>
        <v>0</v>
      </c>
    </row>
    <row r="1598" spans="2:8" ht="13.5" thickBot="1" x14ac:dyDescent="0.35">
      <c r="B1598" s="9"/>
      <c r="C1598" s="14" t="s">
        <v>235</v>
      </c>
      <c r="D1598" s="14" t="s">
        <v>25</v>
      </c>
      <c r="E1598" s="18" t="s">
        <v>9</v>
      </c>
      <c r="F1598" s="17" t="s">
        <v>23</v>
      </c>
      <c r="G1598" s="17">
        <f>G1597</f>
        <v>0</v>
      </c>
      <c r="H1598" s="13">
        <f t="shared" si="24"/>
        <v>0</v>
      </c>
    </row>
    <row r="1599" spans="2:8" ht="13.5" thickBot="1" x14ac:dyDescent="0.35">
      <c r="B1599" s="9"/>
      <c r="C1599" s="14" t="s">
        <v>34</v>
      </c>
      <c r="D1599" s="14" t="s">
        <v>27</v>
      </c>
      <c r="E1599" s="18" t="s">
        <v>8</v>
      </c>
      <c r="F1599" s="17" t="s">
        <v>23</v>
      </c>
      <c r="G1599" s="17">
        <f>G1597</f>
        <v>0</v>
      </c>
      <c r="H1599" s="13">
        <f t="shared" si="24"/>
        <v>0</v>
      </c>
    </row>
    <row r="1600" spans="2:8" ht="13.5" thickBot="1" x14ac:dyDescent="0.35">
      <c r="B1600" s="9"/>
      <c r="C1600" s="14" t="s">
        <v>950</v>
      </c>
      <c r="D1600" s="14" t="s">
        <v>29</v>
      </c>
      <c r="E1600" s="18" t="s">
        <v>8</v>
      </c>
      <c r="F1600" s="17" t="s">
        <v>23</v>
      </c>
      <c r="G1600" s="17">
        <f>G1597</f>
        <v>0</v>
      </c>
      <c r="H1600" s="13">
        <f t="shared" si="24"/>
        <v>0</v>
      </c>
    </row>
    <row r="1601" spans="2:8" ht="13.5" thickBot="1" x14ac:dyDescent="0.35">
      <c r="B1601" s="9"/>
      <c r="C1601" s="14" t="s">
        <v>31</v>
      </c>
      <c r="D1601" s="14" t="s">
        <v>32</v>
      </c>
      <c r="E1601" s="18" t="s">
        <v>8</v>
      </c>
      <c r="F1601" s="17" t="s">
        <v>23</v>
      </c>
      <c r="G1601" s="17">
        <f>G1597</f>
        <v>0</v>
      </c>
      <c r="H1601" s="13">
        <f t="shared" si="24"/>
        <v>0</v>
      </c>
    </row>
    <row r="1602" spans="2:8" ht="13.5" thickBot="1" x14ac:dyDescent="0.35">
      <c r="B1602" s="9">
        <f>COUNT($B$4:B1601)+1</f>
        <v>567</v>
      </c>
      <c r="C1602" s="10" t="s">
        <v>953</v>
      </c>
      <c r="D1602" s="10"/>
      <c r="E1602" s="11" t="s">
        <v>8</v>
      </c>
      <c r="F1602" s="12" t="s">
        <v>23</v>
      </c>
      <c r="G1602" s="12"/>
      <c r="H1602" s="13">
        <f t="shared" si="24"/>
        <v>0</v>
      </c>
    </row>
    <row r="1603" spans="2:8" ht="13.5" thickBot="1" x14ac:dyDescent="0.35">
      <c r="B1603" s="9"/>
      <c r="C1603" s="14" t="s">
        <v>235</v>
      </c>
      <c r="D1603" s="14" t="s">
        <v>25</v>
      </c>
      <c r="E1603" s="18" t="s">
        <v>9</v>
      </c>
      <c r="F1603" s="17" t="s">
        <v>23</v>
      </c>
      <c r="G1603" s="17">
        <f>G1602</f>
        <v>0</v>
      </c>
      <c r="H1603" s="13">
        <f t="shared" si="24"/>
        <v>0</v>
      </c>
    </row>
    <row r="1604" spans="2:8" ht="13.5" thickBot="1" x14ac:dyDescent="0.35">
      <c r="B1604" s="9"/>
      <c r="C1604" s="14" t="s">
        <v>26</v>
      </c>
      <c r="D1604" s="14" t="s">
        <v>27</v>
      </c>
      <c r="E1604" s="18" t="s">
        <v>8</v>
      </c>
      <c r="F1604" s="17" t="s">
        <v>23</v>
      </c>
      <c r="G1604" s="17">
        <f>G1602*2</f>
        <v>0</v>
      </c>
      <c r="H1604" s="13">
        <f t="shared" si="24"/>
        <v>0</v>
      </c>
    </row>
    <row r="1605" spans="2:8" ht="13.5" thickBot="1" x14ac:dyDescent="0.35">
      <c r="B1605" s="9"/>
      <c r="C1605" s="14" t="s">
        <v>954</v>
      </c>
      <c r="D1605" s="14" t="s">
        <v>29</v>
      </c>
      <c r="E1605" s="18" t="s">
        <v>8</v>
      </c>
      <c r="F1605" s="17" t="s">
        <v>23</v>
      </c>
      <c r="G1605" s="17">
        <f>G1602</f>
        <v>0</v>
      </c>
      <c r="H1605" s="13">
        <f t="shared" ref="H1605:H1668" si="25">SUM(G1605:G1605)</f>
        <v>0</v>
      </c>
    </row>
    <row r="1606" spans="2:8" ht="13.5" thickBot="1" x14ac:dyDescent="0.35">
      <c r="B1606" s="9">
        <f>COUNT($B$4:B1605)+1</f>
        <v>568</v>
      </c>
      <c r="C1606" s="10" t="s">
        <v>955</v>
      </c>
      <c r="D1606" s="10"/>
      <c r="E1606" s="11" t="s">
        <v>8</v>
      </c>
      <c r="F1606" s="12" t="s">
        <v>23</v>
      </c>
      <c r="G1606" s="12"/>
      <c r="H1606" s="13">
        <f t="shared" si="25"/>
        <v>0</v>
      </c>
    </row>
    <row r="1607" spans="2:8" ht="13.5" thickBot="1" x14ac:dyDescent="0.35">
      <c r="B1607" s="9"/>
      <c r="C1607" s="14" t="s">
        <v>235</v>
      </c>
      <c r="D1607" s="14" t="s">
        <v>25</v>
      </c>
      <c r="E1607" s="18" t="s">
        <v>9</v>
      </c>
      <c r="F1607" s="17" t="s">
        <v>23</v>
      </c>
      <c r="G1607" s="17">
        <f>G1606</f>
        <v>0</v>
      </c>
      <c r="H1607" s="13">
        <f t="shared" si="25"/>
        <v>0</v>
      </c>
    </row>
    <row r="1608" spans="2:8" ht="13.5" thickBot="1" x14ac:dyDescent="0.35">
      <c r="B1608" s="9"/>
      <c r="C1608" s="14" t="s">
        <v>34</v>
      </c>
      <c r="D1608" s="14" t="s">
        <v>27</v>
      </c>
      <c r="E1608" s="18" t="s">
        <v>8</v>
      </c>
      <c r="F1608" s="17" t="s">
        <v>23</v>
      </c>
      <c r="G1608" s="17">
        <f>G1606*2</f>
        <v>0</v>
      </c>
      <c r="H1608" s="13">
        <f t="shared" si="25"/>
        <v>0</v>
      </c>
    </row>
    <row r="1609" spans="2:8" ht="13.5" thickBot="1" x14ac:dyDescent="0.35">
      <c r="B1609" s="9"/>
      <c r="C1609" s="14" t="s">
        <v>954</v>
      </c>
      <c r="D1609" s="14" t="s">
        <v>29</v>
      </c>
      <c r="E1609" s="18" t="s">
        <v>8</v>
      </c>
      <c r="F1609" s="17" t="s">
        <v>23</v>
      </c>
      <c r="G1609" s="17">
        <f>G1606</f>
        <v>0</v>
      </c>
      <c r="H1609" s="13">
        <f t="shared" si="25"/>
        <v>0</v>
      </c>
    </row>
    <row r="1610" spans="2:8" s="2" customFormat="1" ht="13.5" thickBot="1" x14ac:dyDescent="0.35">
      <c r="B1610" s="9">
        <f>COUNT($B$4:B1609)+1</f>
        <v>569</v>
      </c>
      <c r="C1610" s="10" t="s">
        <v>956</v>
      </c>
      <c r="D1610" s="10"/>
      <c r="E1610" s="11" t="s">
        <v>8</v>
      </c>
      <c r="F1610" s="12" t="s">
        <v>23</v>
      </c>
      <c r="G1610" s="12"/>
      <c r="H1610" s="13">
        <f t="shared" si="25"/>
        <v>0</v>
      </c>
    </row>
    <row r="1611" spans="2:8" s="2" customFormat="1" ht="13.5" thickBot="1" x14ac:dyDescent="0.35">
      <c r="B1611" s="9"/>
      <c r="C1611" s="14" t="s">
        <v>235</v>
      </c>
      <c r="D1611" s="14" t="s">
        <v>25</v>
      </c>
      <c r="E1611" s="18" t="s">
        <v>9</v>
      </c>
      <c r="F1611" s="17" t="s">
        <v>23</v>
      </c>
      <c r="G1611" s="17">
        <f>G1610</f>
        <v>0</v>
      </c>
      <c r="H1611" s="13">
        <f t="shared" si="25"/>
        <v>0</v>
      </c>
    </row>
    <row r="1612" spans="2:8" s="2" customFormat="1" ht="13.5" thickBot="1" x14ac:dyDescent="0.35">
      <c r="B1612" s="9"/>
      <c r="C1612" s="14" t="s">
        <v>26</v>
      </c>
      <c r="D1612" s="14" t="s">
        <v>27</v>
      </c>
      <c r="E1612" s="18" t="s">
        <v>8</v>
      </c>
      <c r="F1612" s="17" t="s">
        <v>23</v>
      </c>
      <c r="G1612" s="17">
        <f>G1610</f>
        <v>0</v>
      </c>
      <c r="H1612" s="13">
        <f t="shared" si="25"/>
        <v>0</v>
      </c>
    </row>
    <row r="1613" spans="2:8" s="2" customFormat="1" ht="13.5" thickBot="1" x14ac:dyDescent="0.35">
      <c r="B1613" s="9"/>
      <c r="C1613" s="14" t="s">
        <v>957</v>
      </c>
      <c r="D1613" s="14" t="s">
        <v>29</v>
      </c>
      <c r="E1613" s="18" t="s">
        <v>8</v>
      </c>
      <c r="F1613" s="17" t="s">
        <v>23</v>
      </c>
      <c r="G1613" s="17">
        <f>G1610</f>
        <v>0</v>
      </c>
      <c r="H1613" s="13">
        <f t="shared" si="25"/>
        <v>0</v>
      </c>
    </row>
    <row r="1614" spans="2:8" s="2" customFormat="1" ht="13.5" thickBot="1" x14ac:dyDescent="0.35">
      <c r="B1614" s="9">
        <f>COUNT($B$4:B1613)+1</f>
        <v>570</v>
      </c>
      <c r="C1614" s="10" t="s">
        <v>958</v>
      </c>
      <c r="D1614" s="10"/>
      <c r="E1614" s="11" t="s">
        <v>8</v>
      </c>
      <c r="F1614" s="12" t="s">
        <v>23</v>
      </c>
      <c r="G1614" s="12"/>
      <c r="H1614" s="13">
        <f t="shared" si="25"/>
        <v>0</v>
      </c>
    </row>
    <row r="1615" spans="2:8" s="2" customFormat="1" ht="13.5" thickBot="1" x14ac:dyDescent="0.35">
      <c r="B1615" s="9"/>
      <c r="C1615" s="14" t="s">
        <v>235</v>
      </c>
      <c r="D1615" s="14" t="s">
        <v>25</v>
      </c>
      <c r="E1615" s="18" t="s">
        <v>9</v>
      </c>
      <c r="F1615" s="17" t="s">
        <v>23</v>
      </c>
      <c r="G1615" s="17">
        <f>G1614</f>
        <v>0</v>
      </c>
      <c r="H1615" s="13">
        <f t="shared" si="25"/>
        <v>0</v>
      </c>
    </row>
    <row r="1616" spans="2:8" s="2" customFormat="1" ht="13.5" thickBot="1" x14ac:dyDescent="0.35">
      <c r="B1616" s="9"/>
      <c r="C1616" s="14" t="s">
        <v>34</v>
      </c>
      <c r="D1616" s="14" t="s">
        <v>27</v>
      </c>
      <c r="E1616" s="18" t="s">
        <v>8</v>
      </c>
      <c r="F1616" s="17" t="s">
        <v>23</v>
      </c>
      <c r="G1616" s="17">
        <f>G1614</f>
        <v>0</v>
      </c>
      <c r="H1616" s="13">
        <f t="shared" si="25"/>
        <v>0</v>
      </c>
    </row>
    <row r="1617" spans="2:8" s="2" customFormat="1" ht="13.5" thickBot="1" x14ac:dyDescent="0.35">
      <c r="B1617" s="9"/>
      <c r="C1617" s="14" t="s">
        <v>957</v>
      </c>
      <c r="D1617" s="14" t="s">
        <v>29</v>
      </c>
      <c r="E1617" s="18" t="s">
        <v>8</v>
      </c>
      <c r="F1617" s="17" t="s">
        <v>23</v>
      </c>
      <c r="G1617" s="17">
        <f>G1614</f>
        <v>0</v>
      </c>
      <c r="H1617" s="13">
        <f t="shared" si="25"/>
        <v>0</v>
      </c>
    </row>
    <row r="1618" spans="2:8" ht="13.5" thickBot="1" x14ac:dyDescent="0.35">
      <c r="B1618" s="9">
        <f>COUNT($B$4:B1617)+1</f>
        <v>571</v>
      </c>
      <c r="C1618" s="10" t="s">
        <v>959</v>
      </c>
      <c r="D1618" s="10"/>
      <c r="E1618" s="11" t="s">
        <v>8</v>
      </c>
      <c r="F1618" s="12" t="s">
        <v>23</v>
      </c>
      <c r="G1618" s="12"/>
      <c r="H1618" s="13">
        <f t="shared" si="25"/>
        <v>0</v>
      </c>
    </row>
    <row r="1619" spans="2:8" ht="13.5" thickBot="1" x14ac:dyDescent="0.35">
      <c r="B1619" s="9"/>
      <c r="C1619" s="14" t="s">
        <v>235</v>
      </c>
      <c r="D1619" s="14" t="s">
        <v>25</v>
      </c>
      <c r="E1619" s="18" t="s">
        <v>9</v>
      </c>
      <c r="F1619" s="17" t="s">
        <v>23</v>
      </c>
      <c r="G1619" s="17">
        <f>G1618</f>
        <v>0</v>
      </c>
      <c r="H1619" s="13">
        <f t="shared" si="25"/>
        <v>0</v>
      </c>
    </row>
    <row r="1620" spans="2:8" ht="13.5" thickBot="1" x14ac:dyDescent="0.35">
      <c r="B1620" s="9"/>
      <c r="C1620" s="14" t="s">
        <v>26</v>
      </c>
      <c r="D1620" s="14" t="s">
        <v>27</v>
      </c>
      <c r="E1620" s="18" t="s">
        <v>8</v>
      </c>
      <c r="F1620" s="17" t="s">
        <v>23</v>
      </c>
      <c r="G1620" s="17">
        <f>G1618*2</f>
        <v>0</v>
      </c>
      <c r="H1620" s="13">
        <f t="shared" si="25"/>
        <v>0</v>
      </c>
    </row>
    <row r="1621" spans="2:8" ht="13.5" thickBot="1" x14ac:dyDescent="0.35">
      <c r="B1621" s="9"/>
      <c r="C1621" s="14" t="s">
        <v>954</v>
      </c>
      <c r="D1621" s="14" t="s">
        <v>29</v>
      </c>
      <c r="E1621" s="18" t="s">
        <v>8</v>
      </c>
      <c r="F1621" s="17" t="s">
        <v>23</v>
      </c>
      <c r="G1621" s="17">
        <f>G1618</f>
        <v>0</v>
      </c>
      <c r="H1621" s="13">
        <f t="shared" si="25"/>
        <v>0</v>
      </c>
    </row>
    <row r="1622" spans="2:8" ht="13.5" thickBot="1" x14ac:dyDescent="0.35">
      <c r="B1622" s="9"/>
      <c r="C1622" s="14" t="s">
        <v>31</v>
      </c>
      <c r="D1622" s="14" t="s">
        <v>32</v>
      </c>
      <c r="E1622" s="18" t="s">
        <v>8</v>
      </c>
      <c r="F1622" s="17" t="s">
        <v>23</v>
      </c>
      <c r="G1622" s="17">
        <f>G1618</f>
        <v>0</v>
      </c>
      <c r="H1622" s="13">
        <f t="shared" si="25"/>
        <v>0</v>
      </c>
    </row>
    <row r="1623" spans="2:8" ht="13.5" thickBot="1" x14ac:dyDescent="0.35">
      <c r="B1623" s="9">
        <f>COUNT($B$4:B1622)+1</f>
        <v>572</v>
      </c>
      <c r="C1623" s="10" t="s">
        <v>960</v>
      </c>
      <c r="D1623" s="10"/>
      <c r="E1623" s="11" t="s">
        <v>8</v>
      </c>
      <c r="F1623" s="12" t="s">
        <v>23</v>
      </c>
      <c r="G1623" s="12"/>
      <c r="H1623" s="13">
        <f t="shared" si="25"/>
        <v>0</v>
      </c>
    </row>
    <row r="1624" spans="2:8" ht="13.5" thickBot="1" x14ac:dyDescent="0.35">
      <c r="B1624" s="9"/>
      <c r="C1624" s="14" t="s">
        <v>235</v>
      </c>
      <c r="D1624" s="14" t="s">
        <v>25</v>
      </c>
      <c r="E1624" s="18" t="s">
        <v>9</v>
      </c>
      <c r="F1624" s="17" t="s">
        <v>23</v>
      </c>
      <c r="G1624" s="17">
        <f>G1623</f>
        <v>0</v>
      </c>
      <c r="H1624" s="13">
        <f t="shared" si="25"/>
        <v>0</v>
      </c>
    </row>
    <row r="1625" spans="2:8" ht="13.5" thickBot="1" x14ac:dyDescent="0.35">
      <c r="B1625" s="9"/>
      <c r="C1625" s="14" t="s">
        <v>34</v>
      </c>
      <c r="D1625" s="14" t="s">
        <v>27</v>
      </c>
      <c r="E1625" s="18" t="s">
        <v>8</v>
      </c>
      <c r="F1625" s="17" t="s">
        <v>23</v>
      </c>
      <c r="G1625" s="17">
        <f>G1623*2</f>
        <v>0</v>
      </c>
      <c r="H1625" s="13">
        <f t="shared" si="25"/>
        <v>0</v>
      </c>
    </row>
    <row r="1626" spans="2:8" ht="13.5" thickBot="1" x14ac:dyDescent="0.35">
      <c r="B1626" s="9"/>
      <c r="C1626" s="14" t="s">
        <v>954</v>
      </c>
      <c r="D1626" s="14" t="s">
        <v>29</v>
      </c>
      <c r="E1626" s="18" t="s">
        <v>8</v>
      </c>
      <c r="F1626" s="17" t="s">
        <v>23</v>
      </c>
      <c r="G1626" s="17">
        <f>G1623</f>
        <v>0</v>
      </c>
      <c r="H1626" s="13">
        <f t="shared" si="25"/>
        <v>0</v>
      </c>
    </row>
    <row r="1627" spans="2:8" ht="13.5" thickBot="1" x14ac:dyDescent="0.35">
      <c r="B1627" s="9"/>
      <c r="C1627" s="14" t="s">
        <v>31</v>
      </c>
      <c r="D1627" s="14" t="s">
        <v>32</v>
      </c>
      <c r="E1627" s="18" t="s">
        <v>8</v>
      </c>
      <c r="F1627" s="17" t="s">
        <v>23</v>
      </c>
      <c r="G1627" s="17">
        <f>G1623</f>
        <v>0</v>
      </c>
      <c r="H1627" s="13">
        <f t="shared" si="25"/>
        <v>0</v>
      </c>
    </row>
    <row r="1628" spans="2:8" ht="13.5" thickBot="1" x14ac:dyDescent="0.35">
      <c r="B1628" s="9">
        <f>COUNT($B$4:B1627)+1</f>
        <v>573</v>
      </c>
      <c r="C1628" s="10" t="s">
        <v>961</v>
      </c>
      <c r="D1628" s="10"/>
      <c r="E1628" s="11" t="s">
        <v>8</v>
      </c>
      <c r="F1628" s="12" t="s">
        <v>23</v>
      </c>
      <c r="G1628" s="12"/>
      <c r="H1628" s="13">
        <f t="shared" si="25"/>
        <v>0</v>
      </c>
    </row>
    <row r="1629" spans="2:8" ht="13.5" thickBot="1" x14ac:dyDescent="0.35">
      <c r="B1629" s="9"/>
      <c r="C1629" s="14" t="s">
        <v>235</v>
      </c>
      <c r="D1629" s="14" t="s">
        <v>25</v>
      </c>
      <c r="E1629" s="18" t="s">
        <v>9</v>
      </c>
      <c r="F1629" s="17" t="s">
        <v>23</v>
      </c>
      <c r="G1629" s="17">
        <f>G1628</f>
        <v>0</v>
      </c>
      <c r="H1629" s="13">
        <f t="shared" si="25"/>
        <v>0</v>
      </c>
    </row>
    <row r="1630" spans="2:8" ht="13.5" thickBot="1" x14ac:dyDescent="0.35">
      <c r="B1630" s="9"/>
      <c r="C1630" s="14" t="s">
        <v>962</v>
      </c>
      <c r="D1630" s="14" t="s">
        <v>27</v>
      </c>
      <c r="E1630" s="18" t="s">
        <v>8</v>
      </c>
      <c r="F1630" s="17" t="s">
        <v>23</v>
      </c>
      <c r="G1630" s="17">
        <f>G1628</f>
        <v>0</v>
      </c>
      <c r="H1630" s="13">
        <f t="shared" si="25"/>
        <v>0</v>
      </c>
    </row>
    <row r="1631" spans="2:8" ht="13.5" thickBot="1" x14ac:dyDescent="0.35">
      <c r="B1631" s="9"/>
      <c r="C1631" s="14" t="s">
        <v>963</v>
      </c>
      <c r="D1631" s="14"/>
      <c r="E1631" s="18" t="s">
        <v>8</v>
      </c>
      <c r="F1631" s="17" t="s">
        <v>23</v>
      </c>
      <c r="G1631" s="17">
        <f>G1628</f>
        <v>0</v>
      </c>
      <c r="H1631" s="13">
        <f t="shared" si="25"/>
        <v>0</v>
      </c>
    </row>
    <row r="1632" spans="2:8" ht="13.5" thickBot="1" x14ac:dyDescent="0.35">
      <c r="B1632" s="9"/>
      <c r="C1632" s="14" t="s">
        <v>964</v>
      </c>
      <c r="D1632" s="14" t="s">
        <v>29</v>
      </c>
      <c r="E1632" s="18" t="s">
        <v>8</v>
      </c>
      <c r="F1632" s="17" t="s">
        <v>23</v>
      </c>
      <c r="G1632" s="17">
        <f>G1628</f>
        <v>0</v>
      </c>
      <c r="H1632" s="13">
        <f t="shared" si="25"/>
        <v>0</v>
      </c>
    </row>
    <row r="1633" spans="2:8" ht="13.5" thickBot="1" x14ac:dyDescent="0.35">
      <c r="B1633" s="9">
        <f>COUNT($B$4:B1632)+1</f>
        <v>574</v>
      </c>
      <c r="C1633" s="10" t="s">
        <v>965</v>
      </c>
      <c r="D1633" s="10"/>
      <c r="E1633" s="11" t="s">
        <v>8</v>
      </c>
      <c r="F1633" s="12" t="s">
        <v>23</v>
      </c>
      <c r="G1633" s="12"/>
      <c r="H1633" s="13">
        <f t="shared" si="25"/>
        <v>0</v>
      </c>
    </row>
    <row r="1634" spans="2:8" ht="13.5" thickBot="1" x14ac:dyDescent="0.35">
      <c r="B1634" s="9"/>
      <c r="C1634" s="14" t="s">
        <v>235</v>
      </c>
      <c r="D1634" s="14" t="s">
        <v>25</v>
      </c>
      <c r="E1634" s="18" t="s">
        <v>9</v>
      </c>
      <c r="F1634" s="17" t="s">
        <v>23</v>
      </c>
      <c r="G1634" s="17">
        <f>G1633</f>
        <v>0</v>
      </c>
      <c r="H1634" s="13">
        <f t="shared" si="25"/>
        <v>0</v>
      </c>
    </row>
    <row r="1635" spans="2:8" ht="13.5" thickBot="1" x14ac:dyDescent="0.35">
      <c r="B1635" s="9"/>
      <c r="C1635" s="14" t="s">
        <v>966</v>
      </c>
      <c r="D1635" s="14" t="s">
        <v>27</v>
      </c>
      <c r="E1635" s="18" t="s">
        <v>8</v>
      </c>
      <c r="F1635" s="17" t="s">
        <v>23</v>
      </c>
      <c r="G1635" s="17">
        <f>G1633*2</f>
        <v>0</v>
      </c>
      <c r="H1635" s="13">
        <f t="shared" si="25"/>
        <v>0</v>
      </c>
    </row>
    <row r="1636" spans="2:8" ht="13.5" thickBot="1" x14ac:dyDescent="0.35">
      <c r="B1636" s="9"/>
      <c r="C1636" s="14" t="s">
        <v>967</v>
      </c>
      <c r="D1636" s="14" t="s">
        <v>29</v>
      </c>
      <c r="E1636" s="18" t="s">
        <v>8</v>
      </c>
      <c r="F1636" s="17" t="s">
        <v>23</v>
      </c>
      <c r="G1636" s="17">
        <f>G1633</f>
        <v>0</v>
      </c>
      <c r="H1636" s="13">
        <f t="shared" si="25"/>
        <v>0</v>
      </c>
    </row>
    <row r="1637" spans="2:8" ht="13.5" thickBot="1" x14ac:dyDescent="0.35">
      <c r="B1637" s="9"/>
      <c r="C1637" s="14" t="s">
        <v>968</v>
      </c>
      <c r="D1637" s="14" t="s">
        <v>27</v>
      </c>
      <c r="E1637" s="18" t="s">
        <v>8</v>
      </c>
      <c r="F1637" s="17" t="s">
        <v>23</v>
      </c>
      <c r="G1637" s="17">
        <f>G1633</f>
        <v>0</v>
      </c>
      <c r="H1637" s="13">
        <f t="shared" si="25"/>
        <v>0</v>
      </c>
    </row>
    <row r="1638" spans="2:8" ht="13.5" thickBot="1" x14ac:dyDescent="0.35">
      <c r="B1638" s="9">
        <f>COUNT($B$4:B1637)+1</f>
        <v>575</v>
      </c>
      <c r="C1638" s="10" t="s">
        <v>969</v>
      </c>
      <c r="D1638" s="10"/>
      <c r="E1638" s="11" t="s">
        <v>8</v>
      </c>
      <c r="F1638" s="12" t="s">
        <v>23</v>
      </c>
      <c r="G1638" s="12"/>
      <c r="H1638" s="13">
        <f t="shared" si="25"/>
        <v>0</v>
      </c>
    </row>
    <row r="1639" spans="2:8" ht="13.5" thickBot="1" x14ac:dyDescent="0.35">
      <c r="B1639" s="9"/>
      <c r="C1639" s="14" t="s">
        <v>235</v>
      </c>
      <c r="D1639" s="14" t="s">
        <v>25</v>
      </c>
      <c r="E1639" s="18" t="s">
        <v>9</v>
      </c>
      <c r="F1639" s="17" t="s">
        <v>23</v>
      </c>
      <c r="G1639" s="17">
        <f>G1638</f>
        <v>0</v>
      </c>
      <c r="H1639" s="13">
        <f t="shared" si="25"/>
        <v>0</v>
      </c>
    </row>
    <row r="1640" spans="2:8" ht="13.5" thickBot="1" x14ac:dyDescent="0.35">
      <c r="B1640" s="9"/>
      <c r="C1640" s="14" t="s">
        <v>970</v>
      </c>
      <c r="D1640" s="14" t="s">
        <v>27</v>
      </c>
      <c r="E1640" s="18" t="s">
        <v>8</v>
      </c>
      <c r="F1640" s="17" t="s">
        <v>23</v>
      </c>
      <c r="G1640" s="17">
        <f>G1638*2</f>
        <v>0</v>
      </c>
      <c r="H1640" s="13">
        <f t="shared" si="25"/>
        <v>0</v>
      </c>
    </row>
    <row r="1641" spans="2:8" ht="13.5" thickBot="1" x14ac:dyDescent="0.35">
      <c r="B1641" s="9"/>
      <c r="C1641" s="14" t="s">
        <v>967</v>
      </c>
      <c r="D1641" s="14" t="s">
        <v>29</v>
      </c>
      <c r="E1641" s="18" t="s">
        <v>8</v>
      </c>
      <c r="F1641" s="17" t="s">
        <v>23</v>
      </c>
      <c r="G1641" s="17">
        <f>G1638</f>
        <v>0</v>
      </c>
      <c r="H1641" s="13">
        <f t="shared" si="25"/>
        <v>0</v>
      </c>
    </row>
    <row r="1642" spans="2:8" ht="13.5" thickBot="1" x14ac:dyDescent="0.35">
      <c r="B1642" s="9"/>
      <c r="C1642" s="14" t="s">
        <v>968</v>
      </c>
      <c r="D1642" s="14" t="s">
        <v>27</v>
      </c>
      <c r="E1642" s="18" t="s">
        <v>8</v>
      </c>
      <c r="F1642" s="17" t="s">
        <v>23</v>
      </c>
      <c r="G1642" s="17">
        <f>G1638</f>
        <v>0</v>
      </c>
      <c r="H1642" s="13">
        <f t="shared" si="25"/>
        <v>0</v>
      </c>
    </row>
    <row r="1643" spans="2:8" ht="13.5" thickBot="1" x14ac:dyDescent="0.35">
      <c r="B1643" s="9">
        <f>COUNT($B$4:B1642)+1</f>
        <v>576</v>
      </c>
      <c r="C1643" s="10" t="s">
        <v>971</v>
      </c>
      <c r="D1643" s="10"/>
      <c r="E1643" s="11" t="s">
        <v>8</v>
      </c>
      <c r="F1643" s="12" t="s">
        <v>23</v>
      </c>
      <c r="G1643" s="12"/>
      <c r="H1643" s="13">
        <f t="shared" si="25"/>
        <v>0</v>
      </c>
    </row>
    <row r="1644" spans="2:8" ht="13.5" thickBot="1" x14ac:dyDescent="0.35">
      <c r="B1644" s="9"/>
      <c r="C1644" s="14" t="s">
        <v>235</v>
      </c>
      <c r="D1644" s="14" t="s">
        <v>25</v>
      </c>
      <c r="E1644" s="18" t="s">
        <v>9</v>
      </c>
      <c r="F1644" s="17" t="s">
        <v>23</v>
      </c>
      <c r="G1644" s="17">
        <f>G1643</f>
        <v>0</v>
      </c>
      <c r="H1644" s="13">
        <f t="shared" si="25"/>
        <v>0</v>
      </c>
    </row>
    <row r="1645" spans="2:8" ht="13.5" thickBot="1" x14ac:dyDescent="0.35">
      <c r="B1645" s="9"/>
      <c r="C1645" s="14" t="s">
        <v>966</v>
      </c>
      <c r="D1645" s="14" t="s">
        <v>27</v>
      </c>
      <c r="E1645" s="18" t="s">
        <v>8</v>
      </c>
      <c r="F1645" s="17" t="s">
        <v>23</v>
      </c>
      <c r="G1645" s="17">
        <f>G1643*2</f>
        <v>0</v>
      </c>
      <c r="H1645" s="13">
        <f t="shared" si="25"/>
        <v>0</v>
      </c>
    </row>
    <row r="1646" spans="2:8" ht="13.5" thickBot="1" x14ac:dyDescent="0.35">
      <c r="B1646" s="9"/>
      <c r="C1646" s="14" t="s">
        <v>972</v>
      </c>
      <c r="D1646" s="14" t="s">
        <v>29</v>
      </c>
      <c r="E1646" s="18" t="s">
        <v>8</v>
      </c>
      <c r="F1646" s="17" t="s">
        <v>23</v>
      </c>
      <c r="G1646" s="17">
        <f>G1643</f>
        <v>0</v>
      </c>
      <c r="H1646" s="13">
        <f t="shared" si="25"/>
        <v>0</v>
      </c>
    </row>
    <row r="1647" spans="2:8" ht="13.5" thickBot="1" x14ac:dyDescent="0.35">
      <c r="B1647" s="9"/>
      <c r="C1647" s="14" t="s">
        <v>968</v>
      </c>
      <c r="D1647" s="14" t="s">
        <v>27</v>
      </c>
      <c r="E1647" s="18" t="s">
        <v>8</v>
      </c>
      <c r="F1647" s="17" t="s">
        <v>23</v>
      </c>
      <c r="G1647" s="17">
        <f>G1643</f>
        <v>0</v>
      </c>
      <c r="H1647" s="13">
        <f t="shared" si="25"/>
        <v>0</v>
      </c>
    </row>
    <row r="1648" spans="2:8" ht="13.5" thickBot="1" x14ac:dyDescent="0.35">
      <c r="B1648" s="9">
        <f>COUNT($B$4:B1647)+1</f>
        <v>577</v>
      </c>
      <c r="C1648" s="10" t="s">
        <v>973</v>
      </c>
      <c r="D1648" s="10"/>
      <c r="E1648" s="11" t="s">
        <v>8</v>
      </c>
      <c r="F1648" s="12" t="s">
        <v>23</v>
      </c>
      <c r="G1648" s="12"/>
      <c r="H1648" s="13">
        <f t="shared" si="25"/>
        <v>0</v>
      </c>
    </row>
    <row r="1649" spans="2:8" ht="13.5" thickBot="1" x14ac:dyDescent="0.35">
      <c r="B1649" s="9"/>
      <c r="C1649" s="14" t="s">
        <v>235</v>
      </c>
      <c r="D1649" s="14" t="s">
        <v>25</v>
      </c>
      <c r="E1649" s="18" t="s">
        <v>9</v>
      </c>
      <c r="F1649" s="17" t="s">
        <v>23</v>
      </c>
      <c r="G1649" s="17">
        <f>G1648</f>
        <v>0</v>
      </c>
      <c r="H1649" s="13">
        <f t="shared" si="25"/>
        <v>0</v>
      </c>
    </row>
    <row r="1650" spans="2:8" ht="13.5" thickBot="1" x14ac:dyDescent="0.35">
      <c r="B1650" s="9"/>
      <c r="C1650" s="14" t="s">
        <v>970</v>
      </c>
      <c r="D1650" s="14" t="s">
        <v>27</v>
      </c>
      <c r="E1650" s="18" t="s">
        <v>8</v>
      </c>
      <c r="F1650" s="17" t="s">
        <v>23</v>
      </c>
      <c r="G1650" s="17">
        <f>G1648*2</f>
        <v>0</v>
      </c>
      <c r="H1650" s="13">
        <f t="shared" si="25"/>
        <v>0</v>
      </c>
    </row>
    <row r="1651" spans="2:8" ht="13.5" thickBot="1" x14ac:dyDescent="0.35">
      <c r="B1651" s="9"/>
      <c r="C1651" s="14" t="s">
        <v>972</v>
      </c>
      <c r="D1651" s="14" t="s">
        <v>29</v>
      </c>
      <c r="E1651" s="18" t="s">
        <v>8</v>
      </c>
      <c r="F1651" s="17" t="s">
        <v>23</v>
      </c>
      <c r="G1651" s="17">
        <f>G1648</f>
        <v>0</v>
      </c>
      <c r="H1651" s="13">
        <f t="shared" si="25"/>
        <v>0</v>
      </c>
    </row>
    <row r="1652" spans="2:8" ht="13.5" thickBot="1" x14ac:dyDescent="0.35">
      <c r="B1652" s="9"/>
      <c r="C1652" s="14" t="s">
        <v>968</v>
      </c>
      <c r="D1652" s="14" t="s">
        <v>27</v>
      </c>
      <c r="E1652" s="18" t="s">
        <v>8</v>
      </c>
      <c r="F1652" s="17" t="s">
        <v>23</v>
      </c>
      <c r="G1652" s="17">
        <f>G1648</f>
        <v>0</v>
      </c>
      <c r="H1652" s="13">
        <f t="shared" si="25"/>
        <v>0</v>
      </c>
    </row>
    <row r="1653" spans="2:8" ht="13.5" thickBot="1" x14ac:dyDescent="0.35">
      <c r="B1653" s="9">
        <f>COUNT($B$4:B1652)+1</f>
        <v>578</v>
      </c>
      <c r="C1653" s="10" t="s">
        <v>974</v>
      </c>
      <c r="D1653" s="10"/>
      <c r="E1653" s="11" t="s">
        <v>8</v>
      </c>
      <c r="F1653" s="12" t="s">
        <v>23</v>
      </c>
      <c r="G1653" s="12"/>
      <c r="H1653" s="13">
        <f t="shared" si="25"/>
        <v>0</v>
      </c>
    </row>
    <row r="1654" spans="2:8" ht="13.5" thickBot="1" x14ac:dyDescent="0.35">
      <c r="B1654" s="9"/>
      <c r="C1654" s="14" t="s">
        <v>235</v>
      </c>
      <c r="D1654" s="14" t="s">
        <v>25</v>
      </c>
      <c r="E1654" s="18" t="s">
        <v>9</v>
      </c>
      <c r="F1654" s="17" t="s">
        <v>23</v>
      </c>
      <c r="G1654" s="17">
        <f>G1653</f>
        <v>0</v>
      </c>
      <c r="H1654" s="13">
        <f t="shared" si="25"/>
        <v>0</v>
      </c>
    </row>
    <row r="1655" spans="2:8" ht="13.5" thickBot="1" x14ac:dyDescent="0.35">
      <c r="B1655" s="9"/>
      <c r="C1655" s="14" t="s">
        <v>975</v>
      </c>
      <c r="D1655" s="14" t="s">
        <v>27</v>
      </c>
      <c r="E1655" s="18" t="s">
        <v>8</v>
      </c>
      <c r="F1655" s="17" t="s">
        <v>23</v>
      </c>
      <c r="G1655" s="17">
        <f>G1653*2</f>
        <v>0</v>
      </c>
      <c r="H1655" s="13">
        <f t="shared" si="25"/>
        <v>0</v>
      </c>
    </row>
    <row r="1656" spans="2:8" ht="13.5" thickBot="1" x14ac:dyDescent="0.35">
      <c r="B1656" s="9"/>
      <c r="C1656" s="14" t="s">
        <v>967</v>
      </c>
      <c r="D1656" s="14" t="s">
        <v>29</v>
      </c>
      <c r="E1656" s="18" t="s">
        <v>8</v>
      </c>
      <c r="F1656" s="17" t="s">
        <v>23</v>
      </c>
      <c r="G1656" s="17">
        <f>G1653</f>
        <v>0</v>
      </c>
      <c r="H1656" s="13">
        <f t="shared" si="25"/>
        <v>0</v>
      </c>
    </row>
    <row r="1657" spans="2:8" ht="13.5" thickBot="1" x14ac:dyDescent="0.35">
      <c r="B1657" s="9"/>
      <c r="C1657" s="14" t="s">
        <v>976</v>
      </c>
      <c r="D1657" s="14" t="s">
        <v>27</v>
      </c>
      <c r="E1657" s="18" t="s">
        <v>8</v>
      </c>
      <c r="F1657" s="17" t="s">
        <v>23</v>
      </c>
      <c r="G1657" s="17">
        <f>G1653</f>
        <v>0</v>
      </c>
      <c r="H1657" s="13">
        <f t="shared" si="25"/>
        <v>0</v>
      </c>
    </row>
    <row r="1658" spans="2:8" ht="13.5" thickBot="1" x14ac:dyDescent="0.35">
      <c r="B1658" s="9">
        <f>COUNT($B$4:B1657)+1</f>
        <v>579</v>
      </c>
      <c r="C1658" s="10" t="s">
        <v>977</v>
      </c>
      <c r="D1658" s="10"/>
      <c r="E1658" s="11" t="s">
        <v>8</v>
      </c>
      <c r="F1658" s="12" t="s">
        <v>23</v>
      </c>
      <c r="G1658" s="12"/>
      <c r="H1658" s="13">
        <f t="shared" si="25"/>
        <v>0</v>
      </c>
    </row>
    <row r="1659" spans="2:8" ht="13.5" thickBot="1" x14ac:dyDescent="0.35">
      <c r="B1659" s="9"/>
      <c r="C1659" s="14" t="s">
        <v>235</v>
      </c>
      <c r="D1659" s="14" t="s">
        <v>25</v>
      </c>
      <c r="E1659" s="18" t="s">
        <v>9</v>
      </c>
      <c r="F1659" s="17" t="s">
        <v>23</v>
      </c>
      <c r="G1659" s="17">
        <f>G1658</f>
        <v>0</v>
      </c>
      <c r="H1659" s="13">
        <f t="shared" si="25"/>
        <v>0</v>
      </c>
    </row>
    <row r="1660" spans="2:8" ht="13.5" thickBot="1" x14ac:dyDescent="0.35">
      <c r="B1660" s="9"/>
      <c r="C1660" s="14" t="s">
        <v>978</v>
      </c>
      <c r="D1660" s="14" t="s">
        <v>27</v>
      </c>
      <c r="E1660" s="18" t="s">
        <v>8</v>
      </c>
      <c r="F1660" s="17" t="s">
        <v>23</v>
      </c>
      <c r="G1660" s="17">
        <f>G1658*2</f>
        <v>0</v>
      </c>
      <c r="H1660" s="13">
        <f t="shared" si="25"/>
        <v>0</v>
      </c>
    </row>
    <row r="1661" spans="2:8" ht="13.5" thickBot="1" x14ac:dyDescent="0.35">
      <c r="B1661" s="9"/>
      <c r="C1661" s="14" t="s">
        <v>967</v>
      </c>
      <c r="D1661" s="14" t="s">
        <v>29</v>
      </c>
      <c r="E1661" s="18" t="s">
        <v>8</v>
      </c>
      <c r="F1661" s="17" t="s">
        <v>23</v>
      </c>
      <c r="G1661" s="17">
        <f>G1658</f>
        <v>0</v>
      </c>
      <c r="H1661" s="13">
        <f t="shared" si="25"/>
        <v>0</v>
      </c>
    </row>
    <row r="1662" spans="2:8" ht="13.5" thickBot="1" x14ac:dyDescent="0.35">
      <c r="B1662" s="9"/>
      <c r="C1662" s="14" t="s">
        <v>976</v>
      </c>
      <c r="D1662" s="14" t="s">
        <v>27</v>
      </c>
      <c r="E1662" s="18" t="s">
        <v>8</v>
      </c>
      <c r="F1662" s="17" t="s">
        <v>23</v>
      </c>
      <c r="G1662" s="17">
        <f>G1658</f>
        <v>0</v>
      </c>
      <c r="H1662" s="13">
        <f t="shared" si="25"/>
        <v>0</v>
      </c>
    </row>
    <row r="1663" spans="2:8" ht="13.5" thickBot="1" x14ac:dyDescent="0.35">
      <c r="B1663" s="9">
        <f>COUNT($B$4:B1662)+1</f>
        <v>580</v>
      </c>
      <c r="C1663" s="10" t="s">
        <v>979</v>
      </c>
      <c r="D1663" s="10"/>
      <c r="E1663" s="11" t="s">
        <v>8</v>
      </c>
      <c r="F1663" s="12" t="s">
        <v>23</v>
      </c>
      <c r="G1663" s="12"/>
      <c r="H1663" s="13">
        <f t="shared" si="25"/>
        <v>0</v>
      </c>
    </row>
    <row r="1664" spans="2:8" ht="13.5" thickBot="1" x14ac:dyDescent="0.35">
      <c r="B1664" s="9"/>
      <c r="C1664" s="14" t="s">
        <v>235</v>
      </c>
      <c r="D1664" s="14" t="s">
        <v>25</v>
      </c>
      <c r="E1664" s="18" t="s">
        <v>9</v>
      </c>
      <c r="F1664" s="17" t="s">
        <v>23</v>
      </c>
      <c r="G1664" s="17">
        <f>G1663</f>
        <v>0</v>
      </c>
      <c r="H1664" s="13">
        <f t="shared" si="25"/>
        <v>0</v>
      </c>
    </row>
    <row r="1665" spans="2:8" ht="13.5" thickBot="1" x14ac:dyDescent="0.35">
      <c r="B1665" s="9"/>
      <c r="C1665" s="14" t="s">
        <v>975</v>
      </c>
      <c r="D1665" s="14" t="s">
        <v>27</v>
      </c>
      <c r="E1665" s="18" t="s">
        <v>8</v>
      </c>
      <c r="F1665" s="17" t="s">
        <v>23</v>
      </c>
      <c r="G1665" s="17">
        <f>G1663*2</f>
        <v>0</v>
      </c>
      <c r="H1665" s="13">
        <f t="shared" si="25"/>
        <v>0</v>
      </c>
    </row>
    <row r="1666" spans="2:8" ht="13.5" thickBot="1" x14ac:dyDescent="0.35">
      <c r="B1666" s="9"/>
      <c r="C1666" s="14" t="s">
        <v>972</v>
      </c>
      <c r="D1666" s="14" t="s">
        <v>29</v>
      </c>
      <c r="E1666" s="18" t="s">
        <v>8</v>
      </c>
      <c r="F1666" s="17" t="s">
        <v>23</v>
      </c>
      <c r="G1666" s="17">
        <f>G1663</f>
        <v>0</v>
      </c>
      <c r="H1666" s="13">
        <f t="shared" si="25"/>
        <v>0</v>
      </c>
    </row>
    <row r="1667" spans="2:8" ht="13.5" thickBot="1" x14ac:dyDescent="0.35">
      <c r="B1667" s="9"/>
      <c r="C1667" s="14" t="s">
        <v>976</v>
      </c>
      <c r="D1667" s="14" t="s">
        <v>27</v>
      </c>
      <c r="E1667" s="18" t="s">
        <v>8</v>
      </c>
      <c r="F1667" s="17" t="s">
        <v>23</v>
      </c>
      <c r="G1667" s="17">
        <f>G1663</f>
        <v>0</v>
      </c>
      <c r="H1667" s="13">
        <f t="shared" si="25"/>
        <v>0</v>
      </c>
    </row>
    <row r="1668" spans="2:8" ht="13.5" thickBot="1" x14ac:dyDescent="0.35">
      <c r="B1668" s="9">
        <f>COUNT($B$4:B1667)+1</f>
        <v>581</v>
      </c>
      <c r="C1668" s="10" t="s">
        <v>980</v>
      </c>
      <c r="D1668" s="10"/>
      <c r="E1668" s="11" t="s">
        <v>8</v>
      </c>
      <c r="F1668" s="12" t="s">
        <v>23</v>
      </c>
      <c r="G1668" s="12"/>
      <c r="H1668" s="13">
        <f t="shared" si="25"/>
        <v>0</v>
      </c>
    </row>
    <row r="1669" spans="2:8" ht="13.5" thickBot="1" x14ac:dyDescent="0.35">
      <c r="B1669" s="9"/>
      <c r="C1669" s="14" t="s">
        <v>235</v>
      </c>
      <c r="D1669" s="14" t="s">
        <v>25</v>
      </c>
      <c r="E1669" s="18" t="s">
        <v>9</v>
      </c>
      <c r="F1669" s="17" t="s">
        <v>23</v>
      </c>
      <c r="G1669" s="17">
        <f>G1668</f>
        <v>0</v>
      </c>
      <c r="H1669" s="13">
        <f t="shared" ref="H1669:H1732" si="26">SUM(G1669:G1669)</f>
        <v>0</v>
      </c>
    </row>
    <row r="1670" spans="2:8" ht="13.5" thickBot="1" x14ac:dyDescent="0.35">
      <c r="B1670" s="9"/>
      <c r="C1670" s="14" t="s">
        <v>978</v>
      </c>
      <c r="D1670" s="14" t="s">
        <v>27</v>
      </c>
      <c r="E1670" s="18" t="s">
        <v>8</v>
      </c>
      <c r="F1670" s="17" t="s">
        <v>23</v>
      </c>
      <c r="G1670" s="17">
        <f>G1668*2</f>
        <v>0</v>
      </c>
      <c r="H1670" s="13">
        <f t="shared" si="26"/>
        <v>0</v>
      </c>
    </row>
    <row r="1671" spans="2:8" ht="13.5" thickBot="1" x14ac:dyDescent="0.35">
      <c r="B1671" s="9"/>
      <c r="C1671" s="14" t="s">
        <v>972</v>
      </c>
      <c r="D1671" s="14" t="s">
        <v>29</v>
      </c>
      <c r="E1671" s="18" t="s">
        <v>8</v>
      </c>
      <c r="F1671" s="17" t="s">
        <v>23</v>
      </c>
      <c r="G1671" s="17">
        <f>G1668</f>
        <v>0</v>
      </c>
      <c r="H1671" s="13">
        <f t="shared" si="26"/>
        <v>0</v>
      </c>
    </row>
    <row r="1672" spans="2:8" ht="13.5" thickBot="1" x14ac:dyDescent="0.35">
      <c r="B1672" s="9"/>
      <c r="C1672" s="14" t="s">
        <v>976</v>
      </c>
      <c r="D1672" s="14" t="s">
        <v>27</v>
      </c>
      <c r="E1672" s="18" t="s">
        <v>8</v>
      </c>
      <c r="F1672" s="17" t="s">
        <v>23</v>
      </c>
      <c r="G1672" s="17">
        <f>G1668</f>
        <v>0</v>
      </c>
      <c r="H1672" s="13">
        <f t="shared" si="26"/>
        <v>0</v>
      </c>
    </row>
    <row r="1673" spans="2:8" ht="13.5" thickBot="1" x14ac:dyDescent="0.35">
      <c r="B1673" s="9">
        <f>COUNT($B$4:B1672)+1</f>
        <v>582</v>
      </c>
      <c r="C1673" s="10" t="s">
        <v>981</v>
      </c>
      <c r="D1673" s="10"/>
      <c r="E1673" s="11" t="s">
        <v>8</v>
      </c>
      <c r="F1673" s="12" t="s">
        <v>23</v>
      </c>
      <c r="G1673" s="12"/>
      <c r="H1673" s="13">
        <f t="shared" si="26"/>
        <v>0</v>
      </c>
    </row>
    <row r="1674" spans="2:8" ht="13.5" thickBot="1" x14ac:dyDescent="0.35">
      <c r="B1674" s="9"/>
      <c r="C1674" s="14" t="s">
        <v>235</v>
      </c>
      <c r="D1674" s="14" t="s">
        <v>25</v>
      </c>
      <c r="E1674" s="18" t="s">
        <v>9</v>
      </c>
      <c r="F1674" s="17" t="s">
        <v>23</v>
      </c>
      <c r="G1674" s="17">
        <f>G1673</f>
        <v>0</v>
      </c>
      <c r="H1674" s="13">
        <f t="shared" si="26"/>
        <v>0</v>
      </c>
    </row>
    <row r="1675" spans="2:8" ht="13.5" thickBot="1" x14ac:dyDescent="0.35">
      <c r="B1675" s="9"/>
      <c r="C1675" s="14" t="s">
        <v>966</v>
      </c>
      <c r="D1675" s="14" t="s">
        <v>27</v>
      </c>
      <c r="E1675" s="18" t="s">
        <v>8</v>
      </c>
      <c r="F1675" s="17" t="s">
        <v>23</v>
      </c>
      <c r="G1675" s="17">
        <f>G1673*4</f>
        <v>0</v>
      </c>
      <c r="H1675" s="13">
        <f t="shared" si="26"/>
        <v>0</v>
      </c>
    </row>
    <row r="1676" spans="2:8" ht="13.5" thickBot="1" x14ac:dyDescent="0.35">
      <c r="B1676" s="9"/>
      <c r="C1676" s="14" t="s">
        <v>982</v>
      </c>
      <c r="D1676" s="14" t="s">
        <v>29</v>
      </c>
      <c r="E1676" s="18" t="s">
        <v>8</v>
      </c>
      <c r="F1676" s="17" t="s">
        <v>23</v>
      </c>
      <c r="G1676" s="17">
        <f>G1673</f>
        <v>0</v>
      </c>
      <c r="H1676" s="13">
        <f t="shared" si="26"/>
        <v>0</v>
      </c>
    </row>
    <row r="1677" spans="2:8" ht="13.5" thickBot="1" x14ac:dyDescent="0.35">
      <c r="B1677" s="9"/>
      <c r="C1677" s="14" t="s">
        <v>968</v>
      </c>
      <c r="D1677" s="14" t="s">
        <v>27</v>
      </c>
      <c r="E1677" s="18" t="s">
        <v>8</v>
      </c>
      <c r="F1677" s="17" t="s">
        <v>23</v>
      </c>
      <c r="G1677" s="17">
        <f>G1673*2</f>
        <v>0</v>
      </c>
      <c r="H1677" s="13">
        <f t="shared" si="26"/>
        <v>0</v>
      </c>
    </row>
    <row r="1678" spans="2:8" ht="13.5" thickBot="1" x14ac:dyDescent="0.35">
      <c r="B1678" s="9">
        <f>COUNT($B$4:B1677)+1</f>
        <v>583</v>
      </c>
      <c r="C1678" s="10" t="s">
        <v>983</v>
      </c>
      <c r="D1678" s="10"/>
      <c r="E1678" s="11" t="s">
        <v>8</v>
      </c>
      <c r="F1678" s="12" t="s">
        <v>23</v>
      </c>
      <c r="G1678" s="12"/>
      <c r="H1678" s="13">
        <f t="shared" si="26"/>
        <v>0</v>
      </c>
    </row>
    <row r="1679" spans="2:8" ht="13.5" thickBot="1" x14ac:dyDescent="0.35">
      <c r="B1679" s="9"/>
      <c r="C1679" s="14" t="s">
        <v>235</v>
      </c>
      <c r="D1679" s="14" t="s">
        <v>25</v>
      </c>
      <c r="E1679" s="18" t="s">
        <v>9</v>
      </c>
      <c r="F1679" s="17" t="s">
        <v>23</v>
      </c>
      <c r="G1679" s="17">
        <f>G1678</f>
        <v>0</v>
      </c>
      <c r="H1679" s="13">
        <f t="shared" si="26"/>
        <v>0</v>
      </c>
    </row>
    <row r="1680" spans="2:8" ht="13.5" thickBot="1" x14ac:dyDescent="0.35">
      <c r="B1680" s="9"/>
      <c r="C1680" s="14" t="s">
        <v>970</v>
      </c>
      <c r="D1680" s="14" t="s">
        <v>27</v>
      </c>
      <c r="E1680" s="18" t="s">
        <v>8</v>
      </c>
      <c r="F1680" s="17" t="s">
        <v>23</v>
      </c>
      <c r="G1680" s="17">
        <f>G1678*4</f>
        <v>0</v>
      </c>
      <c r="H1680" s="13">
        <f t="shared" si="26"/>
        <v>0</v>
      </c>
    </row>
    <row r="1681" spans="2:8" ht="13.5" thickBot="1" x14ac:dyDescent="0.35">
      <c r="B1681" s="9"/>
      <c r="C1681" s="14" t="s">
        <v>982</v>
      </c>
      <c r="D1681" s="14" t="s">
        <v>29</v>
      </c>
      <c r="E1681" s="18" t="s">
        <v>8</v>
      </c>
      <c r="F1681" s="17" t="s">
        <v>23</v>
      </c>
      <c r="G1681" s="17">
        <f>G1678</f>
        <v>0</v>
      </c>
      <c r="H1681" s="13">
        <f t="shared" si="26"/>
        <v>0</v>
      </c>
    </row>
    <row r="1682" spans="2:8" ht="13.5" thickBot="1" x14ac:dyDescent="0.35">
      <c r="B1682" s="9"/>
      <c r="C1682" s="14" t="s">
        <v>968</v>
      </c>
      <c r="D1682" s="14" t="s">
        <v>27</v>
      </c>
      <c r="E1682" s="18" t="s">
        <v>8</v>
      </c>
      <c r="F1682" s="17" t="s">
        <v>23</v>
      </c>
      <c r="G1682" s="17">
        <f>G1678*2</f>
        <v>0</v>
      </c>
      <c r="H1682" s="13">
        <f t="shared" si="26"/>
        <v>0</v>
      </c>
    </row>
    <row r="1683" spans="2:8" ht="13.5" thickBot="1" x14ac:dyDescent="0.35">
      <c r="B1683" s="9">
        <f>COUNT($B$4:B1682)+1</f>
        <v>584</v>
      </c>
      <c r="C1683" s="10" t="s">
        <v>984</v>
      </c>
      <c r="D1683" s="10"/>
      <c r="E1683" s="11" t="s">
        <v>8</v>
      </c>
      <c r="F1683" s="12" t="s">
        <v>23</v>
      </c>
      <c r="G1683" s="12"/>
      <c r="H1683" s="13">
        <f t="shared" si="26"/>
        <v>0</v>
      </c>
    </row>
    <row r="1684" spans="2:8" ht="13.5" thickBot="1" x14ac:dyDescent="0.35">
      <c r="B1684" s="9"/>
      <c r="C1684" s="14" t="s">
        <v>235</v>
      </c>
      <c r="D1684" s="14" t="s">
        <v>25</v>
      </c>
      <c r="E1684" s="18" t="s">
        <v>9</v>
      </c>
      <c r="F1684" s="17" t="s">
        <v>23</v>
      </c>
      <c r="G1684" s="17">
        <f>G1683</f>
        <v>0</v>
      </c>
      <c r="H1684" s="13">
        <f t="shared" si="26"/>
        <v>0</v>
      </c>
    </row>
    <row r="1685" spans="2:8" ht="13.5" thickBot="1" x14ac:dyDescent="0.35">
      <c r="B1685" s="9"/>
      <c r="C1685" s="14" t="s">
        <v>966</v>
      </c>
      <c r="D1685" s="14" t="s">
        <v>27</v>
      </c>
      <c r="E1685" s="18" t="s">
        <v>8</v>
      </c>
      <c r="F1685" s="17" t="s">
        <v>23</v>
      </c>
      <c r="G1685" s="17">
        <f>G1683*4</f>
        <v>0</v>
      </c>
      <c r="H1685" s="13">
        <f t="shared" si="26"/>
        <v>0</v>
      </c>
    </row>
    <row r="1686" spans="2:8" ht="13.5" thickBot="1" x14ac:dyDescent="0.35">
      <c r="B1686" s="9"/>
      <c r="C1686" s="14" t="s">
        <v>985</v>
      </c>
      <c r="D1686" s="14" t="s">
        <v>29</v>
      </c>
      <c r="E1686" s="18" t="s">
        <v>8</v>
      </c>
      <c r="F1686" s="17" t="s">
        <v>23</v>
      </c>
      <c r="G1686" s="17">
        <f>G1683</f>
        <v>0</v>
      </c>
      <c r="H1686" s="13">
        <f t="shared" si="26"/>
        <v>0</v>
      </c>
    </row>
    <row r="1687" spans="2:8" ht="13.5" thickBot="1" x14ac:dyDescent="0.35">
      <c r="B1687" s="9"/>
      <c r="C1687" s="14" t="s">
        <v>968</v>
      </c>
      <c r="D1687" s="14" t="s">
        <v>27</v>
      </c>
      <c r="E1687" s="18" t="s">
        <v>8</v>
      </c>
      <c r="F1687" s="17" t="s">
        <v>23</v>
      </c>
      <c r="G1687" s="17">
        <f>G1683*2</f>
        <v>0</v>
      </c>
      <c r="H1687" s="13">
        <f t="shared" si="26"/>
        <v>0</v>
      </c>
    </row>
    <row r="1688" spans="2:8" ht="13.5" thickBot="1" x14ac:dyDescent="0.35">
      <c r="B1688" s="9">
        <f>COUNT($B$4:B1687)+1</f>
        <v>585</v>
      </c>
      <c r="C1688" s="10" t="s">
        <v>986</v>
      </c>
      <c r="D1688" s="10"/>
      <c r="E1688" s="11" t="s">
        <v>8</v>
      </c>
      <c r="F1688" s="12" t="s">
        <v>23</v>
      </c>
      <c r="G1688" s="12"/>
      <c r="H1688" s="13">
        <f t="shared" si="26"/>
        <v>0</v>
      </c>
    </row>
    <row r="1689" spans="2:8" ht="13.5" thickBot="1" x14ac:dyDescent="0.35">
      <c r="B1689" s="9"/>
      <c r="C1689" s="14" t="s">
        <v>235</v>
      </c>
      <c r="D1689" s="14" t="s">
        <v>25</v>
      </c>
      <c r="E1689" s="18" t="s">
        <v>9</v>
      </c>
      <c r="F1689" s="17" t="s">
        <v>23</v>
      </c>
      <c r="G1689" s="17">
        <f>G1688</f>
        <v>0</v>
      </c>
      <c r="H1689" s="13">
        <f t="shared" si="26"/>
        <v>0</v>
      </c>
    </row>
    <row r="1690" spans="2:8" ht="13.5" thickBot="1" x14ac:dyDescent="0.35">
      <c r="B1690" s="9"/>
      <c r="C1690" s="14" t="s">
        <v>970</v>
      </c>
      <c r="D1690" s="14" t="s">
        <v>27</v>
      </c>
      <c r="E1690" s="18" t="s">
        <v>8</v>
      </c>
      <c r="F1690" s="17" t="s">
        <v>23</v>
      </c>
      <c r="G1690" s="17">
        <f>G1688*4</f>
        <v>0</v>
      </c>
      <c r="H1690" s="13">
        <f t="shared" si="26"/>
        <v>0</v>
      </c>
    </row>
    <row r="1691" spans="2:8" ht="13.5" thickBot="1" x14ac:dyDescent="0.35">
      <c r="B1691" s="9"/>
      <c r="C1691" s="14" t="s">
        <v>985</v>
      </c>
      <c r="D1691" s="14" t="s">
        <v>29</v>
      </c>
      <c r="E1691" s="18" t="s">
        <v>8</v>
      </c>
      <c r="F1691" s="17" t="s">
        <v>23</v>
      </c>
      <c r="G1691" s="17">
        <f>G1688</f>
        <v>0</v>
      </c>
      <c r="H1691" s="13">
        <f t="shared" si="26"/>
        <v>0</v>
      </c>
    </row>
    <row r="1692" spans="2:8" ht="13.5" thickBot="1" x14ac:dyDescent="0.35">
      <c r="B1692" s="9"/>
      <c r="C1692" s="14" t="s">
        <v>968</v>
      </c>
      <c r="D1692" s="14" t="s">
        <v>27</v>
      </c>
      <c r="E1692" s="18" t="s">
        <v>8</v>
      </c>
      <c r="F1692" s="17" t="s">
        <v>23</v>
      </c>
      <c r="G1692" s="17">
        <f>G1688*2</f>
        <v>0</v>
      </c>
      <c r="H1692" s="13">
        <f t="shared" si="26"/>
        <v>0</v>
      </c>
    </row>
    <row r="1693" spans="2:8" ht="13.5" thickBot="1" x14ac:dyDescent="0.35">
      <c r="B1693" s="9">
        <f>COUNT($B$4:B1682)+1</f>
        <v>584</v>
      </c>
      <c r="C1693" s="10" t="s">
        <v>987</v>
      </c>
      <c r="D1693" s="10"/>
      <c r="E1693" s="11" t="s">
        <v>8</v>
      </c>
      <c r="F1693" s="12" t="s">
        <v>23</v>
      </c>
      <c r="G1693" s="12"/>
      <c r="H1693" s="13">
        <f t="shared" si="26"/>
        <v>0</v>
      </c>
    </row>
    <row r="1694" spans="2:8" ht="13.5" thickBot="1" x14ac:dyDescent="0.35">
      <c r="B1694" s="9"/>
      <c r="C1694" s="14" t="s">
        <v>235</v>
      </c>
      <c r="D1694" s="14" t="s">
        <v>25</v>
      </c>
      <c r="E1694" s="18" t="s">
        <v>9</v>
      </c>
      <c r="F1694" s="17" t="s">
        <v>23</v>
      </c>
      <c r="G1694" s="17">
        <f>G1693</f>
        <v>0</v>
      </c>
      <c r="H1694" s="13">
        <f t="shared" si="26"/>
        <v>0</v>
      </c>
    </row>
    <row r="1695" spans="2:8" ht="13.5" thickBot="1" x14ac:dyDescent="0.35">
      <c r="B1695" s="9"/>
      <c r="C1695" s="14" t="s">
        <v>966</v>
      </c>
      <c r="D1695" s="14" t="s">
        <v>27</v>
      </c>
      <c r="E1695" s="18" t="s">
        <v>8</v>
      </c>
      <c r="F1695" s="17" t="s">
        <v>23</v>
      </c>
      <c r="G1695" s="17">
        <f>G1693*2</f>
        <v>0</v>
      </c>
      <c r="H1695" s="13">
        <f t="shared" si="26"/>
        <v>0</v>
      </c>
    </row>
    <row r="1696" spans="2:8" ht="13.5" thickBot="1" x14ac:dyDescent="0.35">
      <c r="B1696" s="9"/>
      <c r="C1696" s="14" t="s">
        <v>988</v>
      </c>
      <c r="D1696" s="14" t="s">
        <v>29</v>
      </c>
      <c r="E1696" s="18" t="s">
        <v>8</v>
      </c>
      <c r="F1696" s="17" t="s">
        <v>23</v>
      </c>
      <c r="G1696" s="17">
        <f>G1693</f>
        <v>0</v>
      </c>
      <c r="H1696" s="13">
        <f t="shared" si="26"/>
        <v>0</v>
      </c>
    </row>
    <row r="1697" spans="2:8" ht="13.5" thickBot="1" x14ac:dyDescent="0.35">
      <c r="B1697" s="9"/>
      <c r="C1697" s="14" t="s">
        <v>968</v>
      </c>
      <c r="D1697" s="14" t="s">
        <v>27</v>
      </c>
      <c r="E1697" s="18" t="s">
        <v>8</v>
      </c>
      <c r="F1697" s="17" t="s">
        <v>23</v>
      </c>
      <c r="G1697" s="17">
        <f>G1693</f>
        <v>0</v>
      </c>
      <c r="H1697" s="13">
        <f t="shared" si="26"/>
        <v>0</v>
      </c>
    </row>
    <row r="1698" spans="2:8" ht="13.5" thickBot="1" x14ac:dyDescent="0.35">
      <c r="B1698" s="9">
        <f>COUNT($B$4:B1697)+1</f>
        <v>587</v>
      </c>
      <c r="C1698" s="10" t="s">
        <v>989</v>
      </c>
      <c r="D1698" s="10"/>
      <c r="E1698" s="11" t="s">
        <v>8</v>
      </c>
      <c r="F1698" s="12" t="s">
        <v>23</v>
      </c>
      <c r="G1698" s="12"/>
      <c r="H1698" s="13">
        <f t="shared" si="26"/>
        <v>0</v>
      </c>
    </row>
    <row r="1699" spans="2:8" ht="13.5" thickBot="1" x14ac:dyDescent="0.35">
      <c r="B1699" s="9"/>
      <c r="C1699" s="14" t="s">
        <v>235</v>
      </c>
      <c r="D1699" s="14" t="s">
        <v>25</v>
      </c>
      <c r="E1699" s="18" t="s">
        <v>9</v>
      </c>
      <c r="F1699" s="17" t="s">
        <v>23</v>
      </c>
      <c r="G1699" s="17">
        <f>G1698</f>
        <v>0</v>
      </c>
      <c r="H1699" s="13">
        <f t="shared" si="26"/>
        <v>0</v>
      </c>
    </row>
    <row r="1700" spans="2:8" ht="13.5" thickBot="1" x14ac:dyDescent="0.35">
      <c r="B1700" s="9"/>
      <c r="C1700" s="14" t="s">
        <v>970</v>
      </c>
      <c r="D1700" s="14" t="s">
        <v>27</v>
      </c>
      <c r="E1700" s="18" t="s">
        <v>8</v>
      </c>
      <c r="F1700" s="17" t="s">
        <v>23</v>
      </c>
      <c r="G1700" s="17">
        <f>G1698*2</f>
        <v>0</v>
      </c>
      <c r="H1700" s="13">
        <f t="shared" si="26"/>
        <v>0</v>
      </c>
    </row>
    <row r="1701" spans="2:8" ht="13.5" thickBot="1" x14ac:dyDescent="0.35">
      <c r="B1701" s="9"/>
      <c r="C1701" s="14" t="s">
        <v>988</v>
      </c>
      <c r="D1701" s="14" t="s">
        <v>29</v>
      </c>
      <c r="E1701" s="18" t="s">
        <v>8</v>
      </c>
      <c r="F1701" s="17" t="s">
        <v>23</v>
      </c>
      <c r="G1701" s="17">
        <f>G1698</f>
        <v>0</v>
      </c>
      <c r="H1701" s="13">
        <f t="shared" si="26"/>
        <v>0</v>
      </c>
    </row>
    <row r="1702" spans="2:8" ht="13.5" thickBot="1" x14ac:dyDescent="0.35">
      <c r="B1702" s="9"/>
      <c r="C1702" s="14" t="s">
        <v>968</v>
      </c>
      <c r="D1702" s="14" t="s">
        <v>27</v>
      </c>
      <c r="E1702" s="18" t="s">
        <v>8</v>
      </c>
      <c r="F1702" s="17" t="s">
        <v>23</v>
      </c>
      <c r="G1702" s="17">
        <f>G1698</f>
        <v>0</v>
      </c>
      <c r="H1702" s="13">
        <f t="shared" si="26"/>
        <v>0</v>
      </c>
    </row>
    <row r="1703" spans="2:8" ht="13.5" thickBot="1" x14ac:dyDescent="0.35">
      <c r="B1703" s="9">
        <f>COUNT($B$4:B1692)+1</f>
        <v>586</v>
      </c>
      <c r="C1703" s="10" t="s">
        <v>990</v>
      </c>
      <c r="D1703" s="10"/>
      <c r="E1703" s="11" t="s">
        <v>8</v>
      </c>
      <c r="F1703" s="12" t="s">
        <v>23</v>
      </c>
      <c r="G1703" s="12"/>
      <c r="H1703" s="13">
        <f t="shared" si="26"/>
        <v>0</v>
      </c>
    </row>
    <row r="1704" spans="2:8" ht="13.5" thickBot="1" x14ac:dyDescent="0.35">
      <c r="B1704" s="9"/>
      <c r="C1704" s="14" t="s">
        <v>235</v>
      </c>
      <c r="D1704" s="14" t="s">
        <v>25</v>
      </c>
      <c r="E1704" s="18" t="s">
        <v>9</v>
      </c>
      <c r="F1704" s="17" t="s">
        <v>23</v>
      </c>
      <c r="G1704" s="17">
        <f>G1703</f>
        <v>0</v>
      </c>
      <c r="H1704" s="13">
        <f t="shared" si="26"/>
        <v>0</v>
      </c>
    </row>
    <row r="1705" spans="2:8" ht="13.5" thickBot="1" x14ac:dyDescent="0.35">
      <c r="B1705" s="9"/>
      <c r="C1705" s="14" t="s">
        <v>966</v>
      </c>
      <c r="D1705" s="14" t="s">
        <v>27</v>
      </c>
      <c r="E1705" s="18" t="s">
        <v>8</v>
      </c>
      <c r="F1705" s="17" t="s">
        <v>23</v>
      </c>
      <c r="G1705" s="17">
        <f>G1703*2</f>
        <v>0</v>
      </c>
      <c r="H1705" s="13">
        <f t="shared" si="26"/>
        <v>0</v>
      </c>
    </row>
    <row r="1706" spans="2:8" ht="13.5" thickBot="1" x14ac:dyDescent="0.35">
      <c r="B1706" s="9"/>
      <c r="C1706" s="14" t="s">
        <v>991</v>
      </c>
      <c r="D1706" s="14" t="s">
        <v>29</v>
      </c>
      <c r="E1706" s="18" t="s">
        <v>8</v>
      </c>
      <c r="F1706" s="17" t="s">
        <v>23</v>
      </c>
      <c r="G1706" s="17">
        <f>G1703</f>
        <v>0</v>
      </c>
      <c r="H1706" s="13">
        <f t="shared" si="26"/>
        <v>0</v>
      </c>
    </row>
    <row r="1707" spans="2:8" ht="13.5" thickBot="1" x14ac:dyDescent="0.35">
      <c r="B1707" s="9"/>
      <c r="C1707" s="14" t="s">
        <v>968</v>
      </c>
      <c r="D1707" s="14" t="s">
        <v>27</v>
      </c>
      <c r="E1707" s="18" t="s">
        <v>8</v>
      </c>
      <c r="F1707" s="17" t="s">
        <v>23</v>
      </c>
      <c r="G1707" s="17">
        <f>G1703</f>
        <v>0</v>
      </c>
      <c r="H1707" s="13">
        <f t="shared" si="26"/>
        <v>0</v>
      </c>
    </row>
    <row r="1708" spans="2:8" ht="13.5" thickBot="1" x14ac:dyDescent="0.35">
      <c r="B1708" s="9">
        <f>COUNT($B$4:B1707)+1</f>
        <v>589</v>
      </c>
      <c r="C1708" s="10" t="s">
        <v>992</v>
      </c>
      <c r="D1708" s="10"/>
      <c r="E1708" s="11" t="s">
        <v>8</v>
      </c>
      <c r="F1708" s="12" t="s">
        <v>23</v>
      </c>
      <c r="G1708" s="12"/>
      <c r="H1708" s="13">
        <f t="shared" si="26"/>
        <v>0</v>
      </c>
    </row>
    <row r="1709" spans="2:8" ht="13.5" thickBot="1" x14ac:dyDescent="0.35">
      <c r="B1709" s="9"/>
      <c r="C1709" s="14" t="s">
        <v>235</v>
      </c>
      <c r="D1709" s="14" t="s">
        <v>25</v>
      </c>
      <c r="E1709" s="18" t="s">
        <v>9</v>
      </c>
      <c r="F1709" s="17" t="s">
        <v>23</v>
      </c>
      <c r="G1709" s="17">
        <f>G1708</f>
        <v>0</v>
      </c>
      <c r="H1709" s="13">
        <f t="shared" si="26"/>
        <v>0</v>
      </c>
    </row>
    <row r="1710" spans="2:8" ht="13.5" thickBot="1" x14ac:dyDescent="0.35">
      <c r="B1710" s="9"/>
      <c r="C1710" s="14" t="s">
        <v>970</v>
      </c>
      <c r="D1710" s="14" t="s">
        <v>27</v>
      </c>
      <c r="E1710" s="18" t="s">
        <v>8</v>
      </c>
      <c r="F1710" s="17" t="s">
        <v>23</v>
      </c>
      <c r="G1710" s="17">
        <f>G1708*2</f>
        <v>0</v>
      </c>
      <c r="H1710" s="13">
        <f t="shared" si="26"/>
        <v>0</v>
      </c>
    </row>
    <row r="1711" spans="2:8" ht="13.5" thickBot="1" x14ac:dyDescent="0.35">
      <c r="B1711" s="9"/>
      <c r="C1711" s="14" t="s">
        <v>991</v>
      </c>
      <c r="D1711" s="14" t="s">
        <v>29</v>
      </c>
      <c r="E1711" s="18" t="s">
        <v>8</v>
      </c>
      <c r="F1711" s="17" t="s">
        <v>23</v>
      </c>
      <c r="G1711" s="17">
        <f>G1708</f>
        <v>0</v>
      </c>
      <c r="H1711" s="13">
        <f t="shared" si="26"/>
        <v>0</v>
      </c>
    </row>
    <row r="1712" spans="2:8" ht="13.5" thickBot="1" x14ac:dyDescent="0.35">
      <c r="B1712" s="9"/>
      <c r="C1712" s="14" t="s">
        <v>968</v>
      </c>
      <c r="D1712" s="14" t="s">
        <v>27</v>
      </c>
      <c r="E1712" s="18" t="s">
        <v>8</v>
      </c>
      <c r="F1712" s="17" t="s">
        <v>23</v>
      </c>
      <c r="G1712" s="17">
        <f>G1708</f>
        <v>0</v>
      </c>
      <c r="H1712" s="13">
        <f t="shared" si="26"/>
        <v>0</v>
      </c>
    </row>
    <row r="1713" spans="2:8" ht="13.5" thickBot="1" x14ac:dyDescent="0.35">
      <c r="B1713" s="9">
        <f>COUNT($B$4:B1702)+1</f>
        <v>588</v>
      </c>
      <c r="C1713" s="10" t="s">
        <v>993</v>
      </c>
      <c r="D1713" s="10"/>
      <c r="E1713" s="11" t="s">
        <v>8</v>
      </c>
      <c r="F1713" s="12" t="s">
        <v>23</v>
      </c>
      <c r="G1713" s="12"/>
      <c r="H1713" s="13">
        <f t="shared" si="26"/>
        <v>0</v>
      </c>
    </row>
    <row r="1714" spans="2:8" ht="13.5" thickBot="1" x14ac:dyDescent="0.35">
      <c r="B1714" s="9"/>
      <c r="C1714" s="14" t="s">
        <v>235</v>
      </c>
      <c r="D1714" s="14" t="s">
        <v>25</v>
      </c>
      <c r="E1714" s="18" t="s">
        <v>9</v>
      </c>
      <c r="F1714" s="17" t="s">
        <v>23</v>
      </c>
      <c r="G1714" s="17">
        <f>G1713</f>
        <v>0</v>
      </c>
      <c r="H1714" s="13">
        <f t="shared" si="26"/>
        <v>0</v>
      </c>
    </row>
    <row r="1715" spans="2:8" ht="13.5" thickBot="1" x14ac:dyDescent="0.35">
      <c r="B1715" s="9"/>
      <c r="C1715" s="14" t="s">
        <v>975</v>
      </c>
      <c r="D1715" s="14" t="s">
        <v>27</v>
      </c>
      <c r="E1715" s="18" t="s">
        <v>8</v>
      </c>
      <c r="F1715" s="17" t="s">
        <v>23</v>
      </c>
      <c r="G1715" s="17">
        <f>G1713*2</f>
        <v>0</v>
      </c>
      <c r="H1715" s="13">
        <f t="shared" si="26"/>
        <v>0</v>
      </c>
    </row>
    <row r="1716" spans="2:8" ht="13.5" thickBot="1" x14ac:dyDescent="0.35">
      <c r="B1716" s="9"/>
      <c r="C1716" s="14" t="s">
        <v>988</v>
      </c>
      <c r="D1716" s="14" t="s">
        <v>29</v>
      </c>
      <c r="E1716" s="18" t="s">
        <v>8</v>
      </c>
      <c r="F1716" s="17" t="s">
        <v>23</v>
      </c>
      <c r="G1716" s="17">
        <f>G1713</f>
        <v>0</v>
      </c>
      <c r="H1716" s="13">
        <f t="shared" si="26"/>
        <v>0</v>
      </c>
    </row>
    <row r="1717" spans="2:8" ht="13.5" thickBot="1" x14ac:dyDescent="0.35">
      <c r="B1717" s="9"/>
      <c r="C1717" s="14" t="s">
        <v>976</v>
      </c>
      <c r="D1717" s="14" t="s">
        <v>27</v>
      </c>
      <c r="E1717" s="18" t="s">
        <v>8</v>
      </c>
      <c r="F1717" s="17" t="s">
        <v>23</v>
      </c>
      <c r="G1717" s="17">
        <f>G1713</f>
        <v>0</v>
      </c>
      <c r="H1717" s="13">
        <f t="shared" si="26"/>
        <v>0</v>
      </c>
    </row>
    <row r="1718" spans="2:8" ht="13.5" thickBot="1" x14ac:dyDescent="0.35">
      <c r="B1718" s="9">
        <f>COUNT($B$4:B1717)+1</f>
        <v>591</v>
      </c>
      <c r="C1718" s="10" t="s">
        <v>1651</v>
      </c>
      <c r="D1718" s="10"/>
      <c r="E1718" s="11" t="s">
        <v>8</v>
      </c>
      <c r="F1718" s="12" t="s">
        <v>23</v>
      </c>
      <c r="G1718" s="12">
        <v>0</v>
      </c>
      <c r="H1718" s="13">
        <f t="shared" si="26"/>
        <v>0</v>
      </c>
    </row>
    <row r="1719" spans="2:8" ht="13.5" thickBot="1" x14ac:dyDescent="0.35">
      <c r="B1719" s="9"/>
      <c r="C1719" s="14" t="s">
        <v>235</v>
      </c>
      <c r="D1719" s="14" t="s">
        <v>25</v>
      </c>
      <c r="E1719" s="18" t="s">
        <v>9</v>
      </c>
      <c r="F1719" s="17" t="s">
        <v>23</v>
      </c>
      <c r="G1719" s="17">
        <f>G1718</f>
        <v>0</v>
      </c>
      <c r="H1719" s="13">
        <f t="shared" si="26"/>
        <v>0</v>
      </c>
    </row>
    <row r="1720" spans="2:8" ht="13.5" thickBot="1" x14ac:dyDescent="0.35">
      <c r="B1720" s="9"/>
      <c r="C1720" s="14" t="s">
        <v>1669</v>
      </c>
      <c r="D1720" s="14" t="s">
        <v>27</v>
      </c>
      <c r="E1720" s="18" t="s">
        <v>8</v>
      </c>
      <c r="F1720" s="17" t="s">
        <v>23</v>
      </c>
      <c r="G1720" s="17">
        <f>G1718*2</f>
        <v>0</v>
      </c>
      <c r="H1720" s="13">
        <f t="shared" si="26"/>
        <v>0</v>
      </c>
    </row>
    <row r="1721" spans="2:8" ht="13.5" thickBot="1" x14ac:dyDescent="0.35">
      <c r="B1721" s="9"/>
      <c r="C1721" s="14" t="s">
        <v>988</v>
      </c>
      <c r="D1721" s="14" t="s">
        <v>29</v>
      </c>
      <c r="E1721" s="18" t="s">
        <v>8</v>
      </c>
      <c r="F1721" s="17" t="s">
        <v>23</v>
      </c>
      <c r="G1721" s="17">
        <f>G1718</f>
        <v>0</v>
      </c>
      <c r="H1721" s="13">
        <f t="shared" si="26"/>
        <v>0</v>
      </c>
    </row>
    <row r="1722" spans="2:8" ht="13.5" thickBot="1" x14ac:dyDescent="0.35">
      <c r="B1722" s="9"/>
      <c r="C1722" s="14" t="s">
        <v>976</v>
      </c>
      <c r="D1722" s="14" t="s">
        <v>27</v>
      </c>
      <c r="E1722" s="18" t="s">
        <v>8</v>
      </c>
      <c r="F1722" s="17" t="s">
        <v>23</v>
      </c>
      <c r="G1722" s="17">
        <v>0</v>
      </c>
      <c r="H1722" s="13">
        <f t="shared" si="26"/>
        <v>0</v>
      </c>
    </row>
    <row r="1723" spans="2:8" ht="13.5" thickBot="1" x14ac:dyDescent="0.35">
      <c r="B1723" s="9">
        <f>COUNT($B$4:B1712)+1</f>
        <v>590</v>
      </c>
      <c r="C1723" s="10" t="s">
        <v>994</v>
      </c>
      <c r="D1723" s="10"/>
      <c r="E1723" s="11" t="s">
        <v>8</v>
      </c>
      <c r="F1723" s="12" t="s">
        <v>23</v>
      </c>
      <c r="G1723" s="12"/>
      <c r="H1723" s="13">
        <f t="shared" si="26"/>
        <v>0</v>
      </c>
    </row>
    <row r="1724" spans="2:8" ht="13.5" thickBot="1" x14ac:dyDescent="0.35">
      <c r="B1724" s="9"/>
      <c r="C1724" s="14" t="s">
        <v>235</v>
      </c>
      <c r="D1724" s="14" t="s">
        <v>25</v>
      </c>
      <c r="E1724" s="18" t="s">
        <v>9</v>
      </c>
      <c r="F1724" s="17" t="s">
        <v>23</v>
      </c>
      <c r="G1724" s="17">
        <f>G1723</f>
        <v>0</v>
      </c>
      <c r="H1724" s="13">
        <f t="shared" si="26"/>
        <v>0</v>
      </c>
    </row>
    <row r="1725" spans="2:8" ht="13.5" thickBot="1" x14ac:dyDescent="0.35">
      <c r="B1725" s="9"/>
      <c r="C1725" s="14" t="s">
        <v>975</v>
      </c>
      <c r="D1725" s="14" t="s">
        <v>27</v>
      </c>
      <c r="E1725" s="18" t="s">
        <v>8</v>
      </c>
      <c r="F1725" s="17" t="s">
        <v>23</v>
      </c>
      <c r="G1725" s="17">
        <f>G1723*2</f>
        <v>0</v>
      </c>
      <c r="H1725" s="13">
        <f t="shared" si="26"/>
        <v>0</v>
      </c>
    </row>
    <row r="1726" spans="2:8" ht="13.5" thickBot="1" x14ac:dyDescent="0.35">
      <c r="B1726" s="9"/>
      <c r="C1726" s="14" t="s">
        <v>991</v>
      </c>
      <c r="D1726" s="14" t="s">
        <v>29</v>
      </c>
      <c r="E1726" s="18" t="s">
        <v>8</v>
      </c>
      <c r="F1726" s="17" t="s">
        <v>23</v>
      </c>
      <c r="G1726" s="17">
        <f>G1723</f>
        <v>0</v>
      </c>
      <c r="H1726" s="13">
        <f t="shared" si="26"/>
        <v>0</v>
      </c>
    </row>
    <row r="1727" spans="2:8" ht="13.5" thickBot="1" x14ac:dyDescent="0.35">
      <c r="B1727" s="9"/>
      <c r="C1727" s="14" t="s">
        <v>976</v>
      </c>
      <c r="D1727" s="14" t="s">
        <v>27</v>
      </c>
      <c r="E1727" s="18" t="s">
        <v>8</v>
      </c>
      <c r="F1727" s="17" t="s">
        <v>23</v>
      </c>
      <c r="G1727" s="17">
        <f>G1723</f>
        <v>0</v>
      </c>
      <c r="H1727" s="13">
        <f t="shared" si="26"/>
        <v>0</v>
      </c>
    </row>
    <row r="1728" spans="2:8" ht="13.5" thickBot="1" x14ac:dyDescent="0.35">
      <c r="B1728" s="9">
        <f>COUNT($B$4:B1727)+1</f>
        <v>593</v>
      </c>
      <c r="C1728" s="10" t="s">
        <v>995</v>
      </c>
      <c r="D1728" s="10"/>
      <c r="E1728" s="11" t="s">
        <v>8</v>
      </c>
      <c r="F1728" s="12" t="s">
        <v>23</v>
      </c>
      <c r="G1728" s="12"/>
      <c r="H1728" s="13">
        <f t="shared" si="26"/>
        <v>0</v>
      </c>
    </row>
    <row r="1729" spans="2:8" ht="13.5" thickBot="1" x14ac:dyDescent="0.35">
      <c r="B1729" s="9"/>
      <c r="C1729" s="14" t="s">
        <v>235</v>
      </c>
      <c r="D1729" s="14" t="s">
        <v>25</v>
      </c>
      <c r="E1729" s="18" t="s">
        <v>9</v>
      </c>
      <c r="F1729" s="17" t="s">
        <v>23</v>
      </c>
      <c r="G1729" s="17">
        <f>G1728</f>
        <v>0</v>
      </c>
      <c r="H1729" s="13">
        <f t="shared" si="26"/>
        <v>0</v>
      </c>
    </row>
    <row r="1730" spans="2:8" ht="13.5" thickBot="1" x14ac:dyDescent="0.35">
      <c r="B1730" s="9"/>
      <c r="C1730" s="14" t="s">
        <v>978</v>
      </c>
      <c r="D1730" s="14" t="s">
        <v>27</v>
      </c>
      <c r="E1730" s="18" t="s">
        <v>8</v>
      </c>
      <c r="F1730" s="17" t="s">
        <v>23</v>
      </c>
      <c r="G1730" s="17">
        <f>G1728*2</f>
        <v>0</v>
      </c>
      <c r="H1730" s="13">
        <f t="shared" si="26"/>
        <v>0</v>
      </c>
    </row>
    <row r="1731" spans="2:8" ht="13.5" thickBot="1" x14ac:dyDescent="0.35">
      <c r="B1731" s="9"/>
      <c r="C1731" s="14" t="s">
        <v>991</v>
      </c>
      <c r="D1731" s="14" t="s">
        <v>29</v>
      </c>
      <c r="E1731" s="18" t="s">
        <v>8</v>
      </c>
      <c r="F1731" s="17" t="s">
        <v>23</v>
      </c>
      <c r="G1731" s="17">
        <f>G1728</f>
        <v>0</v>
      </c>
      <c r="H1731" s="13">
        <f t="shared" si="26"/>
        <v>0</v>
      </c>
    </row>
    <row r="1732" spans="2:8" ht="13.5" thickBot="1" x14ac:dyDescent="0.35">
      <c r="B1732" s="9"/>
      <c r="C1732" s="14" t="s">
        <v>976</v>
      </c>
      <c r="D1732" s="14" t="s">
        <v>27</v>
      </c>
      <c r="E1732" s="18" t="s">
        <v>8</v>
      </c>
      <c r="F1732" s="17" t="s">
        <v>23</v>
      </c>
      <c r="G1732" s="17">
        <f>G1728</f>
        <v>0</v>
      </c>
      <c r="H1732" s="13">
        <f t="shared" si="26"/>
        <v>0</v>
      </c>
    </row>
    <row r="1733" spans="2:8" ht="13.5" thickBot="1" x14ac:dyDescent="0.35">
      <c r="B1733" s="9">
        <f>COUNT($B$4:B1732)+1</f>
        <v>594</v>
      </c>
      <c r="C1733" s="10" t="s">
        <v>996</v>
      </c>
      <c r="D1733" s="10"/>
      <c r="E1733" s="11" t="s">
        <v>8</v>
      </c>
      <c r="F1733" s="12" t="s">
        <v>23</v>
      </c>
      <c r="G1733" s="12"/>
      <c r="H1733" s="13">
        <f t="shared" ref="H1733:H1796" si="27">SUM(G1733:G1733)</f>
        <v>0</v>
      </c>
    </row>
    <row r="1734" spans="2:8" ht="13.5" thickBot="1" x14ac:dyDescent="0.35">
      <c r="B1734" s="9"/>
      <c r="C1734" s="14" t="s">
        <v>235</v>
      </c>
      <c r="D1734" s="14" t="s">
        <v>25</v>
      </c>
      <c r="E1734" s="18" t="s">
        <v>9</v>
      </c>
      <c r="F1734" s="17" t="s">
        <v>23</v>
      </c>
      <c r="G1734" s="17">
        <f>G1733</f>
        <v>0</v>
      </c>
      <c r="H1734" s="13">
        <f t="shared" si="27"/>
        <v>0</v>
      </c>
    </row>
    <row r="1735" spans="2:8" ht="13.5" thickBot="1" x14ac:dyDescent="0.35">
      <c r="B1735" s="9"/>
      <c r="C1735" s="14" t="s">
        <v>966</v>
      </c>
      <c r="D1735" s="14" t="s">
        <v>27</v>
      </c>
      <c r="E1735" s="18" t="s">
        <v>8</v>
      </c>
      <c r="F1735" s="17" t="s">
        <v>23</v>
      </c>
      <c r="G1735" s="17">
        <f>G1733*4</f>
        <v>0</v>
      </c>
      <c r="H1735" s="13">
        <f t="shared" si="27"/>
        <v>0</v>
      </c>
    </row>
    <row r="1736" spans="2:8" ht="13.5" thickBot="1" x14ac:dyDescent="0.35">
      <c r="B1736" s="9"/>
      <c r="C1736" s="14" t="s">
        <v>997</v>
      </c>
      <c r="D1736" s="14" t="s">
        <v>29</v>
      </c>
      <c r="E1736" s="18" t="s">
        <v>8</v>
      </c>
      <c r="F1736" s="17" t="s">
        <v>23</v>
      </c>
      <c r="G1736" s="17">
        <f>G1733</f>
        <v>0</v>
      </c>
      <c r="H1736" s="13">
        <f t="shared" si="27"/>
        <v>0</v>
      </c>
    </row>
    <row r="1737" spans="2:8" ht="13.5" thickBot="1" x14ac:dyDescent="0.35">
      <c r="B1737" s="9"/>
      <c r="C1737" s="14" t="s">
        <v>968</v>
      </c>
      <c r="D1737" s="14" t="s">
        <v>27</v>
      </c>
      <c r="E1737" s="18" t="s">
        <v>8</v>
      </c>
      <c r="F1737" s="17" t="s">
        <v>23</v>
      </c>
      <c r="G1737" s="17">
        <f>G1733*2</f>
        <v>0</v>
      </c>
      <c r="H1737" s="13">
        <f t="shared" si="27"/>
        <v>0</v>
      </c>
    </row>
    <row r="1738" spans="2:8" ht="13.5" thickBot="1" x14ac:dyDescent="0.35">
      <c r="B1738" s="9">
        <f>COUNT($B$4:B1737)+1</f>
        <v>595</v>
      </c>
      <c r="C1738" s="10" t="s">
        <v>998</v>
      </c>
      <c r="D1738" s="10"/>
      <c r="E1738" s="11" t="s">
        <v>8</v>
      </c>
      <c r="F1738" s="12" t="s">
        <v>23</v>
      </c>
      <c r="G1738" s="12"/>
      <c r="H1738" s="13">
        <f t="shared" si="27"/>
        <v>0</v>
      </c>
    </row>
    <row r="1739" spans="2:8" ht="13.5" thickBot="1" x14ac:dyDescent="0.35">
      <c r="B1739" s="9"/>
      <c r="C1739" s="14" t="s">
        <v>235</v>
      </c>
      <c r="D1739" s="14" t="s">
        <v>25</v>
      </c>
      <c r="E1739" s="18" t="s">
        <v>9</v>
      </c>
      <c r="F1739" s="17" t="s">
        <v>23</v>
      </c>
      <c r="G1739" s="17">
        <f>G1738</f>
        <v>0</v>
      </c>
      <c r="H1739" s="13">
        <f t="shared" si="27"/>
        <v>0</v>
      </c>
    </row>
    <row r="1740" spans="2:8" ht="13.5" thickBot="1" x14ac:dyDescent="0.35">
      <c r="B1740" s="9"/>
      <c r="C1740" s="14" t="s">
        <v>970</v>
      </c>
      <c r="D1740" s="14" t="s">
        <v>27</v>
      </c>
      <c r="E1740" s="18" t="s">
        <v>8</v>
      </c>
      <c r="F1740" s="17" t="s">
        <v>23</v>
      </c>
      <c r="G1740" s="17">
        <f>G1738*4</f>
        <v>0</v>
      </c>
      <c r="H1740" s="13">
        <f t="shared" si="27"/>
        <v>0</v>
      </c>
    </row>
    <row r="1741" spans="2:8" ht="13.5" thickBot="1" x14ac:dyDescent="0.35">
      <c r="B1741" s="9"/>
      <c r="C1741" s="14" t="s">
        <v>997</v>
      </c>
      <c r="D1741" s="14" t="s">
        <v>29</v>
      </c>
      <c r="E1741" s="18" t="s">
        <v>8</v>
      </c>
      <c r="F1741" s="17" t="s">
        <v>23</v>
      </c>
      <c r="G1741" s="17">
        <f>G1738</f>
        <v>0</v>
      </c>
      <c r="H1741" s="13">
        <f t="shared" si="27"/>
        <v>0</v>
      </c>
    </row>
    <row r="1742" spans="2:8" ht="13.5" thickBot="1" x14ac:dyDescent="0.35">
      <c r="B1742" s="9"/>
      <c r="C1742" s="14" t="s">
        <v>968</v>
      </c>
      <c r="D1742" s="14" t="s">
        <v>27</v>
      </c>
      <c r="E1742" s="18" t="s">
        <v>8</v>
      </c>
      <c r="F1742" s="17" t="s">
        <v>23</v>
      </c>
      <c r="G1742" s="17">
        <f>G1738*2</f>
        <v>0</v>
      </c>
      <c r="H1742" s="13">
        <f t="shared" si="27"/>
        <v>0</v>
      </c>
    </row>
    <row r="1743" spans="2:8" ht="13.5" thickBot="1" x14ac:dyDescent="0.35">
      <c r="B1743" s="9">
        <f>COUNT($B$4:B1742)+1</f>
        <v>596</v>
      </c>
      <c r="C1743" s="10" t="s">
        <v>999</v>
      </c>
      <c r="D1743" s="10"/>
      <c r="E1743" s="11" t="s">
        <v>8</v>
      </c>
      <c r="F1743" s="12" t="s">
        <v>23</v>
      </c>
      <c r="G1743" s="12"/>
      <c r="H1743" s="13">
        <f t="shared" si="27"/>
        <v>0</v>
      </c>
    </row>
    <row r="1744" spans="2:8" ht="13.5" thickBot="1" x14ac:dyDescent="0.35">
      <c r="B1744" s="9"/>
      <c r="C1744" s="14" t="s">
        <v>235</v>
      </c>
      <c r="D1744" s="14" t="s">
        <v>25</v>
      </c>
      <c r="E1744" s="18" t="s">
        <v>9</v>
      </c>
      <c r="F1744" s="17" t="s">
        <v>23</v>
      </c>
      <c r="G1744" s="17">
        <f>G1743</f>
        <v>0</v>
      </c>
      <c r="H1744" s="13">
        <f t="shared" si="27"/>
        <v>0</v>
      </c>
    </row>
    <row r="1745" spans="2:8" ht="13.5" thickBot="1" x14ac:dyDescent="0.35">
      <c r="B1745" s="9"/>
      <c r="C1745" s="14" t="s">
        <v>966</v>
      </c>
      <c r="D1745" s="14" t="s">
        <v>27</v>
      </c>
      <c r="E1745" s="18" t="s">
        <v>8</v>
      </c>
      <c r="F1745" s="17" t="s">
        <v>23</v>
      </c>
      <c r="G1745" s="17">
        <f>G1743*4</f>
        <v>0</v>
      </c>
      <c r="H1745" s="13">
        <f t="shared" si="27"/>
        <v>0</v>
      </c>
    </row>
    <row r="1746" spans="2:8" ht="13.5" thickBot="1" x14ac:dyDescent="0.35">
      <c r="B1746" s="9"/>
      <c r="C1746" s="14" t="s">
        <v>1000</v>
      </c>
      <c r="D1746" s="14" t="s">
        <v>29</v>
      </c>
      <c r="E1746" s="18" t="s">
        <v>8</v>
      </c>
      <c r="F1746" s="17" t="s">
        <v>23</v>
      </c>
      <c r="G1746" s="17">
        <f>G1743</f>
        <v>0</v>
      </c>
      <c r="H1746" s="13">
        <f t="shared" si="27"/>
        <v>0</v>
      </c>
    </row>
    <row r="1747" spans="2:8" ht="13.5" thickBot="1" x14ac:dyDescent="0.35">
      <c r="B1747" s="9"/>
      <c r="C1747" s="14" t="s">
        <v>968</v>
      </c>
      <c r="D1747" s="14" t="s">
        <v>27</v>
      </c>
      <c r="E1747" s="18" t="s">
        <v>8</v>
      </c>
      <c r="F1747" s="17" t="s">
        <v>23</v>
      </c>
      <c r="G1747" s="17">
        <f>G1743*2</f>
        <v>0</v>
      </c>
      <c r="H1747" s="13">
        <f t="shared" si="27"/>
        <v>0</v>
      </c>
    </row>
    <row r="1748" spans="2:8" ht="13.5" thickBot="1" x14ac:dyDescent="0.35">
      <c r="B1748" s="9">
        <f>COUNT($B$4:B1747)+1</f>
        <v>597</v>
      </c>
      <c r="C1748" s="10" t="s">
        <v>1001</v>
      </c>
      <c r="D1748" s="10"/>
      <c r="E1748" s="11" t="s">
        <v>8</v>
      </c>
      <c r="F1748" s="12" t="s">
        <v>23</v>
      </c>
      <c r="G1748" s="12"/>
      <c r="H1748" s="13">
        <f t="shared" si="27"/>
        <v>0</v>
      </c>
    </row>
    <row r="1749" spans="2:8" ht="13.5" thickBot="1" x14ac:dyDescent="0.35">
      <c r="B1749" s="9"/>
      <c r="C1749" s="14" t="s">
        <v>235</v>
      </c>
      <c r="D1749" s="14" t="s">
        <v>25</v>
      </c>
      <c r="E1749" s="18" t="s">
        <v>9</v>
      </c>
      <c r="F1749" s="17" t="s">
        <v>23</v>
      </c>
      <c r="G1749" s="17">
        <f>G1748</f>
        <v>0</v>
      </c>
      <c r="H1749" s="13">
        <f t="shared" si="27"/>
        <v>0</v>
      </c>
    </row>
    <row r="1750" spans="2:8" ht="13.5" thickBot="1" x14ac:dyDescent="0.35">
      <c r="B1750" s="9"/>
      <c r="C1750" s="14" t="s">
        <v>970</v>
      </c>
      <c r="D1750" s="14" t="s">
        <v>27</v>
      </c>
      <c r="E1750" s="18" t="s">
        <v>8</v>
      </c>
      <c r="F1750" s="17" t="s">
        <v>23</v>
      </c>
      <c r="G1750" s="17">
        <f>G1748*4</f>
        <v>0</v>
      </c>
      <c r="H1750" s="13">
        <f t="shared" si="27"/>
        <v>0</v>
      </c>
    </row>
    <row r="1751" spans="2:8" ht="13.5" thickBot="1" x14ac:dyDescent="0.35">
      <c r="B1751" s="9"/>
      <c r="C1751" s="14" t="s">
        <v>1000</v>
      </c>
      <c r="D1751" s="14" t="s">
        <v>29</v>
      </c>
      <c r="E1751" s="18" t="s">
        <v>8</v>
      </c>
      <c r="F1751" s="17" t="s">
        <v>23</v>
      </c>
      <c r="G1751" s="17">
        <f>G1748</f>
        <v>0</v>
      </c>
      <c r="H1751" s="13">
        <f t="shared" si="27"/>
        <v>0</v>
      </c>
    </row>
    <row r="1752" spans="2:8" ht="13.5" thickBot="1" x14ac:dyDescent="0.35">
      <c r="B1752" s="9"/>
      <c r="C1752" s="14" t="s">
        <v>968</v>
      </c>
      <c r="D1752" s="14" t="s">
        <v>27</v>
      </c>
      <c r="E1752" s="18" t="s">
        <v>8</v>
      </c>
      <c r="F1752" s="17" t="s">
        <v>23</v>
      </c>
      <c r="G1752" s="17">
        <f>G1748*2</f>
        <v>0</v>
      </c>
      <c r="H1752" s="13">
        <f t="shared" si="27"/>
        <v>0</v>
      </c>
    </row>
    <row r="1753" spans="2:8" ht="13.5" thickBot="1" x14ac:dyDescent="0.35">
      <c r="B1753" s="9">
        <f>COUNT($B$4:B1752)+1</f>
        <v>598</v>
      </c>
      <c r="C1753" s="10" t="s">
        <v>1002</v>
      </c>
      <c r="D1753" s="10"/>
      <c r="E1753" s="11" t="s">
        <v>8</v>
      </c>
      <c r="F1753" s="12" t="s">
        <v>23</v>
      </c>
      <c r="G1753" s="12"/>
      <c r="H1753" s="13">
        <f t="shared" si="27"/>
        <v>0</v>
      </c>
    </row>
    <row r="1754" spans="2:8" ht="13.5" thickBot="1" x14ac:dyDescent="0.35">
      <c r="B1754" s="9"/>
      <c r="C1754" s="14" t="s">
        <v>24</v>
      </c>
      <c r="D1754" s="14" t="s">
        <v>25</v>
      </c>
      <c r="E1754" s="18" t="s">
        <v>9</v>
      </c>
      <c r="F1754" s="17" t="s">
        <v>23</v>
      </c>
      <c r="G1754" s="17">
        <f>G1753</f>
        <v>0</v>
      </c>
      <c r="H1754" s="13">
        <f t="shared" si="27"/>
        <v>0</v>
      </c>
    </row>
    <row r="1755" spans="2:8" ht="13.5" thickBot="1" x14ac:dyDescent="0.35">
      <c r="B1755" s="9"/>
      <c r="C1755" s="14" t="s">
        <v>43</v>
      </c>
      <c r="D1755" s="14" t="s">
        <v>27</v>
      </c>
      <c r="E1755" s="18" t="s">
        <v>8</v>
      </c>
      <c r="F1755" s="17" t="s">
        <v>23</v>
      </c>
      <c r="G1755" s="17">
        <f>G1753</f>
        <v>0</v>
      </c>
      <c r="H1755" s="13">
        <f t="shared" si="27"/>
        <v>0</v>
      </c>
    </row>
    <row r="1756" spans="2:8" ht="13.5" thickBot="1" x14ac:dyDescent="0.35">
      <c r="B1756" s="9"/>
      <c r="C1756" s="14" t="s">
        <v>1003</v>
      </c>
      <c r="D1756" s="14" t="s">
        <v>29</v>
      </c>
      <c r="E1756" s="18" t="s">
        <v>8</v>
      </c>
      <c r="F1756" s="17" t="s">
        <v>23</v>
      </c>
      <c r="G1756" s="17">
        <f>G1753</f>
        <v>0</v>
      </c>
      <c r="H1756" s="13">
        <f t="shared" si="27"/>
        <v>0</v>
      </c>
    </row>
    <row r="1757" spans="2:8" ht="13.5" thickBot="1" x14ac:dyDescent="0.35">
      <c r="B1757" s="9">
        <f>COUNT($B$4:B1756)+1</f>
        <v>599</v>
      </c>
      <c r="C1757" s="10" t="s">
        <v>1004</v>
      </c>
      <c r="D1757" s="10"/>
      <c r="E1757" s="11" t="s">
        <v>8</v>
      </c>
      <c r="F1757" s="12" t="s">
        <v>23</v>
      </c>
      <c r="G1757" s="12"/>
      <c r="H1757" s="13">
        <f t="shared" si="27"/>
        <v>0</v>
      </c>
    </row>
    <row r="1758" spans="2:8" ht="13.5" thickBot="1" x14ac:dyDescent="0.35">
      <c r="B1758" s="9"/>
      <c r="C1758" s="14" t="s">
        <v>24</v>
      </c>
      <c r="D1758" s="14" t="s">
        <v>25</v>
      </c>
      <c r="E1758" s="18" t="s">
        <v>9</v>
      </c>
      <c r="F1758" s="17" t="s">
        <v>23</v>
      </c>
      <c r="G1758" s="17">
        <f>G1757</f>
        <v>0</v>
      </c>
      <c r="H1758" s="13">
        <f t="shared" si="27"/>
        <v>0</v>
      </c>
    </row>
    <row r="1759" spans="2:8" ht="13.5" thickBot="1" x14ac:dyDescent="0.35">
      <c r="B1759" s="9"/>
      <c r="C1759" s="14" t="s">
        <v>46</v>
      </c>
      <c r="D1759" s="14" t="s">
        <v>27</v>
      </c>
      <c r="E1759" s="18" t="s">
        <v>8</v>
      </c>
      <c r="F1759" s="17" t="s">
        <v>23</v>
      </c>
      <c r="G1759" s="17">
        <f>G1757</f>
        <v>0</v>
      </c>
      <c r="H1759" s="13">
        <f t="shared" si="27"/>
        <v>0</v>
      </c>
    </row>
    <row r="1760" spans="2:8" ht="13.5" thickBot="1" x14ac:dyDescent="0.35">
      <c r="B1760" s="9"/>
      <c r="C1760" s="14" t="s">
        <v>1003</v>
      </c>
      <c r="D1760" s="14" t="s">
        <v>29</v>
      </c>
      <c r="E1760" s="18" t="s">
        <v>8</v>
      </c>
      <c r="F1760" s="17" t="s">
        <v>23</v>
      </c>
      <c r="G1760" s="17">
        <f>G1757</f>
        <v>0</v>
      </c>
      <c r="H1760" s="13">
        <f t="shared" si="27"/>
        <v>0</v>
      </c>
    </row>
    <row r="1761" spans="2:8" ht="13.5" thickBot="1" x14ac:dyDescent="0.35">
      <c r="B1761" s="9">
        <f>COUNT($B$4:B1760)+1</f>
        <v>600</v>
      </c>
      <c r="C1761" s="10" t="s">
        <v>1005</v>
      </c>
      <c r="D1761" s="10"/>
      <c r="E1761" s="11" t="s">
        <v>8</v>
      </c>
      <c r="F1761" s="12" t="s">
        <v>23</v>
      </c>
      <c r="G1761" s="12"/>
      <c r="H1761" s="13">
        <f t="shared" si="27"/>
        <v>0</v>
      </c>
    </row>
    <row r="1762" spans="2:8" ht="13.5" thickBot="1" x14ac:dyDescent="0.35">
      <c r="B1762" s="9"/>
      <c r="C1762" s="14" t="s">
        <v>1006</v>
      </c>
      <c r="D1762" s="14" t="s">
        <v>25</v>
      </c>
      <c r="E1762" s="18" t="s">
        <v>9</v>
      </c>
      <c r="F1762" s="17" t="s">
        <v>23</v>
      </c>
      <c r="G1762" s="17">
        <f>G1761</f>
        <v>0</v>
      </c>
      <c r="H1762" s="13">
        <f t="shared" si="27"/>
        <v>0</v>
      </c>
    </row>
    <row r="1763" spans="2:8" ht="13.5" thickBot="1" x14ac:dyDescent="0.35">
      <c r="B1763" s="9"/>
      <c r="C1763" s="14" t="s">
        <v>43</v>
      </c>
      <c r="D1763" s="14" t="s">
        <v>27</v>
      </c>
      <c r="E1763" s="18" t="s">
        <v>8</v>
      </c>
      <c r="F1763" s="17" t="s">
        <v>23</v>
      </c>
      <c r="G1763" s="17">
        <f>G1761</f>
        <v>0</v>
      </c>
      <c r="H1763" s="13">
        <f t="shared" si="27"/>
        <v>0</v>
      </c>
    </row>
    <row r="1764" spans="2:8" ht="13.5" thickBot="1" x14ac:dyDescent="0.35">
      <c r="B1764" s="9"/>
      <c r="C1764" s="14" t="s">
        <v>1007</v>
      </c>
      <c r="D1764" s="14" t="s">
        <v>29</v>
      </c>
      <c r="E1764" s="18" t="s">
        <v>8</v>
      </c>
      <c r="F1764" s="17" t="s">
        <v>23</v>
      </c>
      <c r="G1764" s="17">
        <f>G1761</f>
        <v>0</v>
      </c>
      <c r="H1764" s="13">
        <f t="shared" si="27"/>
        <v>0</v>
      </c>
    </row>
    <row r="1765" spans="2:8" ht="13.5" thickBot="1" x14ac:dyDescent="0.35">
      <c r="B1765" s="9">
        <f>COUNT($B$4:B1764)+1</f>
        <v>601</v>
      </c>
      <c r="C1765" s="10" t="s">
        <v>1008</v>
      </c>
      <c r="D1765" s="10"/>
      <c r="E1765" s="11" t="s">
        <v>8</v>
      </c>
      <c r="F1765" s="12" t="s">
        <v>23</v>
      </c>
      <c r="G1765" s="12"/>
      <c r="H1765" s="13">
        <f t="shared" si="27"/>
        <v>0</v>
      </c>
    </row>
    <row r="1766" spans="2:8" ht="13.5" thickBot="1" x14ac:dyDescent="0.35">
      <c r="B1766" s="9"/>
      <c r="C1766" s="14" t="s">
        <v>1006</v>
      </c>
      <c r="D1766" s="14" t="s">
        <v>25</v>
      </c>
      <c r="E1766" s="18" t="s">
        <v>9</v>
      </c>
      <c r="F1766" s="17" t="s">
        <v>23</v>
      </c>
      <c r="G1766" s="17">
        <f>G1765</f>
        <v>0</v>
      </c>
      <c r="H1766" s="13">
        <f t="shared" si="27"/>
        <v>0</v>
      </c>
    </row>
    <row r="1767" spans="2:8" ht="13.5" thickBot="1" x14ac:dyDescent="0.35">
      <c r="B1767" s="9"/>
      <c r="C1767" s="14" t="s">
        <v>46</v>
      </c>
      <c r="D1767" s="14" t="s">
        <v>27</v>
      </c>
      <c r="E1767" s="18" t="s">
        <v>8</v>
      </c>
      <c r="F1767" s="17" t="s">
        <v>23</v>
      </c>
      <c r="G1767" s="17">
        <f>G1765</f>
        <v>0</v>
      </c>
      <c r="H1767" s="13">
        <f t="shared" si="27"/>
        <v>0</v>
      </c>
    </row>
    <row r="1768" spans="2:8" ht="13.5" thickBot="1" x14ac:dyDescent="0.35">
      <c r="B1768" s="9"/>
      <c r="C1768" s="14" t="s">
        <v>1007</v>
      </c>
      <c r="D1768" s="14" t="s">
        <v>29</v>
      </c>
      <c r="E1768" s="18" t="s">
        <v>8</v>
      </c>
      <c r="F1768" s="17" t="s">
        <v>23</v>
      </c>
      <c r="G1768" s="17">
        <f>G1765</f>
        <v>0</v>
      </c>
      <c r="H1768" s="13">
        <f t="shared" si="27"/>
        <v>0</v>
      </c>
    </row>
    <row r="1769" spans="2:8" ht="13.5" thickBot="1" x14ac:dyDescent="0.35">
      <c r="B1769" s="9">
        <f>COUNT($B$4:B1768)+1</f>
        <v>602</v>
      </c>
      <c r="C1769" s="10" t="s">
        <v>1009</v>
      </c>
      <c r="D1769" s="10"/>
      <c r="E1769" s="11" t="s">
        <v>8</v>
      </c>
      <c r="F1769" s="12" t="s">
        <v>23</v>
      </c>
      <c r="G1769" s="12"/>
      <c r="H1769" s="13">
        <f t="shared" si="27"/>
        <v>0</v>
      </c>
    </row>
    <row r="1770" spans="2:8" ht="13.5" thickBot="1" x14ac:dyDescent="0.35">
      <c r="B1770" s="9"/>
      <c r="C1770" s="14" t="s">
        <v>1006</v>
      </c>
      <c r="D1770" s="14" t="s">
        <v>25</v>
      </c>
      <c r="E1770" s="18" t="s">
        <v>9</v>
      </c>
      <c r="F1770" s="17" t="s">
        <v>23</v>
      </c>
      <c r="G1770" s="17">
        <f>G1769</f>
        <v>0</v>
      </c>
      <c r="H1770" s="13">
        <f t="shared" si="27"/>
        <v>0</v>
      </c>
    </row>
    <row r="1771" spans="2:8" ht="13.5" thickBot="1" x14ac:dyDescent="0.35">
      <c r="B1771" s="9"/>
      <c r="C1771" s="14" t="s">
        <v>1010</v>
      </c>
      <c r="D1771" s="14" t="s">
        <v>27</v>
      </c>
      <c r="E1771" s="18" t="s">
        <v>8</v>
      </c>
      <c r="F1771" s="17" t="s">
        <v>23</v>
      </c>
      <c r="G1771" s="17">
        <f>G1769</f>
        <v>0</v>
      </c>
      <c r="H1771" s="13">
        <f t="shared" si="27"/>
        <v>0</v>
      </c>
    </row>
    <row r="1772" spans="2:8" ht="13.5" thickBot="1" x14ac:dyDescent="0.35">
      <c r="B1772" s="9"/>
      <c r="C1772" s="14" t="s">
        <v>1011</v>
      </c>
      <c r="D1772" s="14" t="s">
        <v>29</v>
      </c>
      <c r="E1772" s="18" t="s">
        <v>8</v>
      </c>
      <c r="F1772" s="17" t="s">
        <v>23</v>
      </c>
      <c r="G1772" s="17">
        <f>G1769</f>
        <v>0</v>
      </c>
      <c r="H1772" s="13">
        <f t="shared" si="27"/>
        <v>0</v>
      </c>
    </row>
    <row r="1773" spans="2:8" ht="13.5" thickBot="1" x14ac:dyDescent="0.35">
      <c r="B1773" s="9">
        <f>COUNT($B$4:B1772)+1</f>
        <v>603</v>
      </c>
      <c r="C1773" s="10" t="s">
        <v>1012</v>
      </c>
      <c r="D1773" s="10"/>
      <c r="E1773" s="11" t="s">
        <v>8</v>
      </c>
      <c r="F1773" s="12" t="s">
        <v>23</v>
      </c>
      <c r="G1773" s="12"/>
      <c r="H1773" s="13">
        <f t="shared" si="27"/>
        <v>0</v>
      </c>
    </row>
    <row r="1774" spans="2:8" ht="13.5" thickBot="1" x14ac:dyDescent="0.35">
      <c r="B1774" s="9"/>
      <c r="C1774" s="14" t="s">
        <v>1006</v>
      </c>
      <c r="D1774" s="14" t="s">
        <v>25</v>
      </c>
      <c r="E1774" s="18" t="s">
        <v>9</v>
      </c>
      <c r="F1774" s="17" t="s">
        <v>23</v>
      </c>
      <c r="G1774" s="17">
        <f>G1773</f>
        <v>0</v>
      </c>
      <c r="H1774" s="13">
        <f t="shared" si="27"/>
        <v>0</v>
      </c>
    </row>
    <row r="1775" spans="2:8" ht="13.5" thickBot="1" x14ac:dyDescent="0.35">
      <c r="B1775" s="9"/>
      <c r="C1775" s="14" t="s">
        <v>1013</v>
      </c>
      <c r="D1775" s="14" t="s">
        <v>27</v>
      </c>
      <c r="E1775" s="18" t="s">
        <v>8</v>
      </c>
      <c r="F1775" s="17" t="s">
        <v>23</v>
      </c>
      <c r="G1775" s="17">
        <f>G1773</f>
        <v>0</v>
      </c>
      <c r="H1775" s="13">
        <f t="shared" si="27"/>
        <v>0</v>
      </c>
    </row>
    <row r="1776" spans="2:8" ht="13.5" thickBot="1" x14ac:dyDescent="0.35">
      <c r="B1776" s="9"/>
      <c r="C1776" s="14" t="s">
        <v>1011</v>
      </c>
      <c r="D1776" s="14" t="s">
        <v>29</v>
      </c>
      <c r="E1776" s="18" t="s">
        <v>8</v>
      </c>
      <c r="F1776" s="17" t="s">
        <v>23</v>
      </c>
      <c r="G1776" s="17">
        <f>G1773</f>
        <v>0</v>
      </c>
      <c r="H1776" s="13">
        <f t="shared" si="27"/>
        <v>0</v>
      </c>
    </row>
    <row r="1777" spans="2:8" ht="13.5" thickBot="1" x14ac:dyDescent="0.35">
      <c r="B1777" s="9">
        <f>COUNT($B$4:B1776)+1</f>
        <v>604</v>
      </c>
      <c r="C1777" s="10" t="s">
        <v>1014</v>
      </c>
      <c r="D1777" s="10"/>
      <c r="E1777" s="11" t="s">
        <v>8</v>
      </c>
      <c r="F1777" s="12" t="s">
        <v>23</v>
      </c>
      <c r="G1777" s="12"/>
      <c r="H1777" s="13">
        <f t="shared" si="27"/>
        <v>0</v>
      </c>
    </row>
    <row r="1778" spans="2:8" ht="13.5" thickBot="1" x14ac:dyDescent="0.35">
      <c r="B1778" s="9"/>
      <c r="C1778" s="14" t="s">
        <v>235</v>
      </c>
      <c r="D1778" s="14" t="s">
        <v>25</v>
      </c>
      <c r="E1778" s="18" t="s">
        <v>9</v>
      </c>
      <c r="F1778" s="17" t="s">
        <v>23</v>
      </c>
      <c r="G1778" s="17">
        <f>G1777</f>
        <v>0</v>
      </c>
      <c r="H1778" s="13">
        <f t="shared" si="27"/>
        <v>0</v>
      </c>
    </row>
    <row r="1779" spans="2:8" ht="13.5" thickBot="1" x14ac:dyDescent="0.35">
      <c r="B1779" s="9"/>
      <c r="C1779" s="14" t="s">
        <v>26</v>
      </c>
      <c r="D1779" s="14" t="s">
        <v>27</v>
      </c>
      <c r="E1779" s="18" t="s">
        <v>8</v>
      </c>
      <c r="F1779" s="17" t="s">
        <v>23</v>
      </c>
      <c r="G1779" s="17">
        <f>G1777</f>
        <v>0</v>
      </c>
      <c r="H1779" s="13">
        <f t="shared" si="27"/>
        <v>0</v>
      </c>
    </row>
    <row r="1780" spans="2:8" ht="13.5" thickBot="1" x14ac:dyDescent="0.35">
      <c r="B1780" s="9"/>
      <c r="C1780" s="14" t="s">
        <v>957</v>
      </c>
      <c r="D1780" s="14" t="s">
        <v>29</v>
      </c>
      <c r="E1780" s="18" t="s">
        <v>8</v>
      </c>
      <c r="F1780" s="17" t="s">
        <v>23</v>
      </c>
      <c r="G1780" s="17">
        <f>G1777</f>
        <v>0</v>
      </c>
      <c r="H1780" s="13">
        <f t="shared" si="27"/>
        <v>0</v>
      </c>
    </row>
    <row r="1781" spans="2:8" ht="13.5" thickBot="1" x14ac:dyDescent="0.35">
      <c r="B1781" s="9">
        <f>COUNT($B$4:B1780)+1</f>
        <v>605</v>
      </c>
      <c r="C1781" s="10" t="s">
        <v>1015</v>
      </c>
      <c r="D1781" s="10"/>
      <c r="E1781" s="11" t="s">
        <v>8</v>
      </c>
      <c r="F1781" s="12" t="s">
        <v>23</v>
      </c>
      <c r="G1781" s="12"/>
      <c r="H1781" s="13">
        <f t="shared" si="27"/>
        <v>0</v>
      </c>
    </row>
    <row r="1782" spans="2:8" ht="13.5" thickBot="1" x14ac:dyDescent="0.35">
      <c r="B1782" s="9"/>
      <c r="C1782" s="14" t="s">
        <v>235</v>
      </c>
      <c r="D1782" s="14" t="s">
        <v>25</v>
      </c>
      <c r="E1782" s="18" t="s">
        <v>9</v>
      </c>
      <c r="F1782" s="17" t="s">
        <v>23</v>
      </c>
      <c r="G1782" s="17">
        <f>G1781</f>
        <v>0</v>
      </c>
      <c r="H1782" s="13">
        <f t="shared" si="27"/>
        <v>0</v>
      </c>
    </row>
    <row r="1783" spans="2:8" ht="13.5" thickBot="1" x14ac:dyDescent="0.35">
      <c r="B1783" s="9"/>
      <c r="C1783" s="14" t="s">
        <v>34</v>
      </c>
      <c r="D1783" s="14" t="s">
        <v>27</v>
      </c>
      <c r="E1783" s="18" t="s">
        <v>8</v>
      </c>
      <c r="F1783" s="17" t="s">
        <v>23</v>
      </c>
      <c r="G1783" s="17">
        <f>G1781</f>
        <v>0</v>
      </c>
      <c r="H1783" s="13">
        <f t="shared" si="27"/>
        <v>0</v>
      </c>
    </row>
    <row r="1784" spans="2:8" ht="13.5" thickBot="1" x14ac:dyDescent="0.35">
      <c r="B1784" s="9"/>
      <c r="C1784" s="14" t="s">
        <v>957</v>
      </c>
      <c r="D1784" s="14" t="s">
        <v>29</v>
      </c>
      <c r="E1784" s="18" t="s">
        <v>8</v>
      </c>
      <c r="F1784" s="17" t="s">
        <v>23</v>
      </c>
      <c r="G1784" s="17">
        <f>G1781</f>
        <v>0</v>
      </c>
      <c r="H1784" s="13">
        <f t="shared" si="27"/>
        <v>0</v>
      </c>
    </row>
    <row r="1785" spans="2:8" s="2" customFormat="1" ht="13.5" thickBot="1" x14ac:dyDescent="0.35">
      <c r="B1785" s="9">
        <f>COUNT($B$4:B1784)+1</f>
        <v>606</v>
      </c>
      <c r="C1785" s="10" t="s">
        <v>1016</v>
      </c>
      <c r="D1785" s="10"/>
      <c r="E1785" s="11" t="s">
        <v>8</v>
      </c>
      <c r="F1785" s="12" t="s">
        <v>23</v>
      </c>
      <c r="G1785" s="12"/>
      <c r="H1785" s="13">
        <f t="shared" si="27"/>
        <v>0</v>
      </c>
    </row>
    <row r="1786" spans="2:8" s="2" customFormat="1" ht="13.5" thickBot="1" x14ac:dyDescent="0.35">
      <c r="B1786" s="9"/>
      <c r="C1786" s="14" t="s">
        <v>235</v>
      </c>
      <c r="D1786" s="14" t="s">
        <v>25</v>
      </c>
      <c r="E1786" s="18" t="s">
        <v>9</v>
      </c>
      <c r="F1786" s="17" t="s">
        <v>23</v>
      </c>
      <c r="G1786" s="17">
        <f>G1785</f>
        <v>0</v>
      </c>
      <c r="H1786" s="13">
        <f t="shared" si="27"/>
        <v>0</v>
      </c>
    </row>
    <row r="1787" spans="2:8" s="2" customFormat="1" ht="13.5" thickBot="1" x14ac:dyDescent="0.35">
      <c r="B1787" s="9"/>
      <c r="C1787" s="14" t="s">
        <v>26</v>
      </c>
      <c r="D1787" s="14" t="s">
        <v>27</v>
      </c>
      <c r="E1787" s="18" t="s">
        <v>8</v>
      </c>
      <c r="F1787" s="17" t="s">
        <v>23</v>
      </c>
      <c r="G1787" s="17">
        <f>G1785</f>
        <v>0</v>
      </c>
      <c r="H1787" s="13">
        <f t="shared" si="27"/>
        <v>0</v>
      </c>
    </row>
    <row r="1788" spans="2:8" s="2" customFormat="1" ht="13.5" thickBot="1" x14ac:dyDescent="0.35">
      <c r="B1788" s="9"/>
      <c r="C1788" s="14" t="s">
        <v>957</v>
      </c>
      <c r="D1788" s="14" t="s">
        <v>29</v>
      </c>
      <c r="E1788" s="18" t="s">
        <v>8</v>
      </c>
      <c r="F1788" s="17" t="s">
        <v>23</v>
      </c>
      <c r="G1788" s="17">
        <f>G1785</f>
        <v>0</v>
      </c>
      <c r="H1788" s="13">
        <f t="shared" si="27"/>
        <v>0</v>
      </c>
    </row>
    <row r="1789" spans="2:8" s="2" customFormat="1" ht="13.5" thickBot="1" x14ac:dyDescent="0.35">
      <c r="B1789" s="9">
        <f>COUNT($B$4:B1788)+1</f>
        <v>607</v>
      </c>
      <c r="C1789" s="10" t="s">
        <v>1017</v>
      </c>
      <c r="D1789" s="10"/>
      <c r="E1789" s="11" t="s">
        <v>8</v>
      </c>
      <c r="F1789" s="12" t="s">
        <v>23</v>
      </c>
      <c r="G1789" s="12"/>
      <c r="H1789" s="13">
        <f t="shared" si="27"/>
        <v>0</v>
      </c>
    </row>
    <row r="1790" spans="2:8" s="2" customFormat="1" ht="13.5" thickBot="1" x14ac:dyDescent="0.35">
      <c r="B1790" s="9"/>
      <c r="C1790" s="14" t="s">
        <v>235</v>
      </c>
      <c r="D1790" s="14" t="s">
        <v>25</v>
      </c>
      <c r="E1790" s="18" t="s">
        <v>9</v>
      </c>
      <c r="F1790" s="17" t="s">
        <v>23</v>
      </c>
      <c r="G1790" s="17">
        <f>G1789</f>
        <v>0</v>
      </c>
      <c r="H1790" s="13">
        <f t="shared" si="27"/>
        <v>0</v>
      </c>
    </row>
    <row r="1791" spans="2:8" s="2" customFormat="1" ht="13.5" thickBot="1" x14ac:dyDescent="0.35">
      <c r="B1791" s="9"/>
      <c r="C1791" s="14" t="s">
        <v>34</v>
      </c>
      <c r="D1791" s="14" t="s">
        <v>27</v>
      </c>
      <c r="E1791" s="18" t="s">
        <v>8</v>
      </c>
      <c r="F1791" s="17" t="s">
        <v>23</v>
      </c>
      <c r="G1791" s="17">
        <f>G1789</f>
        <v>0</v>
      </c>
      <c r="H1791" s="13">
        <f t="shared" si="27"/>
        <v>0</v>
      </c>
    </row>
    <row r="1792" spans="2:8" s="2" customFormat="1" ht="13.5" thickBot="1" x14ac:dyDescent="0.35">
      <c r="B1792" s="9"/>
      <c r="C1792" s="14" t="s">
        <v>957</v>
      </c>
      <c r="D1792" s="14" t="s">
        <v>29</v>
      </c>
      <c r="E1792" s="18" t="s">
        <v>8</v>
      </c>
      <c r="F1792" s="17" t="s">
        <v>23</v>
      </c>
      <c r="G1792" s="17">
        <f>G1789</f>
        <v>0</v>
      </c>
      <c r="H1792" s="13">
        <f t="shared" si="27"/>
        <v>0</v>
      </c>
    </row>
    <row r="1793" spans="2:8" ht="13.5" thickBot="1" x14ac:dyDescent="0.35">
      <c r="B1793" s="9">
        <f>COUNT($B$4:B1792)+1</f>
        <v>608</v>
      </c>
      <c r="C1793" s="10" t="s">
        <v>1018</v>
      </c>
      <c r="D1793" s="10"/>
      <c r="E1793" s="11" t="s">
        <v>8</v>
      </c>
      <c r="F1793" s="12" t="s">
        <v>23</v>
      </c>
      <c r="G1793" s="12"/>
      <c r="H1793" s="13">
        <f t="shared" si="27"/>
        <v>0</v>
      </c>
    </row>
    <row r="1794" spans="2:8" ht="13.5" thickBot="1" x14ac:dyDescent="0.35">
      <c r="B1794" s="9"/>
      <c r="C1794" s="14" t="s">
        <v>235</v>
      </c>
      <c r="D1794" s="14" t="s">
        <v>25</v>
      </c>
      <c r="E1794" s="18" t="s">
        <v>9</v>
      </c>
      <c r="F1794" s="17" t="s">
        <v>23</v>
      </c>
      <c r="G1794" s="17">
        <f>G1793</f>
        <v>0</v>
      </c>
      <c r="H1794" s="13">
        <f t="shared" si="27"/>
        <v>0</v>
      </c>
    </row>
    <row r="1795" spans="2:8" ht="13.5" thickBot="1" x14ac:dyDescent="0.35">
      <c r="B1795" s="9"/>
      <c r="C1795" s="14" t="s">
        <v>26</v>
      </c>
      <c r="D1795" s="14" t="s">
        <v>27</v>
      </c>
      <c r="E1795" s="18" t="s">
        <v>8</v>
      </c>
      <c r="F1795" s="17" t="s">
        <v>23</v>
      </c>
      <c r="G1795" s="17">
        <f>G1793</f>
        <v>0</v>
      </c>
      <c r="H1795" s="13">
        <f t="shared" si="27"/>
        <v>0</v>
      </c>
    </row>
    <row r="1796" spans="2:8" ht="13.5" thickBot="1" x14ac:dyDescent="0.35">
      <c r="B1796" s="9"/>
      <c r="C1796" s="14" t="s">
        <v>957</v>
      </c>
      <c r="D1796" s="14" t="s">
        <v>29</v>
      </c>
      <c r="E1796" s="18" t="s">
        <v>8</v>
      </c>
      <c r="F1796" s="17" t="s">
        <v>23</v>
      </c>
      <c r="G1796" s="17">
        <f>G1793</f>
        <v>0</v>
      </c>
      <c r="H1796" s="13">
        <f t="shared" si="27"/>
        <v>0</v>
      </c>
    </row>
    <row r="1797" spans="2:8" ht="13.5" thickBot="1" x14ac:dyDescent="0.35">
      <c r="B1797" s="9"/>
      <c r="C1797" s="14" t="s">
        <v>31</v>
      </c>
      <c r="D1797" s="14" t="s">
        <v>32</v>
      </c>
      <c r="E1797" s="18" t="s">
        <v>8</v>
      </c>
      <c r="F1797" s="17" t="s">
        <v>23</v>
      </c>
      <c r="G1797" s="17">
        <f>G1793</f>
        <v>0</v>
      </c>
      <c r="H1797" s="13">
        <f t="shared" ref="H1797:H1860" si="28">SUM(G1797:G1797)</f>
        <v>0</v>
      </c>
    </row>
    <row r="1798" spans="2:8" ht="13.5" thickBot="1" x14ac:dyDescent="0.35">
      <c r="B1798" s="9">
        <f>COUNT($B$4:B1797)+1</f>
        <v>609</v>
      </c>
      <c r="C1798" s="10" t="s">
        <v>1019</v>
      </c>
      <c r="D1798" s="10"/>
      <c r="E1798" s="11" t="s">
        <v>8</v>
      </c>
      <c r="F1798" s="12" t="s">
        <v>23</v>
      </c>
      <c r="G1798" s="12"/>
      <c r="H1798" s="13">
        <f t="shared" si="28"/>
        <v>0</v>
      </c>
    </row>
    <row r="1799" spans="2:8" ht="13.5" thickBot="1" x14ac:dyDescent="0.35">
      <c r="B1799" s="9"/>
      <c r="C1799" s="14" t="s">
        <v>235</v>
      </c>
      <c r="D1799" s="14" t="s">
        <v>25</v>
      </c>
      <c r="E1799" s="18" t="s">
        <v>9</v>
      </c>
      <c r="F1799" s="17" t="s">
        <v>23</v>
      </c>
      <c r="G1799" s="17">
        <f>G1798</f>
        <v>0</v>
      </c>
      <c r="H1799" s="13">
        <f t="shared" si="28"/>
        <v>0</v>
      </c>
    </row>
    <row r="1800" spans="2:8" ht="13.5" thickBot="1" x14ac:dyDescent="0.35">
      <c r="B1800" s="9"/>
      <c r="C1800" s="14" t="s">
        <v>34</v>
      </c>
      <c r="D1800" s="14" t="s">
        <v>27</v>
      </c>
      <c r="E1800" s="18" t="s">
        <v>8</v>
      </c>
      <c r="F1800" s="17" t="s">
        <v>23</v>
      </c>
      <c r="G1800" s="17">
        <f>G1798</f>
        <v>0</v>
      </c>
      <c r="H1800" s="13">
        <f t="shared" si="28"/>
        <v>0</v>
      </c>
    </row>
    <row r="1801" spans="2:8" ht="13.5" thickBot="1" x14ac:dyDescent="0.35">
      <c r="B1801" s="9"/>
      <c r="C1801" s="14" t="s">
        <v>957</v>
      </c>
      <c r="D1801" s="14" t="s">
        <v>29</v>
      </c>
      <c r="E1801" s="18" t="s">
        <v>8</v>
      </c>
      <c r="F1801" s="17" t="s">
        <v>23</v>
      </c>
      <c r="G1801" s="17">
        <f>G1798</f>
        <v>0</v>
      </c>
      <c r="H1801" s="13">
        <f t="shared" si="28"/>
        <v>0</v>
      </c>
    </row>
    <row r="1802" spans="2:8" ht="13.5" thickBot="1" x14ac:dyDescent="0.35">
      <c r="B1802" s="9"/>
      <c r="C1802" s="14" t="s">
        <v>31</v>
      </c>
      <c r="D1802" s="14" t="s">
        <v>32</v>
      </c>
      <c r="E1802" s="18" t="s">
        <v>8</v>
      </c>
      <c r="F1802" s="17" t="s">
        <v>23</v>
      </c>
      <c r="G1802" s="17">
        <f>G1798</f>
        <v>0</v>
      </c>
      <c r="H1802" s="13">
        <f t="shared" si="28"/>
        <v>0</v>
      </c>
    </row>
    <row r="1803" spans="2:8" ht="13.5" thickBot="1" x14ac:dyDescent="0.35">
      <c r="B1803" s="9">
        <f>COUNT($B$4:B1802)+1</f>
        <v>610</v>
      </c>
      <c r="C1803" s="10" t="s">
        <v>1020</v>
      </c>
      <c r="D1803" s="10"/>
      <c r="E1803" s="11" t="s">
        <v>8</v>
      </c>
      <c r="F1803" s="12" t="s">
        <v>23</v>
      </c>
      <c r="G1803" s="12"/>
      <c r="H1803" s="13">
        <f t="shared" si="28"/>
        <v>0</v>
      </c>
    </row>
    <row r="1804" spans="2:8" ht="13.5" thickBot="1" x14ac:dyDescent="0.35">
      <c r="B1804" s="9"/>
      <c r="C1804" s="14" t="s">
        <v>235</v>
      </c>
      <c r="D1804" s="14" t="s">
        <v>25</v>
      </c>
      <c r="E1804" s="18" t="s">
        <v>9</v>
      </c>
      <c r="F1804" s="17" t="s">
        <v>23</v>
      </c>
      <c r="G1804" s="17">
        <f>G1803</f>
        <v>0</v>
      </c>
      <c r="H1804" s="13">
        <f t="shared" si="28"/>
        <v>0</v>
      </c>
    </row>
    <row r="1805" spans="2:8" ht="13.5" thickBot="1" x14ac:dyDescent="0.35">
      <c r="B1805" s="9"/>
      <c r="C1805" s="14" t="s">
        <v>26</v>
      </c>
      <c r="D1805" s="14" t="s">
        <v>27</v>
      </c>
      <c r="E1805" s="18" t="s">
        <v>8</v>
      </c>
      <c r="F1805" s="17" t="s">
        <v>23</v>
      </c>
      <c r="G1805" s="17">
        <f>G1803</f>
        <v>0</v>
      </c>
      <c r="H1805" s="13">
        <f t="shared" si="28"/>
        <v>0</v>
      </c>
    </row>
    <row r="1806" spans="2:8" ht="13.5" thickBot="1" x14ac:dyDescent="0.35">
      <c r="B1806" s="9"/>
      <c r="C1806" s="14" t="s">
        <v>1021</v>
      </c>
      <c r="D1806" s="14"/>
      <c r="E1806" s="18" t="s">
        <v>8</v>
      </c>
      <c r="F1806" s="17" t="s">
        <v>23</v>
      </c>
      <c r="G1806" s="17">
        <f>G1803</f>
        <v>0</v>
      </c>
      <c r="H1806" s="13">
        <f t="shared" si="28"/>
        <v>0</v>
      </c>
    </row>
    <row r="1807" spans="2:8" ht="13.5" thickBot="1" x14ac:dyDescent="0.35">
      <c r="B1807" s="9">
        <f>COUNT($B$4:B1806)+1</f>
        <v>611</v>
      </c>
      <c r="C1807" s="10" t="s">
        <v>1022</v>
      </c>
      <c r="D1807" s="10"/>
      <c r="E1807" s="11" t="s">
        <v>8</v>
      </c>
      <c r="F1807" s="12" t="s">
        <v>23</v>
      </c>
      <c r="G1807" s="12"/>
      <c r="H1807" s="13">
        <f t="shared" si="28"/>
        <v>0</v>
      </c>
    </row>
    <row r="1808" spans="2:8" ht="13.5" thickBot="1" x14ac:dyDescent="0.35">
      <c r="B1808" s="9"/>
      <c r="C1808" s="14" t="s">
        <v>235</v>
      </c>
      <c r="D1808" s="14" t="s">
        <v>25</v>
      </c>
      <c r="E1808" s="18" t="s">
        <v>9</v>
      </c>
      <c r="F1808" s="17" t="s">
        <v>23</v>
      </c>
      <c r="G1808" s="17">
        <f>G1807</f>
        <v>0</v>
      </c>
      <c r="H1808" s="13">
        <f t="shared" si="28"/>
        <v>0</v>
      </c>
    </row>
    <row r="1809" spans="2:8" ht="13.5" thickBot="1" x14ac:dyDescent="0.35">
      <c r="B1809" s="9"/>
      <c r="C1809" s="14" t="s">
        <v>34</v>
      </c>
      <c r="D1809" s="14" t="s">
        <v>27</v>
      </c>
      <c r="E1809" s="18" t="s">
        <v>8</v>
      </c>
      <c r="F1809" s="17" t="s">
        <v>23</v>
      </c>
      <c r="G1809" s="17">
        <f>G1807</f>
        <v>0</v>
      </c>
      <c r="H1809" s="13">
        <f t="shared" si="28"/>
        <v>0</v>
      </c>
    </row>
    <row r="1810" spans="2:8" ht="13.5" thickBot="1" x14ac:dyDescent="0.35">
      <c r="B1810" s="9"/>
      <c r="C1810" s="14" t="s">
        <v>1021</v>
      </c>
      <c r="D1810" s="14"/>
      <c r="E1810" s="18" t="s">
        <v>8</v>
      </c>
      <c r="F1810" s="17" t="s">
        <v>23</v>
      </c>
      <c r="G1810" s="17">
        <f>G1807</f>
        <v>0</v>
      </c>
      <c r="H1810" s="13">
        <f t="shared" si="28"/>
        <v>0</v>
      </c>
    </row>
    <row r="1811" spans="2:8" ht="13.5" thickBot="1" x14ac:dyDescent="0.35">
      <c r="B1811" s="9">
        <f>COUNT($B$4:B1810)+1</f>
        <v>612</v>
      </c>
      <c r="C1811" s="10" t="s">
        <v>1023</v>
      </c>
      <c r="D1811" s="10"/>
      <c r="E1811" s="11" t="s">
        <v>8</v>
      </c>
      <c r="F1811" s="12" t="s">
        <v>23</v>
      </c>
      <c r="G1811" s="12"/>
      <c r="H1811" s="13">
        <f t="shared" si="28"/>
        <v>0</v>
      </c>
    </row>
    <row r="1812" spans="2:8" ht="13.5" thickBot="1" x14ac:dyDescent="0.35">
      <c r="B1812" s="9"/>
      <c r="C1812" s="14" t="s">
        <v>235</v>
      </c>
      <c r="D1812" s="14" t="s">
        <v>25</v>
      </c>
      <c r="E1812" s="18" t="s">
        <v>9</v>
      </c>
      <c r="F1812" s="17" t="s">
        <v>23</v>
      </c>
      <c r="G1812" s="17">
        <f>G1811</f>
        <v>0</v>
      </c>
      <c r="H1812" s="13">
        <f t="shared" si="28"/>
        <v>0</v>
      </c>
    </row>
    <row r="1813" spans="2:8" ht="13.5" thickBot="1" x14ac:dyDescent="0.35">
      <c r="B1813" s="9"/>
      <c r="C1813" s="14" t="s">
        <v>26</v>
      </c>
      <c r="D1813" s="14" t="s">
        <v>27</v>
      </c>
      <c r="E1813" s="18" t="s">
        <v>8</v>
      </c>
      <c r="F1813" s="17" t="s">
        <v>23</v>
      </c>
      <c r="G1813" s="17">
        <f>G1811*2</f>
        <v>0</v>
      </c>
      <c r="H1813" s="13">
        <f t="shared" si="28"/>
        <v>0</v>
      </c>
    </row>
    <row r="1814" spans="2:8" ht="13.5" thickBot="1" x14ac:dyDescent="0.35">
      <c r="B1814" s="9"/>
      <c r="C1814" s="14" t="s">
        <v>1024</v>
      </c>
      <c r="D1814" s="14" t="s">
        <v>29</v>
      </c>
      <c r="E1814" s="18" t="s">
        <v>8</v>
      </c>
      <c r="F1814" s="17" t="s">
        <v>23</v>
      </c>
      <c r="G1814" s="17">
        <f>G1811</f>
        <v>0</v>
      </c>
      <c r="H1814" s="13">
        <f t="shared" si="28"/>
        <v>0</v>
      </c>
    </row>
    <row r="1815" spans="2:8" ht="13.5" thickBot="1" x14ac:dyDescent="0.35">
      <c r="B1815" s="9">
        <f>COUNT($B$4:B1814)+1</f>
        <v>613</v>
      </c>
      <c r="C1815" s="10" t="s">
        <v>1025</v>
      </c>
      <c r="D1815" s="10"/>
      <c r="E1815" s="11" t="s">
        <v>8</v>
      </c>
      <c r="F1815" s="12" t="s">
        <v>23</v>
      </c>
      <c r="G1815" s="12"/>
      <c r="H1815" s="13">
        <f t="shared" si="28"/>
        <v>0</v>
      </c>
    </row>
    <row r="1816" spans="2:8" ht="13.5" thickBot="1" x14ac:dyDescent="0.35">
      <c r="B1816" s="9"/>
      <c r="C1816" s="14" t="s">
        <v>235</v>
      </c>
      <c r="D1816" s="14" t="s">
        <v>25</v>
      </c>
      <c r="E1816" s="18" t="s">
        <v>9</v>
      </c>
      <c r="F1816" s="17" t="s">
        <v>23</v>
      </c>
      <c r="G1816" s="17">
        <f>G1815</f>
        <v>0</v>
      </c>
      <c r="H1816" s="13">
        <f t="shared" si="28"/>
        <v>0</v>
      </c>
    </row>
    <row r="1817" spans="2:8" ht="13.5" thickBot="1" x14ac:dyDescent="0.35">
      <c r="B1817" s="9"/>
      <c r="C1817" s="14" t="s">
        <v>34</v>
      </c>
      <c r="D1817" s="14" t="s">
        <v>27</v>
      </c>
      <c r="E1817" s="18" t="s">
        <v>8</v>
      </c>
      <c r="F1817" s="17" t="s">
        <v>23</v>
      </c>
      <c r="G1817" s="17">
        <f>G1815*2</f>
        <v>0</v>
      </c>
      <c r="H1817" s="13">
        <f t="shared" si="28"/>
        <v>0</v>
      </c>
    </row>
    <row r="1818" spans="2:8" ht="13.5" thickBot="1" x14ac:dyDescent="0.35">
      <c r="B1818" s="9"/>
      <c r="C1818" s="14" t="s">
        <v>1024</v>
      </c>
      <c r="D1818" s="14" t="s">
        <v>29</v>
      </c>
      <c r="E1818" s="18" t="s">
        <v>8</v>
      </c>
      <c r="F1818" s="17" t="s">
        <v>23</v>
      </c>
      <c r="G1818" s="17">
        <f>G1815</f>
        <v>0</v>
      </c>
      <c r="H1818" s="13">
        <f t="shared" si="28"/>
        <v>0</v>
      </c>
    </row>
    <row r="1819" spans="2:8" ht="13.5" thickBot="1" x14ac:dyDescent="0.35">
      <c r="B1819" s="9">
        <f>COUNT($B$4:B1818)+1</f>
        <v>614</v>
      </c>
      <c r="C1819" s="10" t="s">
        <v>1026</v>
      </c>
      <c r="D1819" s="10"/>
      <c r="E1819" s="11" t="s">
        <v>8</v>
      </c>
      <c r="F1819" s="12" t="s">
        <v>23</v>
      </c>
      <c r="G1819" s="12"/>
      <c r="H1819" s="13">
        <f t="shared" si="28"/>
        <v>0</v>
      </c>
    </row>
    <row r="1820" spans="2:8" ht="13.5" thickBot="1" x14ac:dyDescent="0.35">
      <c r="B1820" s="9"/>
      <c r="C1820" s="14" t="s">
        <v>235</v>
      </c>
      <c r="D1820" s="14" t="s">
        <v>25</v>
      </c>
      <c r="E1820" s="18" t="s">
        <v>9</v>
      </c>
      <c r="F1820" s="17" t="s">
        <v>23</v>
      </c>
      <c r="G1820" s="17">
        <f>G1819</f>
        <v>0</v>
      </c>
      <c r="H1820" s="13">
        <f t="shared" si="28"/>
        <v>0</v>
      </c>
    </row>
    <row r="1821" spans="2:8" ht="13.5" thickBot="1" x14ac:dyDescent="0.35">
      <c r="B1821" s="9"/>
      <c r="C1821" s="14" t="s">
        <v>26</v>
      </c>
      <c r="D1821" s="14" t="s">
        <v>27</v>
      </c>
      <c r="E1821" s="18" t="s">
        <v>8</v>
      </c>
      <c r="F1821" s="17" t="s">
        <v>23</v>
      </c>
      <c r="G1821" s="17">
        <f>G1819*2</f>
        <v>0</v>
      </c>
      <c r="H1821" s="13">
        <f t="shared" si="28"/>
        <v>0</v>
      </c>
    </row>
    <row r="1822" spans="2:8" ht="13.5" thickBot="1" x14ac:dyDescent="0.35">
      <c r="B1822" s="9"/>
      <c r="C1822" s="14" t="s">
        <v>1024</v>
      </c>
      <c r="D1822" s="14" t="s">
        <v>29</v>
      </c>
      <c r="E1822" s="18" t="s">
        <v>8</v>
      </c>
      <c r="F1822" s="17" t="s">
        <v>23</v>
      </c>
      <c r="G1822" s="17">
        <f>G1819</f>
        <v>0</v>
      </c>
      <c r="H1822" s="13">
        <f t="shared" si="28"/>
        <v>0</v>
      </c>
    </row>
    <row r="1823" spans="2:8" ht="13.5" thickBot="1" x14ac:dyDescent="0.35">
      <c r="B1823" s="9"/>
      <c r="C1823" s="14" t="s">
        <v>31</v>
      </c>
      <c r="D1823" s="14" t="s">
        <v>32</v>
      </c>
      <c r="E1823" s="18" t="s">
        <v>8</v>
      </c>
      <c r="F1823" s="17" t="s">
        <v>23</v>
      </c>
      <c r="G1823" s="17">
        <f>G1819</f>
        <v>0</v>
      </c>
      <c r="H1823" s="13">
        <f t="shared" si="28"/>
        <v>0</v>
      </c>
    </row>
    <row r="1824" spans="2:8" ht="13.5" thickBot="1" x14ac:dyDescent="0.35">
      <c r="B1824" s="9">
        <f>COUNT($B$4:B1823)+1</f>
        <v>615</v>
      </c>
      <c r="C1824" s="10" t="s">
        <v>1027</v>
      </c>
      <c r="D1824" s="10"/>
      <c r="E1824" s="11" t="s">
        <v>8</v>
      </c>
      <c r="F1824" s="12" t="s">
        <v>23</v>
      </c>
      <c r="G1824" s="12"/>
      <c r="H1824" s="13">
        <f t="shared" si="28"/>
        <v>0</v>
      </c>
    </row>
    <row r="1825" spans="2:8" ht="13.5" thickBot="1" x14ac:dyDescent="0.35">
      <c r="B1825" s="9"/>
      <c r="C1825" s="14" t="s">
        <v>235</v>
      </c>
      <c r="D1825" s="14" t="s">
        <v>25</v>
      </c>
      <c r="E1825" s="18" t="s">
        <v>9</v>
      </c>
      <c r="F1825" s="17" t="s">
        <v>23</v>
      </c>
      <c r="G1825" s="17">
        <f>G1824</f>
        <v>0</v>
      </c>
      <c r="H1825" s="13">
        <f t="shared" si="28"/>
        <v>0</v>
      </c>
    </row>
    <row r="1826" spans="2:8" ht="13.5" thickBot="1" x14ac:dyDescent="0.35">
      <c r="B1826" s="9"/>
      <c r="C1826" s="14" t="s">
        <v>34</v>
      </c>
      <c r="D1826" s="14" t="s">
        <v>27</v>
      </c>
      <c r="E1826" s="18" t="s">
        <v>8</v>
      </c>
      <c r="F1826" s="17" t="s">
        <v>23</v>
      </c>
      <c r="G1826" s="17">
        <f>G1824*2</f>
        <v>0</v>
      </c>
      <c r="H1826" s="13">
        <f t="shared" si="28"/>
        <v>0</v>
      </c>
    </row>
    <row r="1827" spans="2:8" ht="13.5" thickBot="1" x14ac:dyDescent="0.35">
      <c r="B1827" s="9"/>
      <c r="C1827" s="14" t="s">
        <v>1024</v>
      </c>
      <c r="D1827" s="14" t="s">
        <v>29</v>
      </c>
      <c r="E1827" s="18" t="s">
        <v>8</v>
      </c>
      <c r="F1827" s="17" t="s">
        <v>23</v>
      </c>
      <c r="G1827" s="17">
        <f>G1824</f>
        <v>0</v>
      </c>
      <c r="H1827" s="13">
        <f t="shared" si="28"/>
        <v>0</v>
      </c>
    </row>
    <row r="1828" spans="2:8" ht="13.5" thickBot="1" x14ac:dyDescent="0.35">
      <c r="B1828" s="9"/>
      <c r="C1828" s="14" t="s">
        <v>31</v>
      </c>
      <c r="D1828" s="14" t="s">
        <v>32</v>
      </c>
      <c r="E1828" s="18" t="s">
        <v>8</v>
      </c>
      <c r="F1828" s="17" t="s">
        <v>23</v>
      </c>
      <c r="G1828" s="17">
        <f>G1824</f>
        <v>0</v>
      </c>
      <c r="H1828" s="13">
        <f t="shared" si="28"/>
        <v>0</v>
      </c>
    </row>
    <row r="1829" spans="2:8" ht="13.5" thickBot="1" x14ac:dyDescent="0.35">
      <c r="B1829" s="9">
        <f>COUNT($B$4:B1828)+1</f>
        <v>616</v>
      </c>
      <c r="C1829" s="10" t="s">
        <v>1028</v>
      </c>
      <c r="D1829" s="10"/>
      <c r="E1829" s="11" t="s">
        <v>8</v>
      </c>
      <c r="F1829" s="12" t="s">
        <v>23</v>
      </c>
      <c r="G1829" s="12"/>
      <c r="H1829" s="13">
        <f t="shared" si="28"/>
        <v>0</v>
      </c>
    </row>
    <row r="1830" spans="2:8" ht="13.5" thickBot="1" x14ac:dyDescent="0.35">
      <c r="B1830" s="9"/>
      <c r="C1830" s="14" t="s">
        <v>235</v>
      </c>
      <c r="D1830" s="14" t="s">
        <v>25</v>
      </c>
      <c r="E1830" s="18" t="s">
        <v>9</v>
      </c>
      <c r="F1830" s="17" t="s">
        <v>23</v>
      </c>
      <c r="G1830" s="17">
        <f>G1829</f>
        <v>0</v>
      </c>
      <c r="H1830" s="13">
        <f t="shared" si="28"/>
        <v>0</v>
      </c>
    </row>
    <row r="1831" spans="2:8" ht="13.5" thickBot="1" x14ac:dyDescent="0.35">
      <c r="B1831" s="9"/>
      <c r="C1831" s="14" t="s">
        <v>962</v>
      </c>
      <c r="D1831" s="14" t="s">
        <v>27</v>
      </c>
      <c r="E1831" s="18" t="s">
        <v>8</v>
      </c>
      <c r="F1831" s="17" t="s">
        <v>23</v>
      </c>
      <c r="G1831" s="17">
        <f>G1829</f>
        <v>0</v>
      </c>
      <c r="H1831" s="13">
        <f t="shared" si="28"/>
        <v>0</v>
      </c>
    </row>
    <row r="1832" spans="2:8" ht="13.5" thickBot="1" x14ac:dyDescent="0.35">
      <c r="B1832" s="9"/>
      <c r="C1832" s="14" t="s">
        <v>963</v>
      </c>
      <c r="D1832" s="14"/>
      <c r="E1832" s="18" t="s">
        <v>8</v>
      </c>
      <c r="F1832" s="17" t="s">
        <v>23</v>
      </c>
      <c r="G1832" s="17">
        <f>G1829</f>
        <v>0</v>
      </c>
      <c r="H1832" s="13">
        <f t="shared" si="28"/>
        <v>0</v>
      </c>
    </row>
    <row r="1833" spans="2:8" ht="13.5" thickBot="1" x14ac:dyDescent="0.35">
      <c r="B1833" s="9"/>
      <c r="C1833" s="14" t="s">
        <v>1029</v>
      </c>
      <c r="D1833" s="14" t="s">
        <v>29</v>
      </c>
      <c r="E1833" s="18" t="s">
        <v>8</v>
      </c>
      <c r="F1833" s="17" t="s">
        <v>23</v>
      </c>
      <c r="G1833" s="17">
        <f>G1829</f>
        <v>0</v>
      </c>
      <c r="H1833" s="13">
        <f t="shared" si="28"/>
        <v>0</v>
      </c>
    </row>
    <row r="1834" spans="2:8" ht="13.5" thickBot="1" x14ac:dyDescent="0.35">
      <c r="B1834" s="9">
        <f>COUNT($B$4:B1833)+1</f>
        <v>617</v>
      </c>
      <c r="C1834" s="10" t="s">
        <v>1030</v>
      </c>
      <c r="D1834" s="10"/>
      <c r="E1834" s="11" t="s">
        <v>8</v>
      </c>
      <c r="F1834" s="12" t="s">
        <v>23</v>
      </c>
      <c r="G1834" s="12"/>
      <c r="H1834" s="13">
        <f t="shared" si="28"/>
        <v>0</v>
      </c>
    </row>
    <row r="1835" spans="2:8" ht="13.5" thickBot="1" x14ac:dyDescent="0.35">
      <c r="B1835" s="9"/>
      <c r="C1835" s="14" t="s">
        <v>235</v>
      </c>
      <c r="D1835" s="14" t="s">
        <v>25</v>
      </c>
      <c r="E1835" s="18" t="s">
        <v>9</v>
      </c>
      <c r="F1835" s="17" t="s">
        <v>23</v>
      </c>
      <c r="G1835" s="17">
        <f>G1834</f>
        <v>0</v>
      </c>
      <c r="H1835" s="13">
        <f t="shared" si="28"/>
        <v>0</v>
      </c>
    </row>
    <row r="1836" spans="2:8" ht="13.5" thickBot="1" x14ac:dyDescent="0.35">
      <c r="B1836" s="9"/>
      <c r="C1836" s="14" t="s">
        <v>1031</v>
      </c>
      <c r="D1836" s="14" t="s">
        <v>27</v>
      </c>
      <c r="E1836" s="18" t="s">
        <v>8</v>
      </c>
      <c r="F1836" s="17" t="s">
        <v>23</v>
      </c>
      <c r="G1836" s="17">
        <f>G1834*2</f>
        <v>0</v>
      </c>
      <c r="H1836" s="13">
        <f t="shared" si="28"/>
        <v>0</v>
      </c>
    </row>
    <row r="1837" spans="2:8" ht="13.5" thickBot="1" x14ac:dyDescent="0.35">
      <c r="B1837" s="9"/>
      <c r="C1837" s="14" t="s">
        <v>1032</v>
      </c>
      <c r="D1837" s="14" t="s">
        <v>29</v>
      </c>
      <c r="E1837" s="18" t="s">
        <v>8</v>
      </c>
      <c r="F1837" s="17" t="s">
        <v>23</v>
      </c>
      <c r="G1837" s="17">
        <f>G1834</f>
        <v>0</v>
      </c>
      <c r="H1837" s="13">
        <f t="shared" si="28"/>
        <v>0</v>
      </c>
    </row>
    <row r="1838" spans="2:8" ht="13.5" thickBot="1" x14ac:dyDescent="0.35">
      <c r="B1838" s="9"/>
      <c r="C1838" s="14" t="s">
        <v>968</v>
      </c>
      <c r="D1838" s="14" t="s">
        <v>27</v>
      </c>
      <c r="E1838" s="18" t="s">
        <v>8</v>
      </c>
      <c r="F1838" s="17" t="s">
        <v>23</v>
      </c>
      <c r="G1838" s="17">
        <f>G1834</f>
        <v>0</v>
      </c>
      <c r="H1838" s="13">
        <f t="shared" si="28"/>
        <v>0</v>
      </c>
    </row>
    <row r="1839" spans="2:8" ht="13.5" thickBot="1" x14ac:dyDescent="0.35">
      <c r="B1839" s="9">
        <f>COUNT($B$4:B1838)+1</f>
        <v>618</v>
      </c>
      <c r="C1839" s="10" t="s">
        <v>1033</v>
      </c>
      <c r="D1839" s="10"/>
      <c r="E1839" s="11" t="s">
        <v>8</v>
      </c>
      <c r="F1839" s="12" t="s">
        <v>23</v>
      </c>
      <c r="G1839" s="12"/>
      <c r="H1839" s="13">
        <f t="shared" si="28"/>
        <v>0</v>
      </c>
    </row>
    <row r="1840" spans="2:8" ht="13.5" thickBot="1" x14ac:dyDescent="0.35">
      <c r="B1840" s="9"/>
      <c r="C1840" s="14" t="s">
        <v>235</v>
      </c>
      <c r="D1840" s="14" t="s">
        <v>25</v>
      </c>
      <c r="E1840" s="18" t="s">
        <v>9</v>
      </c>
      <c r="F1840" s="17" t="s">
        <v>23</v>
      </c>
      <c r="G1840" s="17">
        <f>G1839</f>
        <v>0</v>
      </c>
      <c r="H1840" s="13">
        <f t="shared" si="28"/>
        <v>0</v>
      </c>
    </row>
    <row r="1841" spans="2:8" ht="13.5" thickBot="1" x14ac:dyDescent="0.35">
      <c r="B1841" s="9"/>
      <c r="C1841" s="14" t="s">
        <v>1034</v>
      </c>
      <c r="D1841" s="14" t="s">
        <v>27</v>
      </c>
      <c r="E1841" s="18" t="s">
        <v>8</v>
      </c>
      <c r="F1841" s="17" t="s">
        <v>23</v>
      </c>
      <c r="G1841" s="17">
        <f>G1839*2</f>
        <v>0</v>
      </c>
      <c r="H1841" s="13">
        <f t="shared" si="28"/>
        <v>0</v>
      </c>
    </row>
    <row r="1842" spans="2:8" ht="13.5" thickBot="1" x14ac:dyDescent="0.35">
      <c r="B1842" s="9"/>
      <c r="C1842" s="14" t="s">
        <v>1032</v>
      </c>
      <c r="D1842" s="14" t="s">
        <v>29</v>
      </c>
      <c r="E1842" s="18" t="s">
        <v>8</v>
      </c>
      <c r="F1842" s="17" t="s">
        <v>23</v>
      </c>
      <c r="G1842" s="17">
        <f>G1839</f>
        <v>0</v>
      </c>
      <c r="H1842" s="13">
        <f t="shared" si="28"/>
        <v>0</v>
      </c>
    </row>
    <row r="1843" spans="2:8" ht="13.5" thickBot="1" x14ac:dyDescent="0.35">
      <c r="B1843" s="9"/>
      <c r="C1843" s="14" t="s">
        <v>968</v>
      </c>
      <c r="D1843" s="14" t="s">
        <v>27</v>
      </c>
      <c r="E1843" s="18" t="s">
        <v>8</v>
      </c>
      <c r="F1843" s="17" t="s">
        <v>23</v>
      </c>
      <c r="G1843" s="17">
        <f>G1839</f>
        <v>0</v>
      </c>
      <c r="H1843" s="13">
        <f t="shared" si="28"/>
        <v>0</v>
      </c>
    </row>
    <row r="1844" spans="2:8" ht="13.5" thickBot="1" x14ac:dyDescent="0.35">
      <c r="B1844" s="9">
        <f>COUNT($B$4:B1843)+1</f>
        <v>619</v>
      </c>
      <c r="C1844" s="10" t="s">
        <v>1035</v>
      </c>
      <c r="D1844" s="10"/>
      <c r="E1844" s="11" t="s">
        <v>8</v>
      </c>
      <c r="F1844" s="12" t="s">
        <v>23</v>
      </c>
      <c r="G1844" s="12"/>
      <c r="H1844" s="13">
        <f t="shared" si="28"/>
        <v>0</v>
      </c>
    </row>
    <row r="1845" spans="2:8" ht="13.5" thickBot="1" x14ac:dyDescent="0.35">
      <c r="B1845" s="9"/>
      <c r="C1845" s="14" t="s">
        <v>235</v>
      </c>
      <c r="D1845" s="14" t="s">
        <v>25</v>
      </c>
      <c r="E1845" s="18" t="s">
        <v>9</v>
      </c>
      <c r="F1845" s="17" t="s">
        <v>23</v>
      </c>
      <c r="G1845" s="17">
        <f>G1844</f>
        <v>0</v>
      </c>
      <c r="H1845" s="13">
        <f t="shared" si="28"/>
        <v>0</v>
      </c>
    </row>
    <row r="1846" spans="2:8" ht="13.5" thickBot="1" x14ac:dyDescent="0.35">
      <c r="B1846" s="9"/>
      <c r="C1846" s="14" t="s">
        <v>1031</v>
      </c>
      <c r="D1846" s="14" t="s">
        <v>27</v>
      </c>
      <c r="E1846" s="18" t="s">
        <v>8</v>
      </c>
      <c r="F1846" s="17" t="s">
        <v>23</v>
      </c>
      <c r="G1846" s="17">
        <f>G1844*2</f>
        <v>0</v>
      </c>
      <c r="H1846" s="13">
        <f t="shared" si="28"/>
        <v>0</v>
      </c>
    </row>
    <row r="1847" spans="2:8" ht="13.5" thickBot="1" x14ac:dyDescent="0.35">
      <c r="B1847" s="9"/>
      <c r="C1847" s="14" t="s">
        <v>1036</v>
      </c>
      <c r="D1847" s="14" t="s">
        <v>29</v>
      </c>
      <c r="E1847" s="18" t="s">
        <v>8</v>
      </c>
      <c r="F1847" s="17" t="s">
        <v>23</v>
      </c>
      <c r="G1847" s="17">
        <f>G1844</f>
        <v>0</v>
      </c>
      <c r="H1847" s="13">
        <f t="shared" si="28"/>
        <v>0</v>
      </c>
    </row>
    <row r="1848" spans="2:8" ht="13.5" thickBot="1" x14ac:dyDescent="0.35">
      <c r="B1848" s="9"/>
      <c r="C1848" s="14" t="s">
        <v>968</v>
      </c>
      <c r="D1848" s="14" t="s">
        <v>27</v>
      </c>
      <c r="E1848" s="18" t="s">
        <v>8</v>
      </c>
      <c r="F1848" s="17" t="s">
        <v>23</v>
      </c>
      <c r="G1848" s="17">
        <f>G1844</f>
        <v>0</v>
      </c>
      <c r="H1848" s="13">
        <f t="shared" si="28"/>
        <v>0</v>
      </c>
    </row>
    <row r="1849" spans="2:8" ht="13.5" thickBot="1" x14ac:dyDescent="0.35">
      <c r="B1849" s="9">
        <f>COUNT($B$4:B1848)+1</f>
        <v>620</v>
      </c>
      <c r="C1849" s="10" t="s">
        <v>1037</v>
      </c>
      <c r="D1849" s="10"/>
      <c r="E1849" s="11" t="s">
        <v>8</v>
      </c>
      <c r="F1849" s="12" t="s">
        <v>23</v>
      </c>
      <c r="G1849" s="12"/>
      <c r="H1849" s="13">
        <f t="shared" si="28"/>
        <v>0</v>
      </c>
    </row>
    <row r="1850" spans="2:8" ht="13.5" thickBot="1" x14ac:dyDescent="0.35">
      <c r="B1850" s="9"/>
      <c r="C1850" s="14" t="s">
        <v>235</v>
      </c>
      <c r="D1850" s="14" t="s">
        <v>25</v>
      </c>
      <c r="E1850" s="18" t="s">
        <v>9</v>
      </c>
      <c r="F1850" s="17" t="s">
        <v>23</v>
      </c>
      <c r="G1850" s="17">
        <f>G1849</f>
        <v>0</v>
      </c>
      <c r="H1850" s="13">
        <f t="shared" si="28"/>
        <v>0</v>
      </c>
    </row>
    <row r="1851" spans="2:8" ht="13.5" thickBot="1" x14ac:dyDescent="0.35">
      <c r="B1851" s="9"/>
      <c r="C1851" s="14" t="s">
        <v>1034</v>
      </c>
      <c r="D1851" s="14" t="s">
        <v>27</v>
      </c>
      <c r="E1851" s="18" t="s">
        <v>8</v>
      </c>
      <c r="F1851" s="17" t="s">
        <v>23</v>
      </c>
      <c r="G1851" s="17">
        <f>G1849*2</f>
        <v>0</v>
      </c>
      <c r="H1851" s="13">
        <f t="shared" si="28"/>
        <v>0</v>
      </c>
    </row>
    <row r="1852" spans="2:8" ht="13.5" thickBot="1" x14ac:dyDescent="0.35">
      <c r="B1852" s="9"/>
      <c r="C1852" s="14" t="s">
        <v>1036</v>
      </c>
      <c r="D1852" s="14" t="s">
        <v>29</v>
      </c>
      <c r="E1852" s="18" t="s">
        <v>8</v>
      </c>
      <c r="F1852" s="17" t="s">
        <v>23</v>
      </c>
      <c r="G1852" s="17">
        <f>G1849</f>
        <v>0</v>
      </c>
      <c r="H1852" s="13">
        <f t="shared" si="28"/>
        <v>0</v>
      </c>
    </row>
    <row r="1853" spans="2:8" ht="13.5" thickBot="1" x14ac:dyDescent="0.35">
      <c r="B1853" s="9"/>
      <c r="C1853" s="14" t="s">
        <v>968</v>
      </c>
      <c r="D1853" s="14" t="s">
        <v>27</v>
      </c>
      <c r="E1853" s="18" t="s">
        <v>8</v>
      </c>
      <c r="F1853" s="17" t="s">
        <v>23</v>
      </c>
      <c r="G1853" s="17">
        <f>G1849</f>
        <v>0</v>
      </c>
      <c r="H1853" s="13">
        <f t="shared" si="28"/>
        <v>0</v>
      </c>
    </row>
    <row r="1854" spans="2:8" ht="13.5" thickBot="1" x14ac:dyDescent="0.35">
      <c r="B1854" s="9">
        <f>COUNT($B$4:B1853)+1</f>
        <v>621</v>
      </c>
      <c r="C1854" s="10" t="s">
        <v>1038</v>
      </c>
      <c r="D1854" s="10"/>
      <c r="E1854" s="11" t="s">
        <v>8</v>
      </c>
      <c r="F1854" s="12" t="s">
        <v>23</v>
      </c>
      <c r="G1854" s="12"/>
      <c r="H1854" s="13">
        <f t="shared" si="28"/>
        <v>0</v>
      </c>
    </row>
    <row r="1855" spans="2:8" ht="13.5" thickBot="1" x14ac:dyDescent="0.35">
      <c r="B1855" s="9"/>
      <c r="C1855" s="14" t="s">
        <v>235</v>
      </c>
      <c r="D1855" s="14" t="s">
        <v>25</v>
      </c>
      <c r="E1855" s="18" t="s">
        <v>9</v>
      </c>
      <c r="F1855" s="17" t="s">
        <v>23</v>
      </c>
      <c r="G1855" s="17">
        <f>G1854</f>
        <v>0</v>
      </c>
      <c r="H1855" s="13">
        <f t="shared" si="28"/>
        <v>0</v>
      </c>
    </row>
    <row r="1856" spans="2:8" ht="13.5" thickBot="1" x14ac:dyDescent="0.35">
      <c r="B1856" s="9"/>
      <c r="C1856" s="14" t="s">
        <v>1039</v>
      </c>
      <c r="D1856" s="14" t="s">
        <v>27</v>
      </c>
      <c r="E1856" s="18" t="s">
        <v>8</v>
      </c>
      <c r="F1856" s="17" t="s">
        <v>23</v>
      </c>
      <c r="G1856" s="17">
        <f>G1854*2</f>
        <v>0</v>
      </c>
      <c r="H1856" s="13">
        <f t="shared" si="28"/>
        <v>0</v>
      </c>
    </row>
    <row r="1857" spans="2:8" ht="13.5" thickBot="1" x14ac:dyDescent="0.35">
      <c r="B1857" s="9"/>
      <c r="C1857" s="14" t="s">
        <v>1032</v>
      </c>
      <c r="D1857" s="14" t="s">
        <v>29</v>
      </c>
      <c r="E1857" s="18" t="s">
        <v>8</v>
      </c>
      <c r="F1857" s="17" t="s">
        <v>23</v>
      </c>
      <c r="G1857" s="17">
        <f>G1854</f>
        <v>0</v>
      </c>
      <c r="H1857" s="13">
        <f t="shared" si="28"/>
        <v>0</v>
      </c>
    </row>
    <row r="1858" spans="2:8" ht="13.5" thickBot="1" x14ac:dyDescent="0.35">
      <c r="B1858" s="9"/>
      <c r="C1858" s="14" t="s">
        <v>976</v>
      </c>
      <c r="D1858" s="14" t="s">
        <v>27</v>
      </c>
      <c r="E1858" s="18" t="s">
        <v>8</v>
      </c>
      <c r="F1858" s="17" t="s">
        <v>23</v>
      </c>
      <c r="G1858" s="17">
        <f>G1854</f>
        <v>0</v>
      </c>
      <c r="H1858" s="13">
        <f t="shared" si="28"/>
        <v>0</v>
      </c>
    </row>
    <row r="1859" spans="2:8" ht="13.5" thickBot="1" x14ac:dyDescent="0.35">
      <c r="B1859" s="9">
        <f>COUNT($B$4:B1858)+1</f>
        <v>622</v>
      </c>
      <c r="C1859" s="10" t="s">
        <v>1652</v>
      </c>
      <c r="D1859" s="10"/>
      <c r="E1859" s="11" t="s">
        <v>8</v>
      </c>
      <c r="F1859" s="12" t="s">
        <v>23</v>
      </c>
      <c r="G1859" s="12">
        <v>0</v>
      </c>
      <c r="H1859" s="13">
        <f t="shared" si="28"/>
        <v>0</v>
      </c>
    </row>
    <row r="1860" spans="2:8" ht="13.5" thickBot="1" x14ac:dyDescent="0.35">
      <c r="B1860" s="9"/>
      <c r="C1860" s="14" t="s">
        <v>235</v>
      </c>
      <c r="D1860" s="14" t="s">
        <v>25</v>
      </c>
      <c r="E1860" s="18" t="s">
        <v>9</v>
      </c>
      <c r="F1860" s="17" t="s">
        <v>23</v>
      </c>
      <c r="G1860" s="17">
        <f>G1859</f>
        <v>0</v>
      </c>
      <c r="H1860" s="13">
        <f t="shared" si="28"/>
        <v>0</v>
      </c>
    </row>
    <row r="1861" spans="2:8" ht="13.5" thickBot="1" x14ac:dyDescent="0.35">
      <c r="B1861" s="9"/>
      <c r="C1861" s="14" t="s">
        <v>1653</v>
      </c>
      <c r="D1861" s="14" t="s">
        <v>27</v>
      </c>
      <c r="E1861" s="18" t="s">
        <v>8</v>
      </c>
      <c r="F1861" s="17" t="s">
        <v>23</v>
      </c>
      <c r="G1861" s="17">
        <f>G1859*2</f>
        <v>0</v>
      </c>
      <c r="H1861" s="13">
        <f t="shared" ref="H1861:H1924" si="29">SUM(G1861:G1861)</f>
        <v>0</v>
      </c>
    </row>
    <row r="1862" spans="2:8" ht="13.5" thickBot="1" x14ac:dyDescent="0.35">
      <c r="B1862" s="9"/>
      <c r="C1862" s="14" t="s">
        <v>1032</v>
      </c>
      <c r="D1862" s="14" t="s">
        <v>29</v>
      </c>
      <c r="E1862" s="18" t="s">
        <v>8</v>
      </c>
      <c r="F1862" s="17" t="s">
        <v>23</v>
      </c>
      <c r="G1862" s="17">
        <f>G1859</f>
        <v>0</v>
      </c>
      <c r="H1862" s="13">
        <f t="shared" si="29"/>
        <v>0</v>
      </c>
    </row>
    <row r="1863" spans="2:8" ht="13.5" thickBot="1" x14ac:dyDescent="0.35">
      <c r="B1863" s="9"/>
      <c r="C1863" s="14" t="s">
        <v>976</v>
      </c>
      <c r="D1863" s="14" t="s">
        <v>27</v>
      </c>
      <c r="E1863" s="18" t="s">
        <v>8</v>
      </c>
      <c r="F1863" s="17" t="s">
        <v>23</v>
      </c>
      <c r="G1863" s="17">
        <v>0</v>
      </c>
      <c r="H1863" s="13">
        <f t="shared" si="29"/>
        <v>0</v>
      </c>
    </row>
    <row r="1864" spans="2:8" ht="13.5" thickBot="1" x14ac:dyDescent="0.35">
      <c r="B1864" s="9">
        <f>COUNT($B$4:B1863)+1</f>
        <v>623</v>
      </c>
      <c r="C1864" s="10" t="s">
        <v>1041</v>
      </c>
      <c r="D1864" s="10"/>
      <c r="E1864" s="11" t="s">
        <v>8</v>
      </c>
      <c r="F1864" s="12" t="s">
        <v>23</v>
      </c>
      <c r="G1864" s="12"/>
      <c r="H1864" s="13">
        <f t="shared" si="29"/>
        <v>0</v>
      </c>
    </row>
    <row r="1865" spans="2:8" ht="13.5" thickBot="1" x14ac:dyDescent="0.35">
      <c r="B1865" s="9"/>
      <c r="C1865" s="14" t="s">
        <v>235</v>
      </c>
      <c r="D1865" s="14" t="s">
        <v>25</v>
      </c>
      <c r="E1865" s="18" t="s">
        <v>9</v>
      </c>
      <c r="F1865" s="17" t="s">
        <v>23</v>
      </c>
      <c r="G1865" s="17">
        <f>G1864</f>
        <v>0</v>
      </c>
      <c r="H1865" s="13">
        <f t="shared" si="29"/>
        <v>0</v>
      </c>
    </row>
    <row r="1866" spans="2:8" ht="13.5" thickBot="1" x14ac:dyDescent="0.35">
      <c r="B1866" s="9"/>
      <c r="C1866" s="14" t="s">
        <v>1039</v>
      </c>
      <c r="D1866" s="14" t="s">
        <v>27</v>
      </c>
      <c r="E1866" s="18" t="s">
        <v>8</v>
      </c>
      <c r="F1866" s="17" t="s">
        <v>23</v>
      </c>
      <c r="G1866" s="17">
        <f>G1864*2</f>
        <v>0</v>
      </c>
      <c r="H1866" s="13">
        <f t="shared" si="29"/>
        <v>0</v>
      </c>
    </row>
    <row r="1867" spans="2:8" ht="13.5" thickBot="1" x14ac:dyDescent="0.35">
      <c r="B1867" s="9"/>
      <c r="C1867" s="14" t="s">
        <v>1036</v>
      </c>
      <c r="D1867" s="14" t="s">
        <v>29</v>
      </c>
      <c r="E1867" s="18" t="s">
        <v>8</v>
      </c>
      <c r="F1867" s="17" t="s">
        <v>23</v>
      </c>
      <c r="G1867" s="17">
        <f>G1864</f>
        <v>0</v>
      </c>
      <c r="H1867" s="13">
        <f t="shared" si="29"/>
        <v>0</v>
      </c>
    </row>
    <row r="1868" spans="2:8" ht="13.5" thickBot="1" x14ac:dyDescent="0.35">
      <c r="B1868" s="9"/>
      <c r="C1868" s="14" t="s">
        <v>976</v>
      </c>
      <c r="D1868" s="14" t="s">
        <v>27</v>
      </c>
      <c r="E1868" s="18" t="s">
        <v>8</v>
      </c>
      <c r="F1868" s="17" t="s">
        <v>23</v>
      </c>
      <c r="G1868" s="17">
        <f>G1864</f>
        <v>0</v>
      </c>
      <c r="H1868" s="13">
        <f t="shared" si="29"/>
        <v>0</v>
      </c>
    </row>
    <row r="1869" spans="2:8" ht="13.5" thickBot="1" x14ac:dyDescent="0.35">
      <c r="B1869" s="9">
        <f>COUNT($B$4:B1868)+1</f>
        <v>624</v>
      </c>
      <c r="C1869" s="10" t="s">
        <v>1042</v>
      </c>
      <c r="D1869" s="10"/>
      <c r="E1869" s="11" t="s">
        <v>8</v>
      </c>
      <c r="F1869" s="12" t="s">
        <v>23</v>
      </c>
      <c r="G1869" s="12"/>
      <c r="H1869" s="13">
        <f t="shared" si="29"/>
        <v>0</v>
      </c>
    </row>
    <row r="1870" spans="2:8" ht="13.5" thickBot="1" x14ac:dyDescent="0.35">
      <c r="B1870" s="9"/>
      <c r="C1870" s="14" t="s">
        <v>235</v>
      </c>
      <c r="D1870" s="14" t="s">
        <v>25</v>
      </c>
      <c r="E1870" s="18" t="s">
        <v>9</v>
      </c>
      <c r="F1870" s="17" t="s">
        <v>23</v>
      </c>
      <c r="G1870" s="17">
        <f>G1869</f>
        <v>0</v>
      </c>
      <c r="H1870" s="13">
        <f t="shared" si="29"/>
        <v>0</v>
      </c>
    </row>
    <row r="1871" spans="2:8" ht="13.5" thickBot="1" x14ac:dyDescent="0.35">
      <c r="B1871" s="9"/>
      <c r="C1871" s="14" t="s">
        <v>1040</v>
      </c>
      <c r="D1871" s="14" t="s">
        <v>27</v>
      </c>
      <c r="E1871" s="18" t="s">
        <v>8</v>
      </c>
      <c r="F1871" s="17" t="s">
        <v>23</v>
      </c>
      <c r="G1871" s="17">
        <f>G1869*2</f>
        <v>0</v>
      </c>
      <c r="H1871" s="13">
        <f t="shared" si="29"/>
        <v>0</v>
      </c>
    </row>
    <row r="1872" spans="2:8" ht="13.5" thickBot="1" x14ac:dyDescent="0.35">
      <c r="B1872" s="9"/>
      <c r="C1872" s="14" t="s">
        <v>1036</v>
      </c>
      <c r="D1872" s="14" t="s">
        <v>29</v>
      </c>
      <c r="E1872" s="18" t="s">
        <v>8</v>
      </c>
      <c r="F1872" s="17" t="s">
        <v>23</v>
      </c>
      <c r="G1872" s="17">
        <f>G1869</f>
        <v>0</v>
      </c>
      <c r="H1872" s="13">
        <f t="shared" si="29"/>
        <v>0</v>
      </c>
    </row>
    <row r="1873" spans="2:8" ht="13.5" thickBot="1" x14ac:dyDescent="0.35">
      <c r="B1873" s="9"/>
      <c r="C1873" s="14" t="s">
        <v>976</v>
      </c>
      <c r="D1873" s="14" t="s">
        <v>27</v>
      </c>
      <c r="E1873" s="18" t="s">
        <v>8</v>
      </c>
      <c r="F1873" s="17" t="s">
        <v>23</v>
      </c>
      <c r="G1873" s="17">
        <f>G1869</f>
        <v>0</v>
      </c>
      <c r="H1873" s="13">
        <f t="shared" si="29"/>
        <v>0</v>
      </c>
    </row>
    <row r="1874" spans="2:8" ht="13.5" thickBot="1" x14ac:dyDescent="0.35">
      <c r="B1874" s="9">
        <f>COUNT($B$4:B1873)+1</f>
        <v>625</v>
      </c>
      <c r="C1874" s="10" t="s">
        <v>1043</v>
      </c>
      <c r="D1874" s="10"/>
      <c r="E1874" s="11" t="s">
        <v>8</v>
      </c>
      <c r="F1874" s="12" t="s">
        <v>23</v>
      </c>
      <c r="G1874" s="12"/>
      <c r="H1874" s="13">
        <f t="shared" si="29"/>
        <v>0</v>
      </c>
    </row>
    <row r="1875" spans="2:8" ht="13.5" thickBot="1" x14ac:dyDescent="0.35">
      <c r="B1875" s="9"/>
      <c r="C1875" s="14" t="s">
        <v>235</v>
      </c>
      <c r="D1875" s="14" t="s">
        <v>25</v>
      </c>
      <c r="E1875" s="18" t="s">
        <v>9</v>
      </c>
      <c r="F1875" s="17" t="s">
        <v>23</v>
      </c>
      <c r="G1875" s="17">
        <f>G1874</f>
        <v>0</v>
      </c>
      <c r="H1875" s="13">
        <f t="shared" si="29"/>
        <v>0</v>
      </c>
    </row>
    <row r="1876" spans="2:8" ht="13.5" thickBot="1" x14ac:dyDescent="0.35">
      <c r="B1876" s="9"/>
      <c r="C1876" s="14" t="s">
        <v>1031</v>
      </c>
      <c r="D1876" s="14" t="s">
        <v>27</v>
      </c>
      <c r="E1876" s="18" t="s">
        <v>8</v>
      </c>
      <c r="F1876" s="17" t="s">
        <v>23</v>
      </c>
      <c r="G1876" s="17">
        <f>G1874*4</f>
        <v>0</v>
      </c>
      <c r="H1876" s="13">
        <f t="shared" si="29"/>
        <v>0</v>
      </c>
    </row>
    <row r="1877" spans="2:8" ht="13.5" thickBot="1" x14ac:dyDescent="0.35">
      <c r="B1877" s="9"/>
      <c r="C1877" s="14" t="s">
        <v>1044</v>
      </c>
      <c r="D1877" s="14" t="s">
        <v>29</v>
      </c>
      <c r="E1877" s="18" t="s">
        <v>8</v>
      </c>
      <c r="F1877" s="17" t="s">
        <v>23</v>
      </c>
      <c r="G1877" s="17">
        <f>G1874</f>
        <v>0</v>
      </c>
      <c r="H1877" s="13">
        <f t="shared" si="29"/>
        <v>0</v>
      </c>
    </row>
    <row r="1878" spans="2:8" ht="13.5" thickBot="1" x14ac:dyDescent="0.35">
      <c r="B1878" s="9"/>
      <c r="C1878" s="14" t="s">
        <v>968</v>
      </c>
      <c r="D1878" s="14" t="s">
        <v>27</v>
      </c>
      <c r="E1878" s="18" t="s">
        <v>8</v>
      </c>
      <c r="F1878" s="17" t="s">
        <v>23</v>
      </c>
      <c r="G1878" s="17">
        <f>G1874*2</f>
        <v>0</v>
      </c>
      <c r="H1878" s="13">
        <f t="shared" si="29"/>
        <v>0</v>
      </c>
    </row>
    <row r="1879" spans="2:8" ht="13.5" thickBot="1" x14ac:dyDescent="0.35">
      <c r="B1879" s="9">
        <f>COUNT($B$4:B1878)+1</f>
        <v>626</v>
      </c>
      <c r="C1879" s="10" t="s">
        <v>1045</v>
      </c>
      <c r="D1879" s="10"/>
      <c r="E1879" s="11" t="s">
        <v>8</v>
      </c>
      <c r="F1879" s="12" t="s">
        <v>23</v>
      </c>
      <c r="G1879" s="12"/>
      <c r="H1879" s="13">
        <f t="shared" si="29"/>
        <v>0</v>
      </c>
    </row>
    <row r="1880" spans="2:8" ht="13.5" thickBot="1" x14ac:dyDescent="0.35">
      <c r="B1880" s="9"/>
      <c r="C1880" s="14" t="s">
        <v>235</v>
      </c>
      <c r="D1880" s="14" t="s">
        <v>25</v>
      </c>
      <c r="E1880" s="18" t="s">
        <v>9</v>
      </c>
      <c r="F1880" s="17" t="s">
        <v>23</v>
      </c>
      <c r="G1880" s="17">
        <f>G1879</f>
        <v>0</v>
      </c>
      <c r="H1880" s="13">
        <f t="shared" si="29"/>
        <v>0</v>
      </c>
    </row>
    <row r="1881" spans="2:8" ht="13.5" thickBot="1" x14ac:dyDescent="0.35">
      <c r="B1881" s="9"/>
      <c r="C1881" s="14" t="s">
        <v>1034</v>
      </c>
      <c r="D1881" s="14" t="s">
        <v>27</v>
      </c>
      <c r="E1881" s="18" t="s">
        <v>8</v>
      </c>
      <c r="F1881" s="17" t="s">
        <v>23</v>
      </c>
      <c r="G1881" s="17">
        <f>G1879*4</f>
        <v>0</v>
      </c>
      <c r="H1881" s="13">
        <f t="shared" si="29"/>
        <v>0</v>
      </c>
    </row>
    <row r="1882" spans="2:8" ht="13.5" thickBot="1" x14ac:dyDescent="0.35">
      <c r="B1882" s="9"/>
      <c r="C1882" s="14" t="s">
        <v>1044</v>
      </c>
      <c r="D1882" s="14" t="s">
        <v>29</v>
      </c>
      <c r="E1882" s="18" t="s">
        <v>8</v>
      </c>
      <c r="F1882" s="17" t="s">
        <v>23</v>
      </c>
      <c r="G1882" s="17">
        <f>G1879</f>
        <v>0</v>
      </c>
      <c r="H1882" s="13">
        <f t="shared" si="29"/>
        <v>0</v>
      </c>
    </row>
    <row r="1883" spans="2:8" ht="13.5" thickBot="1" x14ac:dyDescent="0.35">
      <c r="B1883" s="9"/>
      <c r="C1883" s="14" t="s">
        <v>968</v>
      </c>
      <c r="D1883" s="14" t="s">
        <v>27</v>
      </c>
      <c r="E1883" s="18" t="s">
        <v>8</v>
      </c>
      <c r="F1883" s="17" t="s">
        <v>23</v>
      </c>
      <c r="G1883" s="17">
        <f>G1879*2</f>
        <v>0</v>
      </c>
      <c r="H1883" s="13">
        <f t="shared" si="29"/>
        <v>0</v>
      </c>
    </row>
    <row r="1884" spans="2:8" ht="13.5" thickBot="1" x14ac:dyDescent="0.35">
      <c r="B1884" s="9">
        <f>COUNT($B$4:B1883)+1</f>
        <v>627</v>
      </c>
      <c r="C1884" s="10" t="s">
        <v>1046</v>
      </c>
      <c r="D1884" s="10"/>
      <c r="E1884" s="11" t="s">
        <v>8</v>
      </c>
      <c r="F1884" s="12" t="s">
        <v>23</v>
      </c>
      <c r="G1884" s="12"/>
      <c r="H1884" s="13">
        <f t="shared" si="29"/>
        <v>0</v>
      </c>
    </row>
    <row r="1885" spans="2:8" ht="13.5" thickBot="1" x14ac:dyDescent="0.35">
      <c r="B1885" s="9"/>
      <c r="C1885" s="14" t="s">
        <v>235</v>
      </c>
      <c r="D1885" s="14" t="s">
        <v>25</v>
      </c>
      <c r="E1885" s="18" t="s">
        <v>9</v>
      </c>
      <c r="F1885" s="17" t="s">
        <v>23</v>
      </c>
      <c r="G1885" s="17">
        <f>G1884</f>
        <v>0</v>
      </c>
      <c r="H1885" s="13">
        <f t="shared" si="29"/>
        <v>0</v>
      </c>
    </row>
    <row r="1886" spans="2:8" ht="13.5" thickBot="1" x14ac:dyDescent="0.35">
      <c r="B1886" s="9"/>
      <c r="C1886" s="14" t="s">
        <v>1031</v>
      </c>
      <c r="D1886" s="14" t="s">
        <v>27</v>
      </c>
      <c r="E1886" s="18" t="s">
        <v>8</v>
      </c>
      <c r="F1886" s="17" t="s">
        <v>23</v>
      </c>
      <c r="G1886" s="17">
        <f>G1884*4</f>
        <v>0</v>
      </c>
      <c r="H1886" s="13">
        <f t="shared" si="29"/>
        <v>0</v>
      </c>
    </row>
    <row r="1887" spans="2:8" ht="13.5" thickBot="1" x14ac:dyDescent="0.35">
      <c r="B1887" s="9"/>
      <c r="C1887" s="14" t="s">
        <v>1047</v>
      </c>
      <c r="D1887" s="14" t="s">
        <v>29</v>
      </c>
      <c r="E1887" s="18" t="s">
        <v>8</v>
      </c>
      <c r="F1887" s="17" t="s">
        <v>23</v>
      </c>
      <c r="G1887" s="17">
        <f>G1884</f>
        <v>0</v>
      </c>
      <c r="H1887" s="13">
        <f t="shared" si="29"/>
        <v>0</v>
      </c>
    </row>
    <row r="1888" spans="2:8" ht="13.5" thickBot="1" x14ac:dyDescent="0.35">
      <c r="B1888" s="9"/>
      <c r="C1888" s="14" t="s">
        <v>968</v>
      </c>
      <c r="D1888" s="14" t="s">
        <v>27</v>
      </c>
      <c r="E1888" s="18" t="s">
        <v>8</v>
      </c>
      <c r="F1888" s="17" t="s">
        <v>23</v>
      </c>
      <c r="G1888" s="17">
        <f>G1884*2</f>
        <v>0</v>
      </c>
      <c r="H1888" s="13">
        <f t="shared" si="29"/>
        <v>0</v>
      </c>
    </row>
    <row r="1889" spans="2:8" ht="13.5" thickBot="1" x14ac:dyDescent="0.35">
      <c r="B1889" s="9">
        <f>COUNT($B$4:B1888)+1</f>
        <v>628</v>
      </c>
      <c r="C1889" s="10" t="s">
        <v>1048</v>
      </c>
      <c r="D1889" s="10"/>
      <c r="E1889" s="11" t="s">
        <v>8</v>
      </c>
      <c r="F1889" s="12" t="s">
        <v>23</v>
      </c>
      <c r="G1889" s="12"/>
      <c r="H1889" s="13">
        <f t="shared" si="29"/>
        <v>0</v>
      </c>
    </row>
    <row r="1890" spans="2:8" ht="13.5" thickBot="1" x14ac:dyDescent="0.35">
      <c r="B1890" s="9"/>
      <c r="C1890" s="14" t="s">
        <v>235</v>
      </c>
      <c r="D1890" s="14" t="s">
        <v>25</v>
      </c>
      <c r="E1890" s="18" t="s">
        <v>9</v>
      </c>
      <c r="F1890" s="17" t="s">
        <v>23</v>
      </c>
      <c r="G1890" s="17">
        <f>G1889</f>
        <v>0</v>
      </c>
      <c r="H1890" s="13">
        <f t="shared" si="29"/>
        <v>0</v>
      </c>
    </row>
    <row r="1891" spans="2:8" ht="13.5" thickBot="1" x14ac:dyDescent="0.35">
      <c r="B1891" s="9"/>
      <c r="C1891" s="14" t="s">
        <v>1034</v>
      </c>
      <c r="D1891" s="14" t="s">
        <v>27</v>
      </c>
      <c r="E1891" s="18" t="s">
        <v>8</v>
      </c>
      <c r="F1891" s="17" t="s">
        <v>23</v>
      </c>
      <c r="G1891" s="17">
        <f>G1889*4</f>
        <v>0</v>
      </c>
      <c r="H1891" s="13">
        <f t="shared" si="29"/>
        <v>0</v>
      </c>
    </row>
    <row r="1892" spans="2:8" ht="13.5" thickBot="1" x14ac:dyDescent="0.35">
      <c r="B1892" s="9"/>
      <c r="C1892" s="14" t="s">
        <v>1047</v>
      </c>
      <c r="D1892" s="14" t="s">
        <v>29</v>
      </c>
      <c r="E1892" s="18" t="s">
        <v>8</v>
      </c>
      <c r="F1892" s="17" t="s">
        <v>23</v>
      </c>
      <c r="G1892" s="17">
        <f>G1889</f>
        <v>0</v>
      </c>
      <c r="H1892" s="13">
        <f t="shared" si="29"/>
        <v>0</v>
      </c>
    </row>
    <row r="1893" spans="2:8" ht="13.5" thickBot="1" x14ac:dyDescent="0.35">
      <c r="B1893" s="9"/>
      <c r="C1893" s="14" t="s">
        <v>968</v>
      </c>
      <c r="D1893" s="14" t="s">
        <v>27</v>
      </c>
      <c r="E1893" s="18" t="s">
        <v>8</v>
      </c>
      <c r="F1893" s="17" t="s">
        <v>23</v>
      </c>
      <c r="G1893" s="17">
        <f>G1889*2</f>
        <v>0</v>
      </c>
      <c r="H1893" s="13">
        <f t="shared" si="29"/>
        <v>0</v>
      </c>
    </row>
    <row r="1894" spans="2:8" ht="13.5" thickBot="1" x14ac:dyDescent="0.35">
      <c r="B1894" s="9">
        <f>COUNT($B$4:B1893)+1</f>
        <v>629</v>
      </c>
      <c r="C1894" s="10" t="s">
        <v>1049</v>
      </c>
      <c r="D1894" s="10"/>
      <c r="E1894" s="11" t="s">
        <v>8</v>
      </c>
      <c r="F1894" s="12" t="s">
        <v>23</v>
      </c>
      <c r="G1894" s="12"/>
      <c r="H1894" s="13">
        <f t="shared" si="29"/>
        <v>0</v>
      </c>
    </row>
    <row r="1895" spans="2:8" ht="13.5" thickBot="1" x14ac:dyDescent="0.35">
      <c r="B1895" s="9"/>
      <c r="C1895" s="14" t="s">
        <v>235</v>
      </c>
      <c r="D1895" s="14" t="s">
        <v>25</v>
      </c>
      <c r="E1895" s="18" t="s">
        <v>9</v>
      </c>
      <c r="F1895" s="17" t="s">
        <v>23</v>
      </c>
      <c r="G1895" s="17">
        <f>G1894</f>
        <v>0</v>
      </c>
      <c r="H1895" s="13">
        <f t="shared" si="29"/>
        <v>0</v>
      </c>
    </row>
    <row r="1896" spans="2:8" ht="13.5" thickBot="1" x14ac:dyDescent="0.35">
      <c r="B1896" s="9"/>
      <c r="C1896" s="14" t="s">
        <v>1031</v>
      </c>
      <c r="D1896" s="14" t="s">
        <v>27</v>
      </c>
      <c r="E1896" s="18" t="s">
        <v>8</v>
      </c>
      <c r="F1896" s="17" t="s">
        <v>23</v>
      </c>
      <c r="G1896" s="17">
        <f>G1894*2</f>
        <v>0</v>
      </c>
      <c r="H1896" s="13">
        <f t="shared" si="29"/>
        <v>0</v>
      </c>
    </row>
    <row r="1897" spans="2:8" ht="13.5" thickBot="1" x14ac:dyDescent="0.35">
      <c r="B1897" s="9"/>
      <c r="C1897" s="14" t="s">
        <v>1050</v>
      </c>
      <c r="D1897" s="14" t="s">
        <v>29</v>
      </c>
      <c r="E1897" s="18" t="s">
        <v>8</v>
      </c>
      <c r="F1897" s="17" t="s">
        <v>23</v>
      </c>
      <c r="G1897" s="17">
        <f>G1894</f>
        <v>0</v>
      </c>
      <c r="H1897" s="13">
        <f t="shared" si="29"/>
        <v>0</v>
      </c>
    </row>
    <row r="1898" spans="2:8" ht="13.5" thickBot="1" x14ac:dyDescent="0.35">
      <c r="B1898" s="9"/>
      <c r="C1898" s="14" t="s">
        <v>968</v>
      </c>
      <c r="D1898" s="14" t="s">
        <v>27</v>
      </c>
      <c r="E1898" s="18" t="s">
        <v>8</v>
      </c>
      <c r="F1898" s="17" t="s">
        <v>23</v>
      </c>
      <c r="G1898" s="17">
        <f>G1894</f>
        <v>0</v>
      </c>
      <c r="H1898" s="13">
        <f t="shared" si="29"/>
        <v>0</v>
      </c>
    </row>
    <row r="1899" spans="2:8" ht="13.5" thickBot="1" x14ac:dyDescent="0.35">
      <c r="B1899" s="9">
        <f>COUNT($B$4:B1898)+1</f>
        <v>630</v>
      </c>
      <c r="C1899" s="10" t="s">
        <v>1051</v>
      </c>
      <c r="D1899" s="10"/>
      <c r="E1899" s="11" t="s">
        <v>8</v>
      </c>
      <c r="F1899" s="12" t="s">
        <v>23</v>
      </c>
      <c r="G1899" s="12"/>
      <c r="H1899" s="13">
        <f t="shared" si="29"/>
        <v>0</v>
      </c>
    </row>
    <row r="1900" spans="2:8" ht="13.5" thickBot="1" x14ac:dyDescent="0.35">
      <c r="B1900" s="9"/>
      <c r="C1900" s="14" t="s">
        <v>235</v>
      </c>
      <c r="D1900" s="14" t="s">
        <v>25</v>
      </c>
      <c r="E1900" s="18" t="s">
        <v>9</v>
      </c>
      <c r="F1900" s="17" t="s">
        <v>23</v>
      </c>
      <c r="G1900" s="17">
        <f>G1899</f>
        <v>0</v>
      </c>
      <c r="H1900" s="13">
        <f t="shared" si="29"/>
        <v>0</v>
      </c>
    </row>
    <row r="1901" spans="2:8" ht="13.5" thickBot="1" x14ac:dyDescent="0.35">
      <c r="B1901" s="9"/>
      <c r="C1901" s="14" t="s">
        <v>1034</v>
      </c>
      <c r="D1901" s="14" t="s">
        <v>27</v>
      </c>
      <c r="E1901" s="18" t="s">
        <v>8</v>
      </c>
      <c r="F1901" s="17" t="s">
        <v>23</v>
      </c>
      <c r="G1901" s="17">
        <f>G1899*2</f>
        <v>0</v>
      </c>
      <c r="H1901" s="13">
        <f t="shared" si="29"/>
        <v>0</v>
      </c>
    </row>
    <row r="1902" spans="2:8" ht="13.5" thickBot="1" x14ac:dyDescent="0.35">
      <c r="B1902" s="9"/>
      <c r="C1902" s="14" t="s">
        <v>1050</v>
      </c>
      <c r="D1902" s="14" t="s">
        <v>29</v>
      </c>
      <c r="E1902" s="18" t="s">
        <v>8</v>
      </c>
      <c r="F1902" s="17" t="s">
        <v>23</v>
      </c>
      <c r="G1902" s="17">
        <f>G1899</f>
        <v>0</v>
      </c>
      <c r="H1902" s="13">
        <f t="shared" si="29"/>
        <v>0</v>
      </c>
    </row>
    <row r="1903" spans="2:8" ht="13.5" thickBot="1" x14ac:dyDescent="0.35">
      <c r="B1903" s="9"/>
      <c r="C1903" s="14" t="s">
        <v>968</v>
      </c>
      <c r="D1903" s="14" t="s">
        <v>27</v>
      </c>
      <c r="E1903" s="18" t="s">
        <v>8</v>
      </c>
      <c r="F1903" s="17" t="s">
        <v>23</v>
      </c>
      <c r="G1903" s="17">
        <f>G1899</f>
        <v>0</v>
      </c>
      <c r="H1903" s="13">
        <f t="shared" si="29"/>
        <v>0</v>
      </c>
    </row>
    <row r="1904" spans="2:8" ht="13.5" thickBot="1" x14ac:dyDescent="0.35">
      <c r="B1904" s="9">
        <f>COUNT($B$4:B1903)+1</f>
        <v>631</v>
      </c>
      <c r="C1904" s="10" t="s">
        <v>1052</v>
      </c>
      <c r="D1904" s="10"/>
      <c r="E1904" s="11" t="s">
        <v>8</v>
      </c>
      <c r="F1904" s="12" t="s">
        <v>23</v>
      </c>
      <c r="G1904" s="12"/>
      <c r="H1904" s="13">
        <f t="shared" si="29"/>
        <v>0</v>
      </c>
    </row>
    <row r="1905" spans="2:8" ht="13.5" thickBot="1" x14ac:dyDescent="0.35">
      <c r="B1905" s="9"/>
      <c r="C1905" s="14" t="s">
        <v>235</v>
      </c>
      <c r="D1905" s="14" t="s">
        <v>25</v>
      </c>
      <c r="E1905" s="18" t="s">
        <v>9</v>
      </c>
      <c r="F1905" s="17" t="s">
        <v>23</v>
      </c>
      <c r="G1905" s="17">
        <f>G1904</f>
        <v>0</v>
      </c>
      <c r="H1905" s="13">
        <f t="shared" si="29"/>
        <v>0</v>
      </c>
    </row>
    <row r="1906" spans="2:8" ht="13.5" thickBot="1" x14ac:dyDescent="0.35">
      <c r="B1906" s="9"/>
      <c r="C1906" s="14" t="s">
        <v>1031</v>
      </c>
      <c r="D1906" s="14" t="s">
        <v>27</v>
      </c>
      <c r="E1906" s="18" t="s">
        <v>8</v>
      </c>
      <c r="F1906" s="17" t="s">
        <v>23</v>
      </c>
      <c r="G1906" s="17">
        <f>G1904*2</f>
        <v>0</v>
      </c>
      <c r="H1906" s="13">
        <f t="shared" si="29"/>
        <v>0</v>
      </c>
    </row>
    <row r="1907" spans="2:8" ht="13.5" thickBot="1" x14ac:dyDescent="0.35">
      <c r="B1907" s="9"/>
      <c r="C1907" s="14" t="s">
        <v>1053</v>
      </c>
      <c r="D1907" s="14" t="s">
        <v>29</v>
      </c>
      <c r="E1907" s="18" t="s">
        <v>8</v>
      </c>
      <c r="F1907" s="17" t="s">
        <v>23</v>
      </c>
      <c r="G1907" s="17">
        <f>G1904</f>
        <v>0</v>
      </c>
      <c r="H1907" s="13">
        <f t="shared" si="29"/>
        <v>0</v>
      </c>
    </row>
    <row r="1908" spans="2:8" ht="13.5" thickBot="1" x14ac:dyDescent="0.35">
      <c r="B1908" s="9"/>
      <c r="C1908" s="14" t="s">
        <v>968</v>
      </c>
      <c r="D1908" s="14" t="s">
        <v>27</v>
      </c>
      <c r="E1908" s="18" t="s">
        <v>8</v>
      </c>
      <c r="F1908" s="17" t="s">
        <v>23</v>
      </c>
      <c r="G1908" s="17">
        <f>G1904</f>
        <v>0</v>
      </c>
      <c r="H1908" s="13">
        <f t="shared" si="29"/>
        <v>0</v>
      </c>
    </row>
    <row r="1909" spans="2:8" ht="13.5" thickBot="1" x14ac:dyDescent="0.35">
      <c r="B1909" s="9">
        <f>COUNT($B$4:B1908)+1</f>
        <v>632</v>
      </c>
      <c r="C1909" s="10" t="s">
        <v>1054</v>
      </c>
      <c r="D1909" s="10"/>
      <c r="E1909" s="11" t="s">
        <v>8</v>
      </c>
      <c r="F1909" s="12" t="s">
        <v>23</v>
      </c>
      <c r="G1909" s="12"/>
      <c r="H1909" s="13">
        <f t="shared" si="29"/>
        <v>0</v>
      </c>
    </row>
    <row r="1910" spans="2:8" ht="13.5" thickBot="1" x14ac:dyDescent="0.35">
      <c r="B1910" s="9"/>
      <c r="C1910" s="14" t="s">
        <v>235</v>
      </c>
      <c r="D1910" s="14" t="s">
        <v>25</v>
      </c>
      <c r="E1910" s="18" t="s">
        <v>9</v>
      </c>
      <c r="F1910" s="17" t="s">
        <v>23</v>
      </c>
      <c r="G1910" s="17">
        <f>G1909</f>
        <v>0</v>
      </c>
      <c r="H1910" s="13">
        <f t="shared" si="29"/>
        <v>0</v>
      </c>
    </row>
    <row r="1911" spans="2:8" ht="13.5" thickBot="1" x14ac:dyDescent="0.35">
      <c r="B1911" s="9"/>
      <c r="C1911" s="14" t="s">
        <v>1034</v>
      </c>
      <c r="D1911" s="14" t="s">
        <v>27</v>
      </c>
      <c r="E1911" s="18" t="s">
        <v>8</v>
      </c>
      <c r="F1911" s="17" t="s">
        <v>23</v>
      </c>
      <c r="G1911" s="17">
        <f>G1909*2</f>
        <v>0</v>
      </c>
      <c r="H1911" s="13">
        <f t="shared" si="29"/>
        <v>0</v>
      </c>
    </row>
    <row r="1912" spans="2:8" ht="13.5" thickBot="1" x14ac:dyDescent="0.35">
      <c r="B1912" s="9"/>
      <c r="C1912" s="14" t="s">
        <v>1053</v>
      </c>
      <c r="D1912" s="14" t="s">
        <v>29</v>
      </c>
      <c r="E1912" s="18" t="s">
        <v>8</v>
      </c>
      <c r="F1912" s="17" t="s">
        <v>23</v>
      </c>
      <c r="G1912" s="17">
        <f>G1909</f>
        <v>0</v>
      </c>
      <c r="H1912" s="13">
        <f t="shared" si="29"/>
        <v>0</v>
      </c>
    </row>
    <row r="1913" spans="2:8" ht="13.5" thickBot="1" x14ac:dyDescent="0.35">
      <c r="B1913" s="9"/>
      <c r="C1913" s="14" t="s">
        <v>968</v>
      </c>
      <c r="D1913" s="14" t="s">
        <v>27</v>
      </c>
      <c r="E1913" s="18" t="s">
        <v>8</v>
      </c>
      <c r="F1913" s="17" t="s">
        <v>23</v>
      </c>
      <c r="G1913" s="17">
        <f>G1909</f>
        <v>0</v>
      </c>
      <c r="H1913" s="13">
        <f t="shared" si="29"/>
        <v>0</v>
      </c>
    </row>
    <row r="1914" spans="2:8" ht="13.5" thickBot="1" x14ac:dyDescent="0.35">
      <c r="B1914" s="9">
        <f>COUNT($B$4:B1913)+1</f>
        <v>633</v>
      </c>
      <c r="C1914" s="10" t="s">
        <v>1055</v>
      </c>
      <c r="D1914" s="10"/>
      <c r="E1914" s="11" t="s">
        <v>8</v>
      </c>
      <c r="F1914" s="12" t="s">
        <v>23</v>
      </c>
      <c r="G1914" s="12"/>
      <c r="H1914" s="13">
        <f t="shared" si="29"/>
        <v>0</v>
      </c>
    </row>
    <row r="1915" spans="2:8" ht="13.5" thickBot="1" x14ac:dyDescent="0.35">
      <c r="B1915" s="9"/>
      <c r="C1915" s="14" t="s">
        <v>235</v>
      </c>
      <c r="D1915" s="14" t="s">
        <v>25</v>
      </c>
      <c r="E1915" s="18" t="s">
        <v>9</v>
      </c>
      <c r="F1915" s="17" t="s">
        <v>23</v>
      </c>
      <c r="G1915" s="17">
        <f>G1914</f>
        <v>0</v>
      </c>
      <c r="H1915" s="13">
        <f t="shared" si="29"/>
        <v>0</v>
      </c>
    </row>
    <row r="1916" spans="2:8" ht="13.5" thickBot="1" x14ac:dyDescent="0.35">
      <c r="B1916" s="9"/>
      <c r="C1916" s="14" t="s">
        <v>1039</v>
      </c>
      <c r="D1916" s="14" t="s">
        <v>27</v>
      </c>
      <c r="E1916" s="18" t="s">
        <v>8</v>
      </c>
      <c r="F1916" s="17" t="s">
        <v>23</v>
      </c>
      <c r="G1916" s="17">
        <f>G1914*2</f>
        <v>0</v>
      </c>
      <c r="H1916" s="13">
        <f t="shared" si="29"/>
        <v>0</v>
      </c>
    </row>
    <row r="1917" spans="2:8" ht="13.5" thickBot="1" x14ac:dyDescent="0.35">
      <c r="B1917" s="9"/>
      <c r="C1917" s="14" t="s">
        <v>1050</v>
      </c>
      <c r="D1917" s="14" t="s">
        <v>29</v>
      </c>
      <c r="E1917" s="18" t="s">
        <v>8</v>
      </c>
      <c r="F1917" s="17" t="s">
        <v>23</v>
      </c>
      <c r="G1917" s="17">
        <f>G1914</f>
        <v>0</v>
      </c>
      <c r="H1917" s="13">
        <f t="shared" si="29"/>
        <v>0</v>
      </c>
    </row>
    <row r="1918" spans="2:8" ht="13.5" thickBot="1" x14ac:dyDescent="0.35">
      <c r="B1918" s="9"/>
      <c r="C1918" s="14" t="s">
        <v>976</v>
      </c>
      <c r="D1918" s="14" t="s">
        <v>27</v>
      </c>
      <c r="E1918" s="18" t="s">
        <v>8</v>
      </c>
      <c r="F1918" s="17" t="s">
        <v>23</v>
      </c>
      <c r="G1918" s="17">
        <f>G1914</f>
        <v>0</v>
      </c>
      <c r="H1918" s="13">
        <f t="shared" si="29"/>
        <v>0</v>
      </c>
    </row>
    <row r="1919" spans="2:8" ht="13.5" thickBot="1" x14ac:dyDescent="0.35">
      <c r="B1919" s="9">
        <f>COUNT($B$4:B1918)+1</f>
        <v>634</v>
      </c>
      <c r="C1919" s="10" t="s">
        <v>1056</v>
      </c>
      <c r="D1919" s="10"/>
      <c r="E1919" s="11" t="s">
        <v>8</v>
      </c>
      <c r="F1919" s="12" t="s">
        <v>23</v>
      </c>
      <c r="G1919" s="12"/>
      <c r="H1919" s="13">
        <f t="shared" si="29"/>
        <v>0</v>
      </c>
    </row>
    <row r="1920" spans="2:8" ht="13.5" thickBot="1" x14ac:dyDescent="0.35">
      <c r="B1920" s="9"/>
      <c r="C1920" s="14" t="s">
        <v>235</v>
      </c>
      <c r="D1920" s="14" t="s">
        <v>25</v>
      </c>
      <c r="E1920" s="18" t="s">
        <v>9</v>
      </c>
      <c r="F1920" s="17" t="s">
        <v>23</v>
      </c>
      <c r="G1920" s="17">
        <f>G1919</f>
        <v>0</v>
      </c>
      <c r="H1920" s="13">
        <f t="shared" si="29"/>
        <v>0</v>
      </c>
    </row>
    <row r="1921" spans="2:8" ht="13.5" thickBot="1" x14ac:dyDescent="0.35">
      <c r="B1921" s="9"/>
      <c r="C1921" s="14" t="s">
        <v>1040</v>
      </c>
      <c r="D1921" s="14" t="s">
        <v>27</v>
      </c>
      <c r="E1921" s="18" t="s">
        <v>8</v>
      </c>
      <c r="F1921" s="17" t="s">
        <v>23</v>
      </c>
      <c r="G1921" s="17">
        <f>G1919*2</f>
        <v>0</v>
      </c>
      <c r="H1921" s="13">
        <f t="shared" si="29"/>
        <v>0</v>
      </c>
    </row>
    <row r="1922" spans="2:8" ht="13.5" thickBot="1" x14ac:dyDescent="0.35">
      <c r="B1922" s="9"/>
      <c r="C1922" s="14" t="s">
        <v>1050</v>
      </c>
      <c r="D1922" s="14" t="s">
        <v>29</v>
      </c>
      <c r="E1922" s="18" t="s">
        <v>8</v>
      </c>
      <c r="F1922" s="17" t="s">
        <v>23</v>
      </c>
      <c r="G1922" s="17">
        <f>G1919</f>
        <v>0</v>
      </c>
      <c r="H1922" s="13">
        <f t="shared" si="29"/>
        <v>0</v>
      </c>
    </row>
    <row r="1923" spans="2:8" ht="13.5" thickBot="1" x14ac:dyDescent="0.35">
      <c r="B1923" s="9"/>
      <c r="C1923" s="14" t="s">
        <v>976</v>
      </c>
      <c r="D1923" s="14" t="s">
        <v>27</v>
      </c>
      <c r="E1923" s="18" t="s">
        <v>8</v>
      </c>
      <c r="F1923" s="17" t="s">
        <v>23</v>
      </c>
      <c r="G1923" s="17">
        <f>G1919</f>
        <v>0</v>
      </c>
      <c r="H1923" s="13">
        <f t="shared" si="29"/>
        <v>0</v>
      </c>
    </row>
    <row r="1924" spans="2:8" ht="13.5" thickBot="1" x14ac:dyDescent="0.35">
      <c r="B1924" s="9">
        <f>COUNT($B$4:B1923)+1</f>
        <v>635</v>
      </c>
      <c r="C1924" s="10" t="s">
        <v>1057</v>
      </c>
      <c r="D1924" s="10"/>
      <c r="E1924" s="11" t="s">
        <v>8</v>
      </c>
      <c r="F1924" s="12" t="s">
        <v>23</v>
      </c>
      <c r="G1924" s="12"/>
      <c r="H1924" s="13">
        <f t="shared" si="29"/>
        <v>0</v>
      </c>
    </row>
    <row r="1925" spans="2:8" ht="13.5" thickBot="1" x14ac:dyDescent="0.35">
      <c r="B1925" s="9"/>
      <c r="C1925" s="14" t="s">
        <v>235</v>
      </c>
      <c r="D1925" s="14" t="s">
        <v>25</v>
      </c>
      <c r="E1925" s="18" t="s">
        <v>9</v>
      </c>
      <c r="F1925" s="17" t="s">
        <v>23</v>
      </c>
      <c r="G1925" s="17">
        <f>G1924</f>
        <v>0</v>
      </c>
      <c r="H1925" s="13">
        <f t="shared" ref="H1925:H1988" si="30">SUM(G1925:G1925)</f>
        <v>0</v>
      </c>
    </row>
    <row r="1926" spans="2:8" ht="13.5" thickBot="1" x14ac:dyDescent="0.35">
      <c r="B1926" s="9"/>
      <c r="C1926" s="14" t="s">
        <v>1039</v>
      </c>
      <c r="D1926" s="14" t="s">
        <v>27</v>
      </c>
      <c r="E1926" s="18" t="s">
        <v>8</v>
      </c>
      <c r="F1926" s="17" t="s">
        <v>23</v>
      </c>
      <c r="G1926" s="17">
        <f>G1924*2</f>
        <v>0</v>
      </c>
      <c r="H1926" s="13">
        <f t="shared" si="30"/>
        <v>0</v>
      </c>
    </row>
    <row r="1927" spans="2:8" ht="13.5" thickBot="1" x14ac:dyDescent="0.35">
      <c r="B1927" s="9"/>
      <c r="C1927" s="14" t="s">
        <v>1053</v>
      </c>
      <c r="D1927" s="14" t="s">
        <v>29</v>
      </c>
      <c r="E1927" s="18" t="s">
        <v>8</v>
      </c>
      <c r="F1927" s="17" t="s">
        <v>23</v>
      </c>
      <c r="G1927" s="17">
        <f>G1924</f>
        <v>0</v>
      </c>
      <c r="H1927" s="13">
        <f t="shared" si="30"/>
        <v>0</v>
      </c>
    </row>
    <row r="1928" spans="2:8" ht="13.5" thickBot="1" x14ac:dyDescent="0.35">
      <c r="B1928" s="9"/>
      <c r="C1928" s="14" t="s">
        <v>976</v>
      </c>
      <c r="D1928" s="14" t="s">
        <v>27</v>
      </c>
      <c r="E1928" s="18" t="s">
        <v>8</v>
      </c>
      <c r="F1928" s="17" t="s">
        <v>23</v>
      </c>
      <c r="G1928" s="17">
        <f>G1924</f>
        <v>0</v>
      </c>
      <c r="H1928" s="13">
        <f t="shared" si="30"/>
        <v>0</v>
      </c>
    </row>
    <row r="1929" spans="2:8" ht="13.5" thickBot="1" x14ac:dyDescent="0.35">
      <c r="B1929" s="9">
        <f>COUNT($B$4:B1928)+1</f>
        <v>636</v>
      </c>
      <c r="C1929" s="10" t="s">
        <v>1058</v>
      </c>
      <c r="D1929" s="10"/>
      <c r="E1929" s="11" t="s">
        <v>8</v>
      </c>
      <c r="F1929" s="12" t="s">
        <v>23</v>
      </c>
      <c r="G1929" s="12"/>
      <c r="H1929" s="13">
        <f t="shared" si="30"/>
        <v>0</v>
      </c>
    </row>
    <row r="1930" spans="2:8" ht="13.5" thickBot="1" x14ac:dyDescent="0.35">
      <c r="B1930" s="9"/>
      <c r="C1930" s="14" t="s">
        <v>235</v>
      </c>
      <c r="D1930" s="14" t="s">
        <v>25</v>
      </c>
      <c r="E1930" s="18" t="s">
        <v>9</v>
      </c>
      <c r="F1930" s="17" t="s">
        <v>23</v>
      </c>
      <c r="G1930" s="17">
        <f>G1929</f>
        <v>0</v>
      </c>
      <c r="H1930" s="13">
        <f t="shared" si="30"/>
        <v>0</v>
      </c>
    </row>
    <row r="1931" spans="2:8" ht="13.5" thickBot="1" x14ac:dyDescent="0.35">
      <c r="B1931" s="9"/>
      <c r="C1931" s="14" t="s">
        <v>1040</v>
      </c>
      <c r="D1931" s="14" t="s">
        <v>27</v>
      </c>
      <c r="E1931" s="18" t="s">
        <v>8</v>
      </c>
      <c r="F1931" s="17" t="s">
        <v>23</v>
      </c>
      <c r="G1931" s="17">
        <f>G1929*2</f>
        <v>0</v>
      </c>
      <c r="H1931" s="13">
        <f t="shared" si="30"/>
        <v>0</v>
      </c>
    </row>
    <row r="1932" spans="2:8" ht="13.5" thickBot="1" x14ac:dyDescent="0.35">
      <c r="B1932" s="9"/>
      <c r="C1932" s="14" t="s">
        <v>1053</v>
      </c>
      <c r="D1932" s="14" t="s">
        <v>29</v>
      </c>
      <c r="E1932" s="18" t="s">
        <v>8</v>
      </c>
      <c r="F1932" s="17" t="s">
        <v>23</v>
      </c>
      <c r="G1932" s="17">
        <f>G1929</f>
        <v>0</v>
      </c>
      <c r="H1932" s="13">
        <f t="shared" si="30"/>
        <v>0</v>
      </c>
    </row>
    <row r="1933" spans="2:8" ht="13.5" thickBot="1" x14ac:dyDescent="0.35">
      <c r="B1933" s="9"/>
      <c r="C1933" s="14" t="s">
        <v>976</v>
      </c>
      <c r="D1933" s="14" t="s">
        <v>27</v>
      </c>
      <c r="E1933" s="18" t="s">
        <v>8</v>
      </c>
      <c r="F1933" s="17" t="s">
        <v>23</v>
      </c>
      <c r="G1933" s="17">
        <f>G1929</f>
        <v>0</v>
      </c>
      <c r="H1933" s="13">
        <f t="shared" si="30"/>
        <v>0</v>
      </c>
    </row>
    <row r="1934" spans="2:8" ht="13.5" thickBot="1" x14ac:dyDescent="0.35">
      <c r="B1934" s="9">
        <f>COUNT($B$4:B1933)+1</f>
        <v>637</v>
      </c>
      <c r="C1934" s="10" t="s">
        <v>1059</v>
      </c>
      <c r="D1934" s="10"/>
      <c r="E1934" s="11" t="s">
        <v>8</v>
      </c>
      <c r="F1934" s="12" t="s">
        <v>23</v>
      </c>
      <c r="G1934" s="12"/>
      <c r="H1934" s="13">
        <f t="shared" si="30"/>
        <v>0</v>
      </c>
    </row>
    <row r="1935" spans="2:8" ht="13.5" thickBot="1" x14ac:dyDescent="0.35">
      <c r="B1935" s="9"/>
      <c r="C1935" s="14" t="s">
        <v>235</v>
      </c>
      <c r="D1935" s="14" t="s">
        <v>25</v>
      </c>
      <c r="E1935" s="18" t="s">
        <v>9</v>
      </c>
      <c r="F1935" s="17" t="s">
        <v>23</v>
      </c>
      <c r="G1935" s="17">
        <f>G1934</f>
        <v>0</v>
      </c>
      <c r="H1935" s="13">
        <f t="shared" si="30"/>
        <v>0</v>
      </c>
    </row>
    <row r="1936" spans="2:8" ht="13.5" thickBot="1" x14ac:dyDescent="0.35">
      <c r="B1936" s="9"/>
      <c r="C1936" s="14" t="s">
        <v>1031</v>
      </c>
      <c r="D1936" s="14" t="s">
        <v>27</v>
      </c>
      <c r="E1936" s="18" t="s">
        <v>8</v>
      </c>
      <c r="F1936" s="17" t="s">
        <v>23</v>
      </c>
      <c r="G1936" s="17">
        <f>G1934*4</f>
        <v>0</v>
      </c>
      <c r="H1936" s="13">
        <f t="shared" si="30"/>
        <v>0</v>
      </c>
    </row>
    <row r="1937" spans="2:8" ht="13.5" thickBot="1" x14ac:dyDescent="0.35">
      <c r="B1937" s="9"/>
      <c r="C1937" s="14" t="s">
        <v>1060</v>
      </c>
      <c r="D1937" s="14" t="s">
        <v>29</v>
      </c>
      <c r="E1937" s="18" t="s">
        <v>8</v>
      </c>
      <c r="F1937" s="17" t="s">
        <v>23</v>
      </c>
      <c r="G1937" s="17">
        <f>G1934</f>
        <v>0</v>
      </c>
      <c r="H1937" s="13">
        <f t="shared" si="30"/>
        <v>0</v>
      </c>
    </row>
    <row r="1938" spans="2:8" ht="13.5" thickBot="1" x14ac:dyDescent="0.35">
      <c r="B1938" s="9"/>
      <c r="C1938" s="14" t="s">
        <v>968</v>
      </c>
      <c r="D1938" s="14" t="s">
        <v>27</v>
      </c>
      <c r="E1938" s="18" t="s">
        <v>8</v>
      </c>
      <c r="F1938" s="17" t="s">
        <v>23</v>
      </c>
      <c r="G1938" s="17">
        <f>G1934*2</f>
        <v>0</v>
      </c>
      <c r="H1938" s="13">
        <f t="shared" si="30"/>
        <v>0</v>
      </c>
    </row>
    <row r="1939" spans="2:8" ht="13.5" thickBot="1" x14ac:dyDescent="0.35">
      <c r="B1939" s="9">
        <f>COUNT($B$4:B1938)+1</f>
        <v>638</v>
      </c>
      <c r="C1939" s="10" t="s">
        <v>1061</v>
      </c>
      <c r="D1939" s="10"/>
      <c r="E1939" s="11" t="s">
        <v>8</v>
      </c>
      <c r="F1939" s="12" t="s">
        <v>23</v>
      </c>
      <c r="G1939" s="12"/>
      <c r="H1939" s="13">
        <f t="shared" si="30"/>
        <v>0</v>
      </c>
    </row>
    <row r="1940" spans="2:8" ht="13.5" thickBot="1" x14ac:dyDescent="0.35">
      <c r="B1940" s="9"/>
      <c r="C1940" s="14" t="s">
        <v>235</v>
      </c>
      <c r="D1940" s="14" t="s">
        <v>25</v>
      </c>
      <c r="E1940" s="18" t="s">
        <v>9</v>
      </c>
      <c r="F1940" s="17" t="s">
        <v>23</v>
      </c>
      <c r="G1940" s="17">
        <f>G1939</f>
        <v>0</v>
      </c>
      <c r="H1940" s="13">
        <f t="shared" si="30"/>
        <v>0</v>
      </c>
    </row>
    <row r="1941" spans="2:8" ht="13.5" thickBot="1" x14ac:dyDescent="0.35">
      <c r="B1941" s="9"/>
      <c r="C1941" s="14" t="s">
        <v>1034</v>
      </c>
      <c r="D1941" s="14" t="s">
        <v>27</v>
      </c>
      <c r="E1941" s="18" t="s">
        <v>8</v>
      </c>
      <c r="F1941" s="17" t="s">
        <v>23</v>
      </c>
      <c r="G1941" s="17">
        <f>G1939*4</f>
        <v>0</v>
      </c>
      <c r="H1941" s="13">
        <f t="shared" si="30"/>
        <v>0</v>
      </c>
    </row>
    <row r="1942" spans="2:8" ht="13.5" thickBot="1" x14ac:dyDescent="0.35">
      <c r="B1942" s="9"/>
      <c r="C1942" s="14" t="s">
        <v>1060</v>
      </c>
      <c r="D1942" s="14" t="s">
        <v>29</v>
      </c>
      <c r="E1942" s="18" t="s">
        <v>8</v>
      </c>
      <c r="F1942" s="17" t="s">
        <v>23</v>
      </c>
      <c r="G1942" s="17">
        <f>G1939</f>
        <v>0</v>
      </c>
      <c r="H1942" s="13">
        <f t="shared" si="30"/>
        <v>0</v>
      </c>
    </row>
    <row r="1943" spans="2:8" ht="13.5" thickBot="1" x14ac:dyDescent="0.35">
      <c r="B1943" s="9"/>
      <c r="C1943" s="14" t="s">
        <v>968</v>
      </c>
      <c r="D1943" s="14" t="s">
        <v>27</v>
      </c>
      <c r="E1943" s="18" t="s">
        <v>8</v>
      </c>
      <c r="F1943" s="17" t="s">
        <v>23</v>
      </c>
      <c r="G1943" s="17">
        <f>G1939*2</f>
        <v>0</v>
      </c>
      <c r="H1943" s="13">
        <f t="shared" si="30"/>
        <v>0</v>
      </c>
    </row>
    <row r="1944" spans="2:8" ht="13.5" thickBot="1" x14ac:dyDescent="0.35">
      <c r="B1944" s="9">
        <f>COUNT($B$4:B1943)+1</f>
        <v>639</v>
      </c>
      <c r="C1944" s="10" t="s">
        <v>1062</v>
      </c>
      <c r="D1944" s="10"/>
      <c r="E1944" s="11" t="s">
        <v>8</v>
      </c>
      <c r="F1944" s="12" t="s">
        <v>23</v>
      </c>
      <c r="G1944" s="12"/>
      <c r="H1944" s="13">
        <f t="shared" si="30"/>
        <v>0</v>
      </c>
    </row>
    <row r="1945" spans="2:8" ht="13.5" thickBot="1" x14ac:dyDescent="0.35">
      <c r="B1945" s="9"/>
      <c r="C1945" s="14" t="s">
        <v>235</v>
      </c>
      <c r="D1945" s="14" t="s">
        <v>25</v>
      </c>
      <c r="E1945" s="18" t="s">
        <v>9</v>
      </c>
      <c r="F1945" s="17" t="s">
        <v>23</v>
      </c>
      <c r="G1945" s="17">
        <f>G1944</f>
        <v>0</v>
      </c>
      <c r="H1945" s="13">
        <f t="shared" si="30"/>
        <v>0</v>
      </c>
    </row>
    <row r="1946" spans="2:8" ht="13.5" thickBot="1" x14ac:dyDescent="0.35">
      <c r="B1946" s="9"/>
      <c r="C1946" s="14" t="s">
        <v>1031</v>
      </c>
      <c r="D1946" s="14" t="s">
        <v>27</v>
      </c>
      <c r="E1946" s="18" t="s">
        <v>8</v>
      </c>
      <c r="F1946" s="17" t="s">
        <v>23</v>
      </c>
      <c r="G1946" s="17">
        <f>G1944*4</f>
        <v>0</v>
      </c>
      <c r="H1946" s="13">
        <f t="shared" si="30"/>
        <v>0</v>
      </c>
    </row>
    <row r="1947" spans="2:8" ht="13.5" thickBot="1" x14ac:dyDescent="0.35">
      <c r="B1947" s="9"/>
      <c r="C1947" s="14" t="s">
        <v>1063</v>
      </c>
      <c r="D1947" s="14" t="s">
        <v>29</v>
      </c>
      <c r="E1947" s="18" t="s">
        <v>8</v>
      </c>
      <c r="F1947" s="17" t="s">
        <v>23</v>
      </c>
      <c r="G1947" s="17">
        <f>G1944</f>
        <v>0</v>
      </c>
      <c r="H1947" s="13">
        <f t="shared" si="30"/>
        <v>0</v>
      </c>
    </row>
    <row r="1948" spans="2:8" ht="13.5" thickBot="1" x14ac:dyDescent="0.35">
      <c r="B1948" s="9"/>
      <c r="C1948" s="14" t="s">
        <v>968</v>
      </c>
      <c r="D1948" s="14" t="s">
        <v>27</v>
      </c>
      <c r="E1948" s="18" t="s">
        <v>8</v>
      </c>
      <c r="F1948" s="17" t="s">
        <v>23</v>
      </c>
      <c r="G1948" s="17">
        <f>G1944*2</f>
        <v>0</v>
      </c>
      <c r="H1948" s="13">
        <f t="shared" si="30"/>
        <v>0</v>
      </c>
    </row>
    <row r="1949" spans="2:8" ht="13.5" thickBot="1" x14ac:dyDescent="0.35">
      <c r="B1949" s="9">
        <f>COUNT($B$4:B1948)+1</f>
        <v>640</v>
      </c>
      <c r="C1949" s="10" t="s">
        <v>1064</v>
      </c>
      <c r="D1949" s="10"/>
      <c r="E1949" s="11" t="s">
        <v>8</v>
      </c>
      <c r="F1949" s="12" t="s">
        <v>23</v>
      </c>
      <c r="G1949" s="12"/>
      <c r="H1949" s="13">
        <f t="shared" si="30"/>
        <v>0</v>
      </c>
    </row>
    <row r="1950" spans="2:8" ht="13.5" thickBot="1" x14ac:dyDescent="0.35">
      <c r="B1950" s="9"/>
      <c r="C1950" s="14" t="s">
        <v>235</v>
      </c>
      <c r="D1950" s="14" t="s">
        <v>25</v>
      </c>
      <c r="E1950" s="18" t="s">
        <v>9</v>
      </c>
      <c r="F1950" s="17" t="s">
        <v>23</v>
      </c>
      <c r="G1950" s="17">
        <f>G1949</f>
        <v>0</v>
      </c>
      <c r="H1950" s="13">
        <f t="shared" si="30"/>
        <v>0</v>
      </c>
    </row>
    <row r="1951" spans="2:8" ht="13.5" thickBot="1" x14ac:dyDescent="0.35">
      <c r="B1951" s="9"/>
      <c r="C1951" s="14" t="s">
        <v>1034</v>
      </c>
      <c r="D1951" s="14" t="s">
        <v>27</v>
      </c>
      <c r="E1951" s="18" t="s">
        <v>8</v>
      </c>
      <c r="F1951" s="17" t="s">
        <v>23</v>
      </c>
      <c r="G1951" s="17">
        <f>G1949*4</f>
        <v>0</v>
      </c>
      <c r="H1951" s="13">
        <f t="shared" si="30"/>
        <v>0</v>
      </c>
    </row>
    <row r="1952" spans="2:8" ht="13.5" thickBot="1" x14ac:dyDescent="0.35">
      <c r="B1952" s="9"/>
      <c r="C1952" s="14" t="s">
        <v>1063</v>
      </c>
      <c r="D1952" s="14" t="s">
        <v>29</v>
      </c>
      <c r="E1952" s="18" t="s">
        <v>8</v>
      </c>
      <c r="F1952" s="17" t="s">
        <v>23</v>
      </c>
      <c r="G1952" s="17">
        <f>G1949</f>
        <v>0</v>
      </c>
      <c r="H1952" s="13">
        <f t="shared" si="30"/>
        <v>0</v>
      </c>
    </row>
    <row r="1953" spans="2:8" ht="13.5" thickBot="1" x14ac:dyDescent="0.35">
      <c r="B1953" s="9"/>
      <c r="C1953" s="14" t="s">
        <v>968</v>
      </c>
      <c r="D1953" s="14" t="s">
        <v>27</v>
      </c>
      <c r="E1953" s="18" t="s">
        <v>8</v>
      </c>
      <c r="F1953" s="17" t="s">
        <v>23</v>
      </c>
      <c r="G1953" s="17">
        <f>G1949*2</f>
        <v>0</v>
      </c>
      <c r="H1953" s="13">
        <f t="shared" si="30"/>
        <v>0</v>
      </c>
    </row>
    <row r="1954" spans="2:8" ht="13.5" thickBot="1" x14ac:dyDescent="0.35">
      <c r="B1954" s="9">
        <f>COUNT($B$4:B1953)+1</f>
        <v>641</v>
      </c>
      <c r="C1954" s="10" t="s">
        <v>1065</v>
      </c>
      <c r="D1954" s="10"/>
      <c r="E1954" s="11" t="s">
        <v>8</v>
      </c>
      <c r="F1954" s="12" t="s">
        <v>23</v>
      </c>
      <c r="G1954" s="12"/>
      <c r="H1954" s="13">
        <f t="shared" si="30"/>
        <v>0</v>
      </c>
    </row>
    <row r="1955" spans="2:8" ht="13.5" thickBot="1" x14ac:dyDescent="0.35">
      <c r="B1955" s="9"/>
      <c r="C1955" s="14" t="s">
        <v>449</v>
      </c>
      <c r="D1955" s="14" t="s">
        <v>278</v>
      </c>
      <c r="E1955" s="18" t="s">
        <v>0</v>
      </c>
      <c r="F1955" s="17" t="s">
        <v>23</v>
      </c>
      <c r="G1955" s="17">
        <f>G1954*4</f>
        <v>0</v>
      </c>
      <c r="H1955" s="13">
        <f t="shared" si="30"/>
        <v>0</v>
      </c>
    </row>
    <row r="1956" spans="2:8" ht="13.5" thickBot="1" x14ac:dyDescent="0.35">
      <c r="B1956" s="9"/>
      <c r="C1956" s="14" t="s">
        <v>784</v>
      </c>
      <c r="D1956" s="14" t="s">
        <v>278</v>
      </c>
      <c r="E1956" s="18" t="s">
        <v>0</v>
      </c>
      <c r="F1956" s="17" t="s">
        <v>23</v>
      </c>
      <c r="G1956" s="17">
        <f>G1954</f>
        <v>0</v>
      </c>
      <c r="H1956" s="13">
        <f t="shared" si="30"/>
        <v>0</v>
      </c>
    </row>
    <row r="1957" spans="2:8" ht="13.5" thickBot="1" x14ac:dyDescent="0.35">
      <c r="B1957" s="9"/>
      <c r="C1957" s="14" t="s">
        <v>785</v>
      </c>
      <c r="D1957" s="14" t="s">
        <v>278</v>
      </c>
      <c r="E1957" s="18" t="s">
        <v>9</v>
      </c>
      <c r="F1957" s="17" t="s">
        <v>23</v>
      </c>
      <c r="G1957" s="17">
        <f>G1954</f>
        <v>0</v>
      </c>
      <c r="H1957" s="13">
        <f t="shared" si="30"/>
        <v>0</v>
      </c>
    </row>
    <row r="1958" spans="2:8" ht="13.5" thickBot="1" x14ac:dyDescent="0.35">
      <c r="B1958" s="9"/>
      <c r="C1958" s="14" t="s">
        <v>1066</v>
      </c>
      <c r="D1958" s="14" t="s">
        <v>27</v>
      </c>
      <c r="E1958" s="18" t="s">
        <v>8</v>
      </c>
      <c r="F1958" s="17" t="s">
        <v>23</v>
      </c>
      <c r="G1958" s="17">
        <f>G1954*2</f>
        <v>0</v>
      </c>
      <c r="H1958" s="13">
        <f t="shared" si="30"/>
        <v>0</v>
      </c>
    </row>
    <row r="1959" spans="2:8" ht="13.5" thickBot="1" x14ac:dyDescent="0.35">
      <c r="B1959" s="9"/>
      <c r="C1959" s="14" t="s">
        <v>1067</v>
      </c>
      <c r="D1959" s="14" t="s">
        <v>29</v>
      </c>
      <c r="E1959" s="18" t="s">
        <v>8</v>
      </c>
      <c r="F1959" s="17" t="s">
        <v>23</v>
      </c>
      <c r="G1959" s="17">
        <f>G1954</f>
        <v>0</v>
      </c>
      <c r="H1959" s="13">
        <f t="shared" si="30"/>
        <v>0</v>
      </c>
    </row>
    <row r="1960" spans="2:8" ht="13.5" thickBot="1" x14ac:dyDescent="0.35">
      <c r="B1960" s="9"/>
      <c r="C1960" s="14" t="s">
        <v>1068</v>
      </c>
      <c r="D1960" s="14" t="s">
        <v>27</v>
      </c>
      <c r="E1960" s="18" t="s">
        <v>8</v>
      </c>
      <c r="F1960" s="17" t="s">
        <v>23</v>
      </c>
      <c r="G1960" s="17">
        <f>G1954</f>
        <v>0</v>
      </c>
      <c r="H1960" s="13">
        <f t="shared" si="30"/>
        <v>0</v>
      </c>
    </row>
    <row r="1961" spans="2:8" ht="13.5" thickBot="1" x14ac:dyDescent="0.35">
      <c r="B1961" s="9"/>
      <c r="C1961" s="14" t="s">
        <v>451</v>
      </c>
      <c r="D1961" s="14" t="s">
        <v>278</v>
      </c>
      <c r="E1961" s="18" t="s">
        <v>0</v>
      </c>
      <c r="F1961" s="17" t="s">
        <v>23</v>
      </c>
      <c r="G1961" s="17">
        <f>G1954*4</f>
        <v>0</v>
      </c>
      <c r="H1961" s="13">
        <f t="shared" si="30"/>
        <v>0</v>
      </c>
    </row>
    <row r="1962" spans="2:8" ht="13.5" thickBot="1" x14ac:dyDescent="0.35">
      <c r="B1962" s="9"/>
      <c r="C1962" s="14" t="s">
        <v>452</v>
      </c>
      <c r="D1962" s="14" t="s">
        <v>278</v>
      </c>
      <c r="E1962" s="18" t="s">
        <v>0</v>
      </c>
      <c r="F1962" s="17" t="s">
        <v>23</v>
      </c>
      <c r="G1962" s="17">
        <f>G1954*4</f>
        <v>0</v>
      </c>
      <c r="H1962" s="13">
        <f t="shared" si="30"/>
        <v>0</v>
      </c>
    </row>
    <row r="1963" spans="2:8" ht="13.5" thickBot="1" x14ac:dyDescent="0.35">
      <c r="B1963" s="9"/>
      <c r="C1963" s="14" t="s">
        <v>1069</v>
      </c>
      <c r="D1963" s="14" t="s">
        <v>278</v>
      </c>
      <c r="E1963" s="18" t="s">
        <v>3</v>
      </c>
      <c r="F1963" s="17" t="s">
        <v>23</v>
      </c>
      <c r="G1963" s="17">
        <f>G1954</f>
        <v>0</v>
      </c>
      <c r="H1963" s="13">
        <f t="shared" si="30"/>
        <v>0</v>
      </c>
    </row>
    <row r="1964" spans="2:8" ht="13.5" thickBot="1" x14ac:dyDescent="0.35">
      <c r="B1964" s="9"/>
      <c r="C1964" s="14" t="s">
        <v>749</v>
      </c>
      <c r="D1964" s="14" t="s">
        <v>278</v>
      </c>
      <c r="E1964" s="18" t="s">
        <v>9</v>
      </c>
      <c r="F1964" s="17" t="s">
        <v>23</v>
      </c>
      <c r="G1964" s="17">
        <f>G1954</f>
        <v>0</v>
      </c>
      <c r="H1964" s="13">
        <f t="shared" si="30"/>
        <v>0</v>
      </c>
    </row>
    <row r="1965" spans="2:8" ht="13.5" thickBot="1" x14ac:dyDescent="0.35">
      <c r="B1965" s="9">
        <f>COUNT($B$4:B1964)+1</f>
        <v>642</v>
      </c>
      <c r="C1965" s="10" t="s">
        <v>1654</v>
      </c>
      <c r="D1965" s="10"/>
      <c r="E1965" s="11" t="s">
        <v>8</v>
      </c>
      <c r="F1965" s="12" t="s">
        <v>23</v>
      </c>
      <c r="G1965" s="12">
        <v>8</v>
      </c>
      <c r="H1965" s="13">
        <f t="shared" si="30"/>
        <v>8</v>
      </c>
    </row>
    <row r="1966" spans="2:8" ht="13.5" thickBot="1" x14ac:dyDescent="0.35">
      <c r="B1966" s="9"/>
      <c r="C1966" s="14" t="s">
        <v>449</v>
      </c>
      <c r="D1966" s="14" t="s">
        <v>278</v>
      </c>
      <c r="E1966" s="18" t="s">
        <v>0</v>
      </c>
      <c r="F1966" s="17" t="s">
        <v>23</v>
      </c>
      <c r="G1966" s="17">
        <f>G1965*4</f>
        <v>32</v>
      </c>
      <c r="H1966" s="13">
        <f t="shared" si="30"/>
        <v>32</v>
      </c>
    </row>
    <row r="1967" spans="2:8" ht="13.5" thickBot="1" x14ac:dyDescent="0.35">
      <c r="B1967" s="9"/>
      <c r="C1967" s="14" t="s">
        <v>1070</v>
      </c>
      <c r="D1967" s="14" t="s">
        <v>278</v>
      </c>
      <c r="E1967" s="18" t="s">
        <v>9</v>
      </c>
      <c r="F1967" s="17" t="s">
        <v>23</v>
      </c>
      <c r="G1967" s="17">
        <f>G1965</f>
        <v>8</v>
      </c>
      <c r="H1967" s="13">
        <f t="shared" si="30"/>
        <v>8</v>
      </c>
    </row>
    <row r="1968" spans="2:8" ht="13.5" thickBot="1" x14ac:dyDescent="0.35">
      <c r="B1968" s="9"/>
      <c r="C1968" s="14" t="s">
        <v>1066</v>
      </c>
      <c r="D1968" s="14" t="s">
        <v>27</v>
      </c>
      <c r="E1968" s="18" t="s">
        <v>8</v>
      </c>
      <c r="F1968" s="17" t="s">
        <v>23</v>
      </c>
      <c r="G1968" s="17">
        <v>0</v>
      </c>
      <c r="H1968" s="13">
        <f t="shared" si="30"/>
        <v>0</v>
      </c>
    </row>
    <row r="1969" spans="2:8" ht="13.5" thickBot="1" x14ac:dyDescent="0.35">
      <c r="B1969" s="9"/>
      <c r="C1969" s="14" t="s">
        <v>1655</v>
      </c>
      <c r="D1969" s="14" t="s">
        <v>29</v>
      </c>
      <c r="E1969" s="18" t="s">
        <v>8</v>
      </c>
      <c r="F1969" s="17" t="s">
        <v>23</v>
      </c>
      <c r="G1969" s="17">
        <f>G1965</f>
        <v>8</v>
      </c>
      <c r="H1969" s="13">
        <f t="shared" si="30"/>
        <v>8</v>
      </c>
    </row>
    <row r="1970" spans="2:8" ht="13.5" thickBot="1" x14ac:dyDescent="0.35">
      <c r="B1970" s="9"/>
      <c r="C1970" s="14" t="s">
        <v>1068</v>
      </c>
      <c r="D1970" s="14" t="s">
        <v>27</v>
      </c>
      <c r="E1970" s="18" t="s">
        <v>8</v>
      </c>
      <c r="F1970" s="17" t="s">
        <v>23</v>
      </c>
      <c r="G1970" s="17">
        <v>0</v>
      </c>
      <c r="H1970" s="13">
        <f t="shared" si="30"/>
        <v>0</v>
      </c>
    </row>
    <row r="1971" spans="2:8" ht="14.25" customHeight="1" thickBot="1" x14ac:dyDescent="0.35">
      <c r="B1971" s="9"/>
      <c r="C1971" s="14" t="s">
        <v>451</v>
      </c>
      <c r="D1971" s="14" t="s">
        <v>278</v>
      </c>
      <c r="E1971" s="18" t="s">
        <v>0</v>
      </c>
      <c r="F1971" s="17" t="s">
        <v>23</v>
      </c>
      <c r="G1971" s="17">
        <f>G1965*4</f>
        <v>32</v>
      </c>
      <c r="H1971" s="13">
        <f t="shared" si="30"/>
        <v>32</v>
      </c>
    </row>
    <row r="1972" spans="2:8" ht="14.25" customHeight="1" thickBot="1" x14ac:dyDescent="0.35">
      <c r="B1972" s="9"/>
      <c r="C1972" s="14" t="s">
        <v>452</v>
      </c>
      <c r="D1972" s="14" t="s">
        <v>278</v>
      </c>
      <c r="E1972" s="18" t="s">
        <v>0</v>
      </c>
      <c r="F1972" s="17" t="s">
        <v>23</v>
      </c>
      <c r="G1972" s="17">
        <f>G1965*4</f>
        <v>32</v>
      </c>
      <c r="H1972" s="13">
        <f t="shared" si="30"/>
        <v>32</v>
      </c>
    </row>
    <row r="1973" spans="2:8" ht="14.25" customHeight="1" thickBot="1" x14ac:dyDescent="0.35">
      <c r="B1973" s="9"/>
      <c r="C1973" s="14" t="s">
        <v>1069</v>
      </c>
      <c r="D1973" s="14" t="s">
        <v>278</v>
      </c>
      <c r="E1973" s="18" t="s">
        <v>3</v>
      </c>
      <c r="F1973" s="17" t="s">
        <v>23</v>
      </c>
      <c r="G1973" s="17">
        <f>G1965</f>
        <v>8</v>
      </c>
      <c r="H1973" s="13">
        <f t="shared" si="30"/>
        <v>8</v>
      </c>
    </row>
    <row r="1974" spans="2:8" ht="14.25" customHeight="1" thickBot="1" x14ac:dyDescent="0.35">
      <c r="B1974" s="9"/>
      <c r="C1974" s="14" t="s">
        <v>749</v>
      </c>
      <c r="D1974" s="14" t="s">
        <v>278</v>
      </c>
      <c r="E1974" s="18" t="s">
        <v>9</v>
      </c>
      <c r="F1974" s="17" t="s">
        <v>23</v>
      </c>
      <c r="G1974" s="17">
        <f>G1965</f>
        <v>8</v>
      </c>
      <c r="H1974" s="13">
        <f t="shared" si="30"/>
        <v>8</v>
      </c>
    </row>
    <row r="1975" spans="2:8" ht="14.25" customHeight="1" thickBot="1" x14ac:dyDescent="0.35">
      <c r="B1975" s="9">
        <f>COUNT($B$4:B1974)+1</f>
        <v>643</v>
      </c>
      <c r="C1975" s="10" t="s">
        <v>1071</v>
      </c>
      <c r="D1975" s="10"/>
      <c r="E1975" s="11" t="s">
        <v>8</v>
      </c>
      <c r="F1975" s="12" t="s">
        <v>23</v>
      </c>
      <c r="G1975" s="12"/>
      <c r="H1975" s="13">
        <f t="shared" si="30"/>
        <v>0</v>
      </c>
    </row>
    <row r="1976" spans="2:8" ht="14.25" customHeight="1" thickBot="1" x14ac:dyDescent="0.35">
      <c r="B1976" s="9"/>
      <c r="C1976" s="14" t="s">
        <v>449</v>
      </c>
      <c r="D1976" s="14" t="s">
        <v>278</v>
      </c>
      <c r="E1976" s="18" t="s">
        <v>0</v>
      </c>
      <c r="F1976" s="17" t="s">
        <v>23</v>
      </c>
      <c r="G1976" s="17">
        <f>G1975*4</f>
        <v>0</v>
      </c>
      <c r="H1976" s="13">
        <f t="shared" si="30"/>
        <v>0</v>
      </c>
    </row>
    <row r="1977" spans="2:8" ht="14.25" customHeight="1" thickBot="1" x14ac:dyDescent="0.35">
      <c r="B1977" s="9"/>
      <c r="C1977" s="14" t="s">
        <v>784</v>
      </c>
      <c r="D1977" s="14" t="s">
        <v>278</v>
      </c>
      <c r="E1977" s="18" t="s">
        <v>0</v>
      </c>
      <c r="F1977" s="17" t="s">
        <v>23</v>
      </c>
      <c r="G1977" s="17">
        <f>G1975</f>
        <v>0</v>
      </c>
      <c r="H1977" s="13">
        <f t="shared" si="30"/>
        <v>0</v>
      </c>
    </row>
    <row r="1978" spans="2:8" ht="14.25" customHeight="1" thickBot="1" x14ac:dyDescent="0.35">
      <c r="B1978" s="9"/>
      <c r="C1978" s="14" t="s">
        <v>785</v>
      </c>
      <c r="D1978" s="14" t="s">
        <v>278</v>
      </c>
      <c r="E1978" s="18" t="s">
        <v>9</v>
      </c>
      <c r="F1978" s="17" t="s">
        <v>23</v>
      </c>
      <c r="G1978" s="17">
        <f>G1975</f>
        <v>0</v>
      </c>
      <c r="H1978" s="13">
        <f t="shared" si="30"/>
        <v>0</v>
      </c>
    </row>
    <row r="1979" spans="2:8" ht="14.25" customHeight="1" thickBot="1" x14ac:dyDescent="0.35">
      <c r="B1979" s="9"/>
      <c r="C1979" s="14" t="s">
        <v>1066</v>
      </c>
      <c r="D1979" s="14" t="s">
        <v>27</v>
      </c>
      <c r="E1979" s="18" t="s">
        <v>8</v>
      </c>
      <c r="F1979" s="17" t="s">
        <v>23</v>
      </c>
      <c r="G1979" s="17">
        <f>G1975*2</f>
        <v>0</v>
      </c>
      <c r="H1979" s="13">
        <f t="shared" si="30"/>
        <v>0</v>
      </c>
    </row>
    <row r="1980" spans="2:8" ht="14.25" customHeight="1" thickBot="1" x14ac:dyDescent="0.35">
      <c r="B1980" s="9"/>
      <c r="C1980" s="14" t="s">
        <v>1072</v>
      </c>
      <c r="D1980" s="14" t="s">
        <v>29</v>
      </c>
      <c r="E1980" s="18" t="s">
        <v>8</v>
      </c>
      <c r="F1980" s="17" t="s">
        <v>23</v>
      </c>
      <c r="G1980" s="17">
        <f>G1975</f>
        <v>0</v>
      </c>
      <c r="H1980" s="13">
        <f t="shared" si="30"/>
        <v>0</v>
      </c>
    </row>
    <row r="1981" spans="2:8" ht="14.25" customHeight="1" thickBot="1" x14ac:dyDescent="0.35">
      <c r="B1981" s="9"/>
      <c r="C1981" s="14" t="s">
        <v>1068</v>
      </c>
      <c r="D1981" s="14" t="s">
        <v>27</v>
      </c>
      <c r="E1981" s="18" t="s">
        <v>8</v>
      </c>
      <c r="F1981" s="17" t="s">
        <v>23</v>
      </c>
      <c r="G1981" s="17">
        <f>G1975</f>
        <v>0</v>
      </c>
      <c r="H1981" s="13">
        <f t="shared" si="30"/>
        <v>0</v>
      </c>
    </row>
    <row r="1982" spans="2:8" ht="14.25" customHeight="1" thickBot="1" x14ac:dyDescent="0.35">
      <c r="B1982" s="9"/>
      <c r="C1982" s="14" t="s">
        <v>451</v>
      </c>
      <c r="D1982" s="14" t="s">
        <v>278</v>
      </c>
      <c r="E1982" s="18" t="s">
        <v>0</v>
      </c>
      <c r="F1982" s="17" t="s">
        <v>23</v>
      </c>
      <c r="G1982" s="17">
        <f>G1975*4</f>
        <v>0</v>
      </c>
      <c r="H1982" s="13">
        <f t="shared" si="30"/>
        <v>0</v>
      </c>
    </row>
    <row r="1983" spans="2:8" ht="14.25" customHeight="1" thickBot="1" x14ac:dyDescent="0.35">
      <c r="B1983" s="9"/>
      <c r="C1983" s="14" t="s">
        <v>452</v>
      </c>
      <c r="D1983" s="14" t="s">
        <v>278</v>
      </c>
      <c r="E1983" s="18" t="s">
        <v>0</v>
      </c>
      <c r="F1983" s="17" t="s">
        <v>23</v>
      </c>
      <c r="G1983" s="17">
        <f>G1975*4</f>
        <v>0</v>
      </c>
      <c r="H1983" s="13">
        <f t="shared" si="30"/>
        <v>0</v>
      </c>
    </row>
    <row r="1984" spans="2:8" ht="14.25" customHeight="1" thickBot="1" x14ac:dyDescent="0.35">
      <c r="B1984" s="9"/>
      <c r="C1984" s="14" t="s">
        <v>1069</v>
      </c>
      <c r="D1984" s="14" t="s">
        <v>278</v>
      </c>
      <c r="E1984" s="18" t="s">
        <v>3</v>
      </c>
      <c r="F1984" s="17" t="s">
        <v>23</v>
      </c>
      <c r="G1984" s="17">
        <f>G1975</f>
        <v>0</v>
      </c>
      <c r="H1984" s="13">
        <f t="shared" si="30"/>
        <v>0</v>
      </c>
    </row>
    <row r="1985" spans="2:8" ht="14.25" customHeight="1" thickBot="1" x14ac:dyDescent="0.35">
      <c r="B1985" s="9"/>
      <c r="C1985" s="14" t="s">
        <v>749</v>
      </c>
      <c r="D1985" s="14" t="s">
        <v>278</v>
      </c>
      <c r="E1985" s="18" t="s">
        <v>9</v>
      </c>
      <c r="F1985" s="17" t="s">
        <v>23</v>
      </c>
      <c r="G1985" s="17">
        <f>G1975</f>
        <v>0</v>
      </c>
      <c r="H1985" s="13">
        <f t="shared" si="30"/>
        <v>0</v>
      </c>
    </row>
    <row r="1986" spans="2:8" ht="14.25" customHeight="1" thickBot="1" x14ac:dyDescent="0.35">
      <c r="B1986" s="9">
        <f>COUNT($B$4:B1985)+1</f>
        <v>644</v>
      </c>
      <c r="C1986" s="10" t="s">
        <v>1073</v>
      </c>
      <c r="D1986" s="10"/>
      <c r="E1986" s="11" t="s">
        <v>8</v>
      </c>
      <c r="F1986" s="12" t="s">
        <v>23</v>
      </c>
      <c r="G1986" s="12"/>
      <c r="H1986" s="13">
        <f t="shared" si="30"/>
        <v>0</v>
      </c>
    </row>
    <row r="1987" spans="2:8" ht="14.25" customHeight="1" thickBot="1" x14ac:dyDescent="0.35">
      <c r="B1987" s="9"/>
      <c r="C1987" s="14" t="s">
        <v>449</v>
      </c>
      <c r="D1987" s="14" t="s">
        <v>278</v>
      </c>
      <c r="E1987" s="18" t="s">
        <v>0</v>
      </c>
      <c r="F1987" s="17" t="s">
        <v>23</v>
      </c>
      <c r="G1987" s="17">
        <f>G1986*4</f>
        <v>0</v>
      </c>
      <c r="H1987" s="13">
        <f t="shared" si="30"/>
        <v>0</v>
      </c>
    </row>
    <row r="1988" spans="2:8" ht="13.5" thickBot="1" x14ac:dyDescent="0.35">
      <c r="B1988" s="9"/>
      <c r="C1988" s="14" t="s">
        <v>1070</v>
      </c>
      <c r="D1988" s="14" t="s">
        <v>278</v>
      </c>
      <c r="E1988" s="18" t="s">
        <v>9</v>
      </c>
      <c r="F1988" s="17" t="s">
        <v>23</v>
      </c>
      <c r="G1988" s="17">
        <f>G1986</f>
        <v>0</v>
      </c>
      <c r="H1988" s="13">
        <f t="shared" si="30"/>
        <v>0</v>
      </c>
    </row>
    <row r="1989" spans="2:8" ht="13.5" thickBot="1" x14ac:dyDescent="0.35">
      <c r="B1989" s="9"/>
      <c r="C1989" s="14" t="s">
        <v>1066</v>
      </c>
      <c r="D1989" s="14" t="s">
        <v>27</v>
      </c>
      <c r="E1989" s="18" t="s">
        <v>8</v>
      </c>
      <c r="F1989" s="17" t="s">
        <v>23</v>
      </c>
      <c r="G1989" s="17">
        <f>G1986*2</f>
        <v>0</v>
      </c>
      <c r="H1989" s="13">
        <f t="shared" ref="H1989:H2052" si="31">SUM(G1989:G1989)</f>
        <v>0</v>
      </c>
    </row>
    <row r="1990" spans="2:8" ht="13.5" thickBot="1" x14ac:dyDescent="0.35">
      <c r="B1990" s="9"/>
      <c r="C1990" s="14" t="s">
        <v>1072</v>
      </c>
      <c r="D1990" s="14" t="s">
        <v>29</v>
      </c>
      <c r="E1990" s="18" t="s">
        <v>8</v>
      </c>
      <c r="F1990" s="17" t="s">
        <v>23</v>
      </c>
      <c r="G1990" s="17">
        <f>G1986</f>
        <v>0</v>
      </c>
      <c r="H1990" s="13">
        <f t="shared" si="31"/>
        <v>0</v>
      </c>
    </row>
    <row r="1991" spans="2:8" ht="13.5" thickBot="1" x14ac:dyDescent="0.35">
      <c r="B1991" s="9"/>
      <c r="C1991" s="14" t="s">
        <v>1068</v>
      </c>
      <c r="D1991" s="14" t="s">
        <v>27</v>
      </c>
      <c r="E1991" s="18" t="s">
        <v>8</v>
      </c>
      <c r="F1991" s="17" t="s">
        <v>23</v>
      </c>
      <c r="G1991" s="17">
        <f>G1986</f>
        <v>0</v>
      </c>
      <c r="H1991" s="13">
        <f t="shared" si="31"/>
        <v>0</v>
      </c>
    </row>
    <row r="1992" spans="2:8" ht="13.5" thickBot="1" x14ac:dyDescent="0.35">
      <c r="B1992" s="9"/>
      <c r="C1992" s="14" t="s">
        <v>451</v>
      </c>
      <c r="D1992" s="14" t="s">
        <v>278</v>
      </c>
      <c r="E1992" s="18" t="s">
        <v>0</v>
      </c>
      <c r="F1992" s="17" t="s">
        <v>23</v>
      </c>
      <c r="G1992" s="17">
        <f>G1986*4</f>
        <v>0</v>
      </c>
      <c r="H1992" s="13">
        <f t="shared" si="31"/>
        <v>0</v>
      </c>
    </row>
    <row r="1993" spans="2:8" ht="13.5" thickBot="1" x14ac:dyDescent="0.35">
      <c r="B1993" s="9"/>
      <c r="C1993" s="14" t="s">
        <v>452</v>
      </c>
      <c r="D1993" s="14" t="s">
        <v>278</v>
      </c>
      <c r="E1993" s="18" t="s">
        <v>0</v>
      </c>
      <c r="F1993" s="17" t="s">
        <v>23</v>
      </c>
      <c r="G1993" s="17">
        <f>G1986*4</f>
        <v>0</v>
      </c>
      <c r="H1993" s="13">
        <f t="shared" si="31"/>
        <v>0</v>
      </c>
    </row>
    <row r="1994" spans="2:8" ht="13.5" thickBot="1" x14ac:dyDescent="0.35">
      <c r="B1994" s="9"/>
      <c r="C1994" s="14" t="s">
        <v>1069</v>
      </c>
      <c r="D1994" s="14" t="s">
        <v>278</v>
      </c>
      <c r="E1994" s="18" t="s">
        <v>3</v>
      </c>
      <c r="F1994" s="17" t="s">
        <v>23</v>
      </c>
      <c r="G1994" s="17">
        <f>G1986</f>
        <v>0</v>
      </c>
      <c r="H1994" s="13">
        <f t="shared" si="31"/>
        <v>0</v>
      </c>
    </row>
    <row r="1995" spans="2:8" ht="13.5" thickBot="1" x14ac:dyDescent="0.35">
      <c r="B1995" s="9"/>
      <c r="C1995" s="14" t="s">
        <v>749</v>
      </c>
      <c r="D1995" s="14" t="s">
        <v>278</v>
      </c>
      <c r="E1995" s="18" t="s">
        <v>9</v>
      </c>
      <c r="F1995" s="17" t="s">
        <v>23</v>
      </c>
      <c r="G1995" s="17">
        <f>G1986</f>
        <v>0</v>
      </c>
      <c r="H1995" s="13">
        <f t="shared" si="31"/>
        <v>0</v>
      </c>
    </row>
    <row r="1996" spans="2:8" ht="13.5" thickBot="1" x14ac:dyDescent="0.35">
      <c r="B1996" s="9">
        <f>COUNT($B$4:B1974)+1</f>
        <v>643</v>
      </c>
      <c r="C1996" s="10" t="s">
        <v>1682</v>
      </c>
      <c r="D1996" s="10"/>
      <c r="E1996" s="11" t="s">
        <v>8</v>
      </c>
      <c r="F1996" s="12" t="s">
        <v>23</v>
      </c>
      <c r="G1996" s="12">
        <v>29</v>
      </c>
      <c r="H1996" s="13">
        <f t="shared" si="31"/>
        <v>29</v>
      </c>
    </row>
    <row r="1997" spans="2:8" ht="13.5" thickBot="1" x14ac:dyDescent="0.35">
      <c r="B1997" s="9"/>
      <c r="C1997" s="14" t="s">
        <v>449</v>
      </c>
      <c r="D1997" s="14" t="s">
        <v>278</v>
      </c>
      <c r="E1997" s="18" t="s">
        <v>0</v>
      </c>
      <c r="F1997" s="17" t="s">
        <v>23</v>
      </c>
      <c r="G1997" s="17">
        <f>G1996*4</f>
        <v>116</v>
      </c>
      <c r="H1997" s="13">
        <f t="shared" si="31"/>
        <v>116</v>
      </c>
    </row>
    <row r="1998" spans="2:8" ht="13.5" thickBot="1" x14ac:dyDescent="0.35">
      <c r="B1998" s="9"/>
      <c r="C1998" s="14" t="s">
        <v>784</v>
      </c>
      <c r="D1998" s="14" t="s">
        <v>278</v>
      </c>
      <c r="E1998" s="18" t="s">
        <v>0</v>
      </c>
      <c r="F1998" s="17" t="s">
        <v>23</v>
      </c>
      <c r="G1998" s="17">
        <f>G1996</f>
        <v>29</v>
      </c>
      <c r="H1998" s="13">
        <f t="shared" si="31"/>
        <v>29</v>
      </c>
    </row>
    <row r="1999" spans="2:8" ht="13.5" thickBot="1" x14ac:dyDescent="0.35">
      <c r="B1999" s="9"/>
      <c r="C1999" s="14" t="s">
        <v>785</v>
      </c>
      <c r="D1999" s="14" t="s">
        <v>278</v>
      </c>
      <c r="E1999" s="18" t="s">
        <v>9</v>
      </c>
      <c r="F1999" s="17" t="s">
        <v>23</v>
      </c>
      <c r="G1999" s="17">
        <f>G1996</f>
        <v>29</v>
      </c>
      <c r="H1999" s="13">
        <f t="shared" si="31"/>
        <v>29</v>
      </c>
    </row>
    <row r="2000" spans="2:8" ht="13.5" thickBot="1" x14ac:dyDescent="0.35">
      <c r="B2000" s="9"/>
      <c r="C2000" s="14" t="s">
        <v>1074</v>
      </c>
      <c r="D2000" s="14" t="s">
        <v>27</v>
      </c>
      <c r="E2000" s="18" t="s">
        <v>8</v>
      </c>
      <c r="F2000" s="17" t="s">
        <v>23</v>
      </c>
      <c r="G2000" s="17">
        <v>0</v>
      </c>
      <c r="H2000" s="13">
        <f t="shared" si="31"/>
        <v>0</v>
      </c>
    </row>
    <row r="2001" spans="2:8" ht="13.5" thickBot="1" x14ac:dyDescent="0.35">
      <c r="B2001" s="9"/>
      <c r="C2001" s="14" t="s">
        <v>1683</v>
      </c>
      <c r="D2001" s="14" t="s">
        <v>29</v>
      </c>
      <c r="E2001" s="18" t="s">
        <v>8</v>
      </c>
      <c r="F2001" s="17" t="s">
        <v>23</v>
      </c>
      <c r="G2001" s="17">
        <f>G1996</f>
        <v>29</v>
      </c>
      <c r="H2001" s="13">
        <f t="shared" si="31"/>
        <v>29</v>
      </c>
    </row>
    <row r="2002" spans="2:8" ht="13.5" thickBot="1" x14ac:dyDescent="0.35">
      <c r="B2002" s="9"/>
      <c r="C2002" s="14" t="s">
        <v>1076</v>
      </c>
      <c r="D2002" s="14" t="s">
        <v>27</v>
      </c>
      <c r="E2002" s="18" t="s">
        <v>8</v>
      </c>
      <c r="F2002" s="17" t="s">
        <v>23</v>
      </c>
      <c r="G2002" s="17">
        <v>0</v>
      </c>
      <c r="H2002" s="13">
        <f t="shared" si="31"/>
        <v>0</v>
      </c>
    </row>
    <row r="2003" spans="2:8" ht="13.5" thickBot="1" x14ac:dyDescent="0.35">
      <c r="B2003" s="9"/>
      <c r="C2003" s="14" t="s">
        <v>451</v>
      </c>
      <c r="D2003" s="14" t="s">
        <v>278</v>
      </c>
      <c r="E2003" s="18" t="s">
        <v>0</v>
      </c>
      <c r="F2003" s="17" t="s">
        <v>23</v>
      </c>
      <c r="G2003" s="17">
        <f>G1996*4</f>
        <v>116</v>
      </c>
      <c r="H2003" s="13">
        <f t="shared" si="31"/>
        <v>116</v>
      </c>
    </row>
    <row r="2004" spans="2:8" ht="13.5" thickBot="1" x14ac:dyDescent="0.35">
      <c r="B2004" s="9"/>
      <c r="C2004" s="14" t="s">
        <v>452</v>
      </c>
      <c r="D2004" s="14" t="s">
        <v>278</v>
      </c>
      <c r="E2004" s="18" t="s">
        <v>0</v>
      </c>
      <c r="F2004" s="17" t="s">
        <v>23</v>
      </c>
      <c r="G2004" s="17">
        <f>G1996*4</f>
        <v>116</v>
      </c>
      <c r="H2004" s="13">
        <f t="shared" si="31"/>
        <v>116</v>
      </c>
    </row>
    <row r="2005" spans="2:8" ht="13.5" thickBot="1" x14ac:dyDescent="0.35">
      <c r="B2005" s="9"/>
      <c r="C2005" s="14" t="s">
        <v>1069</v>
      </c>
      <c r="D2005" s="14" t="s">
        <v>278</v>
      </c>
      <c r="E2005" s="18" t="s">
        <v>3</v>
      </c>
      <c r="F2005" s="17" t="s">
        <v>23</v>
      </c>
      <c r="G2005" s="17">
        <f>G1996</f>
        <v>29</v>
      </c>
      <c r="H2005" s="13">
        <f t="shared" si="31"/>
        <v>29</v>
      </c>
    </row>
    <row r="2006" spans="2:8" ht="13.5" thickBot="1" x14ac:dyDescent="0.35">
      <c r="B2006" s="9"/>
      <c r="C2006" s="14" t="s">
        <v>749</v>
      </c>
      <c r="D2006" s="14" t="s">
        <v>278</v>
      </c>
      <c r="E2006" s="18" t="s">
        <v>9</v>
      </c>
      <c r="F2006" s="17" t="s">
        <v>23</v>
      </c>
      <c r="G2006" s="17">
        <f>G1996</f>
        <v>29</v>
      </c>
      <c r="H2006" s="13">
        <f t="shared" si="31"/>
        <v>29</v>
      </c>
    </row>
    <row r="2007" spans="2:8" ht="13.5" thickBot="1" x14ac:dyDescent="0.35">
      <c r="B2007" s="9">
        <f>COUNT($B$4:B2006)+1</f>
        <v>646</v>
      </c>
      <c r="C2007" s="10" t="s">
        <v>1679</v>
      </c>
      <c r="D2007" s="10"/>
      <c r="E2007" s="11" t="s">
        <v>8</v>
      </c>
      <c r="F2007" s="12" t="s">
        <v>23</v>
      </c>
      <c r="G2007" s="12">
        <v>0</v>
      </c>
      <c r="H2007" s="13">
        <f t="shared" si="31"/>
        <v>0</v>
      </c>
    </row>
    <row r="2008" spans="2:8" ht="13.5" thickBot="1" x14ac:dyDescent="0.35">
      <c r="B2008" s="9"/>
      <c r="C2008" s="14" t="s">
        <v>449</v>
      </c>
      <c r="D2008" s="14" t="s">
        <v>278</v>
      </c>
      <c r="E2008" s="18" t="s">
        <v>0</v>
      </c>
      <c r="F2008" s="17" t="s">
        <v>23</v>
      </c>
      <c r="G2008" s="17">
        <f>G2007*4</f>
        <v>0</v>
      </c>
      <c r="H2008" s="13">
        <f t="shared" si="31"/>
        <v>0</v>
      </c>
    </row>
    <row r="2009" spans="2:8" ht="13.5" thickBot="1" x14ac:dyDescent="0.35">
      <c r="B2009" s="9"/>
      <c r="C2009" s="14" t="s">
        <v>1070</v>
      </c>
      <c r="D2009" s="14" t="s">
        <v>278</v>
      </c>
      <c r="E2009" s="18" t="s">
        <v>9</v>
      </c>
      <c r="F2009" s="17" t="s">
        <v>23</v>
      </c>
      <c r="G2009" s="17">
        <f>G2007</f>
        <v>0</v>
      </c>
      <c r="H2009" s="13">
        <f t="shared" si="31"/>
        <v>0</v>
      </c>
    </row>
    <row r="2010" spans="2:8" ht="13.5" thickBot="1" x14ac:dyDescent="0.35">
      <c r="B2010" s="9"/>
      <c r="C2010" s="14" t="s">
        <v>1074</v>
      </c>
      <c r="D2010" s="14" t="s">
        <v>27</v>
      </c>
      <c r="E2010" s="18" t="s">
        <v>8</v>
      </c>
      <c r="F2010" s="17" t="s">
        <v>23</v>
      </c>
      <c r="G2010" s="17">
        <v>0</v>
      </c>
      <c r="H2010" s="13">
        <f t="shared" si="31"/>
        <v>0</v>
      </c>
    </row>
    <row r="2011" spans="2:8" ht="13.5" thickBot="1" x14ac:dyDescent="0.35">
      <c r="B2011" s="9"/>
      <c r="C2011" s="14" t="s">
        <v>1680</v>
      </c>
      <c r="D2011" s="14" t="s">
        <v>29</v>
      </c>
      <c r="E2011" s="18" t="s">
        <v>8</v>
      </c>
      <c r="F2011" s="17" t="s">
        <v>23</v>
      </c>
      <c r="G2011" s="17">
        <f>G2007</f>
        <v>0</v>
      </c>
      <c r="H2011" s="13">
        <f t="shared" si="31"/>
        <v>0</v>
      </c>
    </row>
    <row r="2012" spans="2:8" ht="13.5" thickBot="1" x14ac:dyDescent="0.35">
      <c r="B2012" s="9"/>
      <c r="C2012" s="14" t="s">
        <v>1076</v>
      </c>
      <c r="D2012" s="14" t="s">
        <v>27</v>
      </c>
      <c r="E2012" s="18" t="s">
        <v>8</v>
      </c>
      <c r="F2012" s="17" t="s">
        <v>23</v>
      </c>
      <c r="G2012" s="17">
        <v>0</v>
      </c>
      <c r="H2012" s="13">
        <f t="shared" si="31"/>
        <v>0</v>
      </c>
    </row>
    <row r="2013" spans="2:8" ht="13.5" thickBot="1" x14ac:dyDescent="0.35">
      <c r="B2013" s="9"/>
      <c r="C2013" s="14" t="s">
        <v>451</v>
      </c>
      <c r="D2013" s="14" t="s">
        <v>278</v>
      </c>
      <c r="E2013" s="18" t="s">
        <v>0</v>
      </c>
      <c r="F2013" s="17" t="s">
        <v>23</v>
      </c>
      <c r="G2013" s="17">
        <f>G2007*4</f>
        <v>0</v>
      </c>
      <c r="H2013" s="13">
        <f t="shared" si="31"/>
        <v>0</v>
      </c>
    </row>
    <row r="2014" spans="2:8" ht="13.5" thickBot="1" x14ac:dyDescent="0.35">
      <c r="B2014" s="9"/>
      <c r="C2014" s="14" t="s">
        <v>452</v>
      </c>
      <c r="D2014" s="14" t="s">
        <v>278</v>
      </c>
      <c r="E2014" s="18" t="s">
        <v>0</v>
      </c>
      <c r="F2014" s="17" t="s">
        <v>23</v>
      </c>
      <c r="G2014" s="17">
        <f>G2007*4</f>
        <v>0</v>
      </c>
      <c r="H2014" s="13">
        <f t="shared" si="31"/>
        <v>0</v>
      </c>
    </row>
    <row r="2015" spans="2:8" ht="13.5" thickBot="1" x14ac:dyDescent="0.35">
      <c r="B2015" s="9"/>
      <c r="C2015" s="14" t="s">
        <v>1069</v>
      </c>
      <c r="D2015" s="14" t="s">
        <v>278</v>
      </c>
      <c r="E2015" s="18" t="s">
        <v>3</v>
      </c>
      <c r="F2015" s="17" t="s">
        <v>23</v>
      </c>
      <c r="G2015" s="17">
        <f>G2007</f>
        <v>0</v>
      </c>
      <c r="H2015" s="13">
        <f t="shared" si="31"/>
        <v>0</v>
      </c>
    </row>
    <row r="2016" spans="2:8" ht="13.5" thickBot="1" x14ac:dyDescent="0.35">
      <c r="B2016" s="9"/>
      <c r="C2016" s="14" t="s">
        <v>749</v>
      </c>
      <c r="D2016" s="14" t="s">
        <v>278</v>
      </c>
      <c r="E2016" s="18" t="s">
        <v>9</v>
      </c>
      <c r="F2016" s="17" t="s">
        <v>23</v>
      </c>
      <c r="G2016" s="17">
        <f>G2007</f>
        <v>0</v>
      </c>
      <c r="H2016" s="13">
        <f t="shared" si="31"/>
        <v>0</v>
      </c>
    </row>
    <row r="2017" spans="2:8" ht="13.5" thickBot="1" x14ac:dyDescent="0.35">
      <c r="B2017" s="9">
        <f>COUNT($B$4:B2016)+1</f>
        <v>647</v>
      </c>
      <c r="C2017" s="10" t="s">
        <v>1077</v>
      </c>
      <c r="D2017" s="10"/>
      <c r="E2017" s="11" t="s">
        <v>8</v>
      </c>
      <c r="F2017" s="12" t="s">
        <v>23</v>
      </c>
      <c r="G2017" s="12"/>
      <c r="H2017" s="13">
        <f t="shared" si="31"/>
        <v>0</v>
      </c>
    </row>
    <row r="2018" spans="2:8" ht="13.5" thickBot="1" x14ac:dyDescent="0.35">
      <c r="B2018" s="9"/>
      <c r="C2018" s="14" t="s">
        <v>449</v>
      </c>
      <c r="D2018" s="14" t="s">
        <v>278</v>
      </c>
      <c r="E2018" s="18" t="s">
        <v>0</v>
      </c>
      <c r="F2018" s="17" t="s">
        <v>23</v>
      </c>
      <c r="G2018" s="17">
        <f>G2017*4</f>
        <v>0</v>
      </c>
      <c r="H2018" s="13">
        <f t="shared" si="31"/>
        <v>0</v>
      </c>
    </row>
    <row r="2019" spans="2:8" ht="13.5" thickBot="1" x14ac:dyDescent="0.35">
      <c r="B2019" s="9"/>
      <c r="C2019" s="14" t="s">
        <v>784</v>
      </c>
      <c r="D2019" s="14" t="s">
        <v>278</v>
      </c>
      <c r="E2019" s="18" t="s">
        <v>0</v>
      </c>
      <c r="F2019" s="17" t="s">
        <v>23</v>
      </c>
      <c r="G2019" s="17">
        <f>G2017</f>
        <v>0</v>
      </c>
      <c r="H2019" s="13">
        <f t="shared" si="31"/>
        <v>0</v>
      </c>
    </row>
    <row r="2020" spans="2:8" ht="13.5" thickBot="1" x14ac:dyDescent="0.35">
      <c r="B2020" s="9"/>
      <c r="C2020" s="14" t="s">
        <v>785</v>
      </c>
      <c r="D2020" s="14" t="s">
        <v>278</v>
      </c>
      <c r="E2020" s="18" t="s">
        <v>9</v>
      </c>
      <c r="F2020" s="17" t="s">
        <v>23</v>
      </c>
      <c r="G2020" s="17">
        <f>G2017</f>
        <v>0</v>
      </c>
      <c r="H2020" s="13">
        <f t="shared" si="31"/>
        <v>0</v>
      </c>
    </row>
    <row r="2021" spans="2:8" ht="13.5" thickBot="1" x14ac:dyDescent="0.35">
      <c r="B2021" s="9"/>
      <c r="C2021" s="14" t="s">
        <v>1078</v>
      </c>
      <c r="D2021" s="14" t="s">
        <v>27</v>
      </c>
      <c r="E2021" s="18" t="s">
        <v>8</v>
      </c>
      <c r="F2021" s="17" t="s">
        <v>23</v>
      </c>
      <c r="G2021" s="17">
        <f>G2017</f>
        <v>0</v>
      </c>
      <c r="H2021" s="13">
        <f t="shared" si="31"/>
        <v>0</v>
      </c>
    </row>
    <row r="2022" spans="2:8" ht="13.5" thickBot="1" x14ac:dyDescent="0.35">
      <c r="B2022" s="9"/>
      <c r="C2022" s="14" t="s">
        <v>1075</v>
      </c>
      <c r="D2022" s="14" t="s">
        <v>29</v>
      </c>
      <c r="E2022" s="18" t="s">
        <v>8</v>
      </c>
      <c r="F2022" s="17" t="s">
        <v>23</v>
      </c>
      <c r="G2022" s="17">
        <f>G2017</f>
        <v>0</v>
      </c>
      <c r="H2022" s="13">
        <f t="shared" si="31"/>
        <v>0</v>
      </c>
    </row>
    <row r="2023" spans="2:8" ht="13.5" thickBot="1" x14ac:dyDescent="0.35">
      <c r="B2023" s="9"/>
      <c r="C2023" s="14" t="s">
        <v>1079</v>
      </c>
      <c r="D2023" s="14" t="s">
        <v>27</v>
      </c>
      <c r="E2023" s="18" t="s">
        <v>8</v>
      </c>
      <c r="F2023" s="17" t="s">
        <v>23</v>
      </c>
      <c r="G2023" s="17">
        <f>G2017</f>
        <v>0</v>
      </c>
      <c r="H2023" s="13">
        <f t="shared" si="31"/>
        <v>0</v>
      </c>
    </row>
    <row r="2024" spans="2:8" ht="13.5" thickBot="1" x14ac:dyDescent="0.35">
      <c r="B2024" s="9"/>
      <c r="C2024" s="14" t="s">
        <v>451</v>
      </c>
      <c r="D2024" s="14" t="s">
        <v>278</v>
      </c>
      <c r="E2024" s="18" t="s">
        <v>0</v>
      </c>
      <c r="F2024" s="17" t="s">
        <v>23</v>
      </c>
      <c r="G2024" s="17">
        <f>G2017*4</f>
        <v>0</v>
      </c>
      <c r="H2024" s="13">
        <f t="shared" si="31"/>
        <v>0</v>
      </c>
    </row>
    <row r="2025" spans="2:8" ht="13.5" thickBot="1" x14ac:dyDescent="0.35">
      <c r="B2025" s="9"/>
      <c r="C2025" s="14" t="s">
        <v>452</v>
      </c>
      <c r="D2025" s="14" t="s">
        <v>278</v>
      </c>
      <c r="E2025" s="18" t="s">
        <v>0</v>
      </c>
      <c r="F2025" s="17" t="s">
        <v>23</v>
      </c>
      <c r="G2025" s="17">
        <f>G2017*4</f>
        <v>0</v>
      </c>
      <c r="H2025" s="13">
        <f t="shared" si="31"/>
        <v>0</v>
      </c>
    </row>
    <row r="2026" spans="2:8" ht="13.5" thickBot="1" x14ac:dyDescent="0.35">
      <c r="B2026" s="9"/>
      <c r="C2026" s="14" t="s">
        <v>1069</v>
      </c>
      <c r="D2026" s="14" t="s">
        <v>278</v>
      </c>
      <c r="E2026" s="18" t="s">
        <v>3</v>
      </c>
      <c r="F2026" s="17" t="s">
        <v>23</v>
      </c>
      <c r="G2026" s="17">
        <f>G2017</f>
        <v>0</v>
      </c>
      <c r="H2026" s="13">
        <f t="shared" si="31"/>
        <v>0</v>
      </c>
    </row>
    <row r="2027" spans="2:8" ht="13.5" thickBot="1" x14ac:dyDescent="0.35">
      <c r="B2027" s="9"/>
      <c r="C2027" s="14" t="s">
        <v>749</v>
      </c>
      <c r="D2027" s="14" t="s">
        <v>278</v>
      </c>
      <c r="E2027" s="18" t="s">
        <v>9</v>
      </c>
      <c r="F2027" s="17" t="s">
        <v>23</v>
      </c>
      <c r="G2027" s="17">
        <f>G2017</f>
        <v>0</v>
      </c>
      <c r="H2027" s="13">
        <f t="shared" si="31"/>
        <v>0</v>
      </c>
    </row>
    <row r="2028" spans="2:8" ht="13.5" thickBot="1" x14ac:dyDescent="0.35">
      <c r="B2028" s="9">
        <f>COUNT($B$4:B2027)+1</f>
        <v>648</v>
      </c>
      <c r="C2028" s="10" t="s">
        <v>1080</v>
      </c>
      <c r="D2028" s="10"/>
      <c r="E2028" s="11" t="s">
        <v>8</v>
      </c>
      <c r="F2028" s="12" t="s">
        <v>23</v>
      </c>
      <c r="G2028" s="12"/>
      <c r="H2028" s="13">
        <f t="shared" si="31"/>
        <v>0</v>
      </c>
    </row>
    <row r="2029" spans="2:8" ht="13.5" thickBot="1" x14ac:dyDescent="0.35">
      <c r="B2029" s="9"/>
      <c r="C2029" s="14" t="s">
        <v>449</v>
      </c>
      <c r="D2029" s="14" t="s">
        <v>278</v>
      </c>
      <c r="E2029" s="18" t="s">
        <v>0</v>
      </c>
      <c r="F2029" s="17" t="s">
        <v>23</v>
      </c>
      <c r="G2029" s="17">
        <f>G2028*4</f>
        <v>0</v>
      </c>
      <c r="H2029" s="13">
        <f t="shared" si="31"/>
        <v>0</v>
      </c>
    </row>
    <row r="2030" spans="2:8" ht="13.5" thickBot="1" x14ac:dyDescent="0.35">
      <c r="B2030" s="9"/>
      <c r="C2030" s="14" t="s">
        <v>1070</v>
      </c>
      <c r="D2030" s="14" t="s">
        <v>278</v>
      </c>
      <c r="E2030" s="18" t="s">
        <v>9</v>
      </c>
      <c r="F2030" s="17" t="s">
        <v>23</v>
      </c>
      <c r="G2030" s="17">
        <f>G2028</f>
        <v>0</v>
      </c>
      <c r="H2030" s="13">
        <f t="shared" si="31"/>
        <v>0</v>
      </c>
    </row>
    <row r="2031" spans="2:8" ht="13.5" thickBot="1" x14ac:dyDescent="0.35">
      <c r="B2031" s="9"/>
      <c r="C2031" s="14" t="s">
        <v>1078</v>
      </c>
      <c r="D2031" s="14" t="s">
        <v>27</v>
      </c>
      <c r="E2031" s="18" t="s">
        <v>8</v>
      </c>
      <c r="F2031" s="17" t="s">
        <v>23</v>
      </c>
      <c r="G2031" s="17">
        <f>G2028</f>
        <v>0</v>
      </c>
      <c r="H2031" s="13">
        <f t="shared" si="31"/>
        <v>0</v>
      </c>
    </row>
    <row r="2032" spans="2:8" ht="13.5" thickBot="1" x14ac:dyDescent="0.35">
      <c r="B2032" s="9"/>
      <c r="C2032" s="14" t="s">
        <v>1075</v>
      </c>
      <c r="D2032" s="14" t="s">
        <v>29</v>
      </c>
      <c r="E2032" s="18" t="s">
        <v>8</v>
      </c>
      <c r="F2032" s="17" t="s">
        <v>23</v>
      </c>
      <c r="G2032" s="17">
        <f>G2028</f>
        <v>0</v>
      </c>
      <c r="H2032" s="13">
        <f t="shared" si="31"/>
        <v>0</v>
      </c>
    </row>
    <row r="2033" spans="2:8" ht="13.5" thickBot="1" x14ac:dyDescent="0.35">
      <c r="B2033" s="9"/>
      <c r="C2033" s="14" t="s">
        <v>1079</v>
      </c>
      <c r="D2033" s="14" t="s">
        <v>27</v>
      </c>
      <c r="E2033" s="18" t="s">
        <v>8</v>
      </c>
      <c r="F2033" s="17" t="s">
        <v>23</v>
      </c>
      <c r="G2033" s="17">
        <f>G2028</f>
        <v>0</v>
      </c>
      <c r="H2033" s="13">
        <f t="shared" si="31"/>
        <v>0</v>
      </c>
    </row>
    <row r="2034" spans="2:8" ht="13.5" thickBot="1" x14ac:dyDescent="0.35">
      <c r="B2034" s="9"/>
      <c r="C2034" s="14" t="s">
        <v>451</v>
      </c>
      <c r="D2034" s="14" t="s">
        <v>278</v>
      </c>
      <c r="E2034" s="18" t="s">
        <v>0</v>
      </c>
      <c r="F2034" s="17" t="s">
        <v>23</v>
      </c>
      <c r="G2034" s="17">
        <f>G2028*4</f>
        <v>0</v>
      </c>
      <c r="H2034" s="13">
        <f t="shared" si="31"/>
        <v>0</v>
      </c>
    </row>
    <row r="2035" spans="2:8" ht="13.5" thickBot="1" x14ac:dyDescent="0.35">
      <c r="B2035" s="9"/>
      <c r="C2035" s="14" t="s">
        <v>452</v>
      </c>
      <c r="D2035" s="14" t="s">
        <v>278</v>
      </c>
      <c r="E2035" s="18" t="s">
        <v>0</v>
      </c>
      <c r="F2035" s="17" t="s">
        <v>23</v>
      </c>
      <c r="G2035" s="17">
        <f>G2028*4</f>
        <v>0</v>
      </c>
      <c r="H2035" s="13">
        <f t="shared" si="31"/>
        <v>0</v>
      </c>
    </row>
    <row r="2036" spans="2:8" ht="13.5" thickBot="1" x14ac:dyDescent="0.35">
      <c r="B2036" s="9"/>
      <c r="C2036" s="14" t="s">
        <v>1069</v>
      </c>
      <c r="D2036" s="14" t="s">
        <v>278</v>
      </c>
      <c r="E2036" s="18" t="s">
        <v>3</v>
      </c>
      <c r="F2036" s="17" t="s">
        <v>23</v>
      </c>
      <c r="G2036" s="17">
        <f>G2028</f>
        <v>0</v>
      </c>
      <c r="H2036" s="13">
        <f t="shared" si="31"/>
        <v>0</v>
      </c>
    </row>
    <row r="2037" spans="2:8" ht="13.5" thickBot="1" x14ac:dyDescent="0.35">
      <c r="B2037" s="9"/>
      <c r="C2037" s="14" t="s">
        <v>749</v>
      </c>
      <c r="D2037" s="14" t="s">
        <v>278</v>
      </c>
      <c r="E2037" s="18" t="s">
        <v>9</v>
      </c>
      <c r="F2037" s="17" t="s">
        <v>23</v>
      </c>
      <c r="G2037" s="17">
        <f>G2028</f>
        <v>0</v>
      </c>
      <c r="H2037" s="13">
        <f t="shared" si="31"/>
        <v>0</v>
      </c>
    </row>
    <row r="2038" spans="2:8" ht="13.5" thickBot="1" x14ac:dyDescent="0.35">
      <c r="B2038" s="9">
        <f>COUNT($B$4:B2037)+1</f>
        <v>649</v>
      </c>
      <c r="C2038" s="10" t="s">
        <v>1081</v>
      </c>
      <c r="D2038" s="10"/>
      <c r="E2038" s="11" t="s">
        <v>8</v>
      </c>
      <c r="F2038" s="12" t="s">
        <v>23</v>
      </c>
      <c r="G2038" s="12"/>
      <c r="H2038" s="13">
        <f t="shared" si="31"/>
        <v>0</v>
      </c>
    </row>
    <row r="2039" spans="2:8" ht="13.5" thickBot="1" x14ac:dyDescent="0.35">
      <c r="B2039" s="9"/>
      <c r="C2039" s="14" t="s">
        <v>449</v>
      </c>
      <c r="D2039" s="14" t="s">
        <v>278</v>
      </c>
      <c r="E2039" s="18" t="s">
        <v>0</v>
      </c>
      <c r="F2039" s="17" t="s">
        <v>23</v>
      </c>
      <c r="G2039" s="17">
        <f>G2038*4</f>
        <v>0</v>
      </c>
      <c r="H2039" s="13">
        <f t="shared" si="31"/>
        <v>0</v>
      </c>
    </row>
    <row r="2040" spans="2:8" ht="13.5" thickBot="1" x14ac:dyDescent="0.35">
      <c r="B2040" s="9"/>
      <c r="C2040" s="14" t="s">
        <v>784</v>
      </c>
      <c r="D2040" s="14" t="s">
        <v>278</v>
      </c>
      <c r="E2040" s="18" t="s">
        <v>0</v>
      </c>
      <c r="F2040" s="17" t="s">
        <v>23</v>
      </c>
      <c r="G2040" s="17">
        <f>G2038</f>
        <v>0</v>
      </c>
      <c r="H2040" s="13">
        <f t="shared" si="31"/>
        <v>0</v>
      </c>
    </row>
    <row r="2041" spans="2:8" ht="13.5" thickBot="1" x14ac:dyDescent="0.35">
      <c r="B2041" s="9"/>
      <c r="C2041" s="14" t="s">
        <v>785</v>
      </c>
      <c r="D2041" s="14" t="s">
        <v>278</v>
      </c>
      <c r="E2041" s="18" t="s">
        <v>9</v>
      </c>
      <c r="F2041" s="17" t="s">
        <v>23</v>
      </c>
      <c r="G2041" s="17">
        <f>G2038</f>
        <v>0</v>
      </c>
      <c r="H2041" s="13">
        <f t="shared" si="31"/>
        <v>0</v>
      </c>
    </row>
    <row r="2042" spans="2:8" ht="13.5" thickBot="1" x14ac:dyDescent="0.35">
      <c r="B2042" s="9"/>
      <c r="C2042" s="14" t="s">
        <v>1082</v>
      </c>
      <c r="D2042" s="14" t="s">
        <v>27</v>
      </c>
      <c r="E2042" s="18" t="s">
        <v>8</v>
      </c>
      <c r="F2042" s="17" t="s">
        <v>23</v>
      </c>
      <c r="G2042" s="17">
        <f>G2038</f>
        <v>0</v>
      </c>
      <c r="H2042" s="13">
        <f t="shared" si="31"/>
        <v>0</v>
      </c>
    </row>
    <row r="2043" spans="2:8" ht="13.5" thickBot="1" x14ac:dyDescent="0.35">
      <c r="B2043" s="9"/>
      <c r="C2043" s="14" t="s">
        <v>1075</v>
      </c>
      <c r="D2043" s="14" t="s">
        <v>29</v>
      </c>
      <c r="E2043" s="18" t="s">
        <v>8</v>
      </c>
      <c r="F2043" s="17" t="s">
        <v>23</v>
      </c>
      <c r="G2043" s="17">
        <f>G2038</f>
        <v>0</v>
      </c>
      <c r="H2043" s="13">
        <f t="shared" si="31"/>
        <v>0</v>
      </c>
    </row>
    <row r="2044" spans="2:8" ht="13.5" thickBot="1" x14ac:dyDescent="0.35">
      <c r="B2044" s="9"/>
      <c r="C2044" s="14" t="s">
        <v>1083</v>
      </c>
      <c r="D2044" s="14" t="s">
        <v>27</v>
      </c>
      <c r="E2044" s="18" t="s">
        <v>8</v>
      </c>
      <c r="F2044" s="17" t="s">
        <v>23</v>
      </c>
      <c r="G2044" s="17">
        <f>G2038</f>
        <v>0</v>
      </c>
      <c r="H2044" s="13">
        <f t="shared" si="31"/>
        <v>0</v>
      </c>
    </row>
    <row r="2045" spans="2:8" ht="13.5" thickBot="1" x14ac:dyDescent="0.35">
      <c r="B2045" s="9"/>
      <c r="C2045" s="14" t="s">
        <v>451</v>
      </c>
      <c r="D2045" s="14" t="s">
        <v>278</v>
      </c>
      <c r="E2045" s="18" t="s">
        <v>0</v>
      </c>
      <c r="F2045" s="17" t="s">
        <v>23</v>
      </c>
      <c r="G2045" s="17">
        <f>G2038*4</f>
        <v>0</v>
      </c>
      <c r="H2045" s="13">
        <f t="shared" si="31"/>
        <v>0</v>
      </c>
    </row>
    <row r="2046" spans="2:8" ht="13.5" thickBot="1" x14ac:dyDescent="0.35">
      <c r="B2046" s="9"/>
      <c r="C2046" s="14" t="s">
        <v>452</v>
      </c>
      <c r="D2046" s="14" t="s">
        <v>278</v>
      </c>
      <c r="E2046" s="18" t="s">
        <v>0</v>
      </c>
      <c r="F2046" s="17" t="s">
        <v>23</v>
      </c>
      <c r="G2046" s="17">
        <f>G2038*4</f>
        <v>0</v>
      </c>
      <c r="H2046" s="13">
        <f t="shared" si="31"/>
        <v>0</v>
      </c>
    </row>
    <row r="2047" spans="2:8" ht="13.5" thickBot="1" x14ac:dyDescent="0.35">
      <c r="B2047" s="9"/>
      <c r="C2047" s="14" t="s">
        <v>1069</v>
      </c>
      <c r="D2047" s="14" t="s">
        <v>278</v>
      </c>
      <c r="E2047" s="18" t="s">
        <v>3</v>
      </c>
      <c r="F2047" s="17" t="s">
        <v>23</v>
      </c>
      <c r="G2047" s="17">
        <f>G2038</f>
        <v>0</v>
      </c>
      <c r="H2047" s="13">
        <f t="shared" si="31"/>
        <v>0</v>
      </c>
    </row>
    <row r="2048" spans="2:8" ht="13.5" thickBot="1" x14ac:dyDescent="0.35">
      <c r="B2048" s="9"/>
      <c r="C2048" s="14" t="s">
        <v>749</v>
      </c>
      <c r="D2048" s="14" t="s">
        <v>278</v>
      </c>
      <c r="E2048" s="18" t="s">
        <v>9</v>
      </c>
      <c r="F2048" s="17" t="s">
        <v>23</v>
      </c>
      <c r="G2048" s="17">
        <f>G2038</f>
        <v>0</v>
      </c>
      <c r="H2048" s="13">
        <f t="shared" si="31"/>
        <v>0</v>
      </c>
    </row>
    <row r="2049" spans="2:8" ht="13.5" thickBot="1" x14ac:dyDescent="0.35">
      <c r="B2049" s="9">
        <f>COUNT($B$4:B2048)+1</f>
        <v>650</v>
      </c>
      <c r="C2049" s="10" t="s">
        <v>1084</v>
      </c>
      <c r="D2049" s="10"/>
      <c r="E2049" s="11" t="s">
        <v>8</v>
      </c>
      <c r="F2049" s="12" t="s">
        <v>23</v>
      </c>
      <c r="G2049" s="12"/>
      <c r="H2049" s="13">
        <f t="shared" si="31"/>
        <v>0</v>
      </c>
    </row>
    <row r="2050" spans="2:8" ht="13.5" thickBot="1" x14ac:dyDescent="0.35">
      <c r="B2050" s="9"/>
      <c r="C2050" s="14" t="s">
        <v>449</v>
      </c>
      <c r="D2050" s="14" t="s">
        <v>278</v>
      </c>
      <c r="E2050" s="18" t="s">
        <v>0</v>
      </c>
      <c r="F2050" s="17" t="s">
        <v>23</v>
      </c>
      <c r="G2050" s="17">
        <f>G2049*4</f>
        <v>0</v>
      </c>
      <c r="H2050" s="13">
        <f t="shared" si="31"/>
        <v>0</v>
      </c>
    </row>
    <row r="2051" spans="2:8" ht="13.5" thickBot="1" x14ac:dyDescent="0.35">
      <c r="B2051" s="9"/>
      <c r="C2051" s="14" t="s">
        <v>1070</v>
      </c>
      <c r="D2051" s="14" t="s">
        <v>278</v>
      </c>
      <c r="E2051" s="18" t="s">
        <v>9</v>
      </c>
      <c r="F2051" s="17" t="s">
        <v>23</v>
      </c>
      <c r="G2051" s="17">
        <f>G2049</f>
        <v>0</v>
      </c>
      <c r="H2051" s="13">
        <f t="shared" si="31"/>
        <v>0</v>
      </c>
    </row>
    <row r="2052" spans="2:8" ht="13.5" thickBot="1" x14ac:dyDescent="0.35">
      <c r="B2052" s="9"/>
      <c r="C2052" s="14" t="s">
        <v>1082</v>
      </c>
      <c r="D2052" s="14" t="s">
        <v>27</v>
      </c>
      <c r="E2052" s="18" t="s">
        <v>8</v>
      </c>
      <c r="F2052" s="17" t="s">
        <v>23</v>
      </c>
      <c r="G2052" s="17">
        <f>G2049</f>
        <v>0</v>
      </c>
      <c r="H2052" s="13">
        <f t="shared" si="31"/>
        <v>0</v>
      </c>
    </row>
    <row r="2053" spans="2:8" ht="13.5" thickBot="1" x14ac:dyDescent="0.35">
      <c r="B2053" s="9"/>
      <c r="C2053" s="14" t="s">
        <v>1075</v>
      </c>
      <c r="D2053" s="14" t="s">
        <v>29</v>
      </c>
      <c r="E2053" s="18" t="s">
        <v>8</v>
      </c>
      <c r="F2053" s="17" t="s">
        <v>23</v>
      </c>
      <c r="G2053" s="17">
        <f>G2049</f>
        <v>0</v>
      </c>
      <c r="H2053" s="13">
        <f t="shared" ref="H2053:H2115" si="32">SUM(G2053:G2053)</f>
        <v>0</v>
      </c>
    </row>
    <row r="2054" spans="2:8" ht="13.5" thickBot="1" x14ac:dyDescent="0.35">
      <c r="B2054" s="9"/>
      <c r="C2054" s="14" t="s">
        <v>1083</v>
      </c>
      <c r="D2054" s="14" t="s">
        <v>27</v>
      </c>
      <c r="E2054" s="18" t="s">
        <v>8</v>
      </c>
      <c r="F2054" s="17" t="s">
        <v>23</v>
      </c>
      <c r="G2054" s="17">
        <f>G2049</f>
        <v>0</v>
      </c>
      <c r="H2054" s="13">
        <f t="shared" si="32"/>
        <v>0</v>
      </c>
    </row>
    <row r="2055" spans="2:8" ht="13.5" thickBot="1" x14ac:dyDescent="0.35">
      <c r="B2055" s="9"/>
      <c r="C2055" s="14" t="s">
        <v>451</v>
      </c>
      <c r="D2055" s="14" t="s">
        <v>278</v>
      </c>
      <c r="E2055" s="18" t="s">
        <v>0</v>
      </c>
      <c r="F2055" s="17" t="s">
        <v>23</v>
      </c>
      <c r="G2055" s="17">
        <f>G2049*4</f>
        <v>0</v>
      </c>
      <c r="H2055" s="13">
        <f t="shared" si="32"/>
        <v>0</v>
      </c>
    </row>
    <row r="2056" spans="2:8" ht="13.5" thickBot="1" x14ac:dyDescent="0.35">
      <c r="B2056" s="9"/>
      <c r="C2056" s="14" t="s">
        <v>452</v>
      </c>
      <c r="D2056" s="14" t="s">
        <v>278</v>
      </c>
      <c r="E2056" s="18" t="s">
        <v>0</v>
      </c>
      <c r="F2056" s="17" t="s">
        <v>23</v>
      </c>
      <c r="G2056" s="17">
        <f>G2049*4</f>
        <v>0</v>
      </c>
      <c r="H2056" s="13">
        <f t="shared" si="32"/>
        <v>0</v>
      </c>
    </row>
    <row r="2057" spans="2:8" ht="13.5" thickBot="1" x14ac:dyDescent="0.35">
      <c r="B2057" s="9"/>
      <c r="C2057" s="14" t="s">
        <v>1069</v>
      </c>
      <c r="D2057" s="14" t="s">
        <v>278</v>
      </c>
      <c r="E2057" s="18" t="s">
        <v>3</v>
      </c>
      <c r="F2057" s="17" t="s">
        <v>23</v>
      </c>
      <c r="G2057" s="17">
        <f>G2049</f>
        <v>0</v>
      </c>
      <c r="H2057" s="13">
        <f t="shared" si="32"/>
        <v>0</v>
      </c>
    </row>
    <row r="2058" spans="2:8" ht="13.5" thickBot="1" x14ac:dyDescent="0.35">
      <c r="B2058" s="9"/>
      <c r="C2058" s="14" t="s">
        <v>749</v>
      </c>
      <c r="D2058" s="14" t="s">
        <v>278</v>
      </c>
      <c r="E2058" s="18" t="s">
        <v>9</v>
      </c>
      <c r="F2058" s="17" t="s">
        <v>23</v>
      </c>
      <c r="G2058" s="17">
        <f>G2049</f>
        <v>0</v>
      </c>
      <c r="H2058" s="13">
        <f t="shared" si="32"/>
        <v>0</v>
      </c>
    </row>
    <row r="2059" spans="2:8" ht="13.5" thickBot="1" x14ac:dyDescent="0.35">
      <c r="B2059" s="9">
        <f>COUNT($B$4:B2058)+1</f>
        <v>651</v>
      </c>
      <c r="C2059" s="10" t="s">
        <v>1085</v>
      </c>
      <c r="D2059" s="10"/>
      <c r="E2059" s="11" t="s">
        <v>8</v>
      </c>
      <c r="F2059" s="12" t="s">
        <v>23</v>
      </c>
      <c r="G2059" s="12"/>
      <c r="H2059" s="13">
        <f t="shared" si="32"/>
        <v>0</v>
      </c>
    </row>
    <row r="2060" spans="2:8" ht="13.5" thickBot="1" x14ac:dyDescent="0.35">
      <c r="B2060" s="9"/>
      <c r="C2060" s="14" t="s">
        <v>449</v>
      </c>
      <c r="D2060" s="14" t="s">
        <v>278</v>
      </c>
      <c r="E2060" s="18" t="s">
        <v>0</v>
      </c>
      <c r="F2060" s="17" t="s">
        <v>23</v>
      </c>
      <c r="G2060" s="17">
        <f>G2059*4</f>
        <v>0</v>
      </c>
      <c r="H2060" s="13">
        <f t="shared" si="32"/>
        <v>0</v>
      </c>
    </row>
    <row r="2061" spans="2:8" ht="13.5" thickBot="1" x14ac:dyDescent="0.35">
      <c r="B2061" s="9"/>
      <c r="C2061" s="14" t="s">
        <v>784</v>
      </c>
      <c r="D2061" s="14" t="s">
        <v>278</v>
      </c>
      <c r="E2061" s="18" t="s">
        <v>0</v>
      </c>
      <c r="F2061" s="17" t="s">
        <v>23</v>
      </c>
      <c r="G2061" s="17">
        <f>G2059</f>
        <v>0</v>
      </c>
      <c r="H2061" s="13">
        <f t="shared" si="32"/>
        <v>0</v>
      </c>
    </row>
    <row r="2062" spans="2:8" ht="13.5" thickBot="1" x14ac:dyDescent="0.35">
      <c r="B2062" s="9"/>
      <c r="C2062" s="14" t="s">
        <v>785</v>
      </c>
      <c r="D2062" s="14" t="s">
        <v>278</v>
      </c>
      <c r="E2062" s="18" t="s">
        <v>9</v>
      </c>
      <c r="F2062" s="17" t="s">
        <v>23</v>
      </c>
      <c r="G2062" s="17">
        <f>G2059</f>
        <v>0</v>
      </c>
      <c r="H2062" s="13">
        <f t="shared" si="32"/>
        <v>0</v>
      </c>
    </row>
    <row r="2063" spans="2:8" ht="13.5" thickBot="1" x14ac:dyDescent="0.35">
      <c r="B2063" s="9"/>
      <c r="C2063" s="14" t="s">
        <v>1082</v>
      </c>
      <c r="D2063" s="14" t="s">
        <v>27</v>
      </c>
      <c r="E2063" s="18" t="s">
        <v>8</v>
      </c>
      <c r="F2063" s="17" t="s">
        <v>23</v>
      </c>
      <c r="G2063" s="17">
        <f>G2059</f>
        <v>0</v>
      </c>
      <c r="H2063" s="13">
        <f t="shared" si="32"/>
        <v>0</v>
      </c>
    </row>
    <row r="2064" spans="2:8" ht="13.5" thickBot="1" x14ac:dyDescent="0.35">
      <c r="B2064" s="9"/>
      <c r="C2064" s="14" t="s">
        <v>1086</v>
      </c>
      <c r="D2064" s="14" t="s">
        <v>29</v>
      </c>
      <c r="E2064" s="18" t="s">
        <v>8</v>
      </c>
      <c r="F2064" s="17" t="s">
        <v>23</v>
      </c>
      <c r="G2064" s="17">
        <f>G2059</f>
        <v>0</v>
      </c>
      <c r="H2064" s="13">
        <f t="shared" si="32"/>
        <v>0</v>
      </c>
    </row>
    <row r="2065" spans="2:8" ht="13.5" thickBot="1" x14ac:dyDescent="0.35">
      <c r="B2065" s="9"/>
      <c r="C2065" s="14" t="s">
        <v>1083</v>
      </c>
      <c r="D2065" s="14" t="s">
        <v>27</v>
      </c>
      <c r="E2065" s="18" t="s">
        <v>8</v>
      </c>
      <c r="F2065" s="17" t="s">
        <v>23</v>
      </c>
      <c r="G2065" s="17">
        <f>G2059</f>
        <v>0</v>
      </c>
      <c r="H2065" s="13">
        <f t="shared" si="32"/>
        <v>0</v>
      </c>
    </row>
    <row r="2066" spans="2:8" ht="13.5" thickBot="1" x14ac:dyDescent="0.35">
      <c r="B2066" s="9"/>
      <c r="C2066" s="14" t="s">
        <v>451</v>
      </c>
      <c r="D2066" s="14" t="s">
        <v>278</v>
      </c>
      <c r="E2066" s="18" t="s">
        <v>0</v>
      </c>
      <c r="F2066" s="17" t="s">
        <v>23</v>
      </c>
      <c r="G2066" s="17">
        <f>G2059*4</f>
        <v>0</v>
      </c>
      <c r="H2066" s="13">
        <f t="shared" si="32"/>
        <v>0</v>
      </c>
    </row>
    <row r="2067" spans="2:8" ht="13.5" thickBot="1" x14ac:dyDescent="0.35">
      <c r="B2067" s="9"/>
      <c r="C2067" s="14" t="s">
        <v>452</v>
      </c>
      <c r="D2067" s="14" t="s">
        <v>278</v>
      </c>
      <c r="E2067" s="18" t="s">
        <v>0</v>
      </c>
      <c r="F2067" s="17" t="s">
        <v>23</v>
      </c>
      <c r="G2067" s="17">
        <f>G2059*4</f>
        <v>0</v>
      </c>
      <c r="H2067" s="13">
        <f t="shared" si="32"/>
        <v>0</v>
      </c>
    </row>
    <row r="2068" spans="2:8" ht="13.5" thickBot="1" x14ac:dyDescent="0.35">
      <c r="B2068" s="9"/>
      <c r="C2068" s="14" t="s">
        <v>1069</v>
      </c>
      <c r="D2068" s="14" t="s">
        <v>278</v>
      </c>
      <c r="E2068" s="18" t="s">
        <v>3</v>
      </c>
      <c r="F2068" s="17" t="s">
        <v>23</v>
      </c>
      <c r="G2068" s="17">
        <f>G2059</f>
        <v>0</v>
      </c>
      <c r="H2068" s="13">
        <f t="shared" si="32"/>
        <v>0</v>
      </c>
    </row>
    <row r="2069" spans="2:8" ht="13.5" thickBot="1" x14ac:dyDescent="0.35">
      <c r="B2069" s="9"/>
      <c r="C2069" s="14" t="s">
        <v>749</v>
      </c>
      <c r="D2069" s="14" t="s">
        <v>278</v>
      </c>
      <c r="E2069" s="18" t="s">
        <v>9</v>
      </c>
      <c r="F2069" s="17" t="s">
        <v>23</v>
      </c>
      <c r="G2069" s="17">
        <f>G2059</f>
        <v>0</v>
      </c>
      <c r="H2069" s="13">
        <f t="shared" si="32"/>
        <v>0</v>
      </c>
    </row>
    <row r="2070" spans="2:8" ht="13.5" thickBot="1" x14ac:dyDescent="0.35">
      <c r="B2070" s="9">
        <f>COUNT($B$4:B2069)+1</f>
        <v>652</v>
      </c>
      <c r="C2070" s="14" t="s">
        <v>1685</v>
      </c>
      <c r="D2070" s="10"/>
      <c r="E2070" s="11" t="s">
        <v>8</v>
      </c>
      <c r="F2070" s="12" t="s">
        <v>23</v>
      </c>
      <c r="G2070" s="12">
        <v>28</v>
      </c>
      <c r="H2070" s="13">
        <f t="shared" si="32"/>
        <v>28</v>
      </c>
    </row>
    <row r="2071" spans="2:8" ht="13.5" thickBot="1" x14ac:dyDescent="0.35">
      <c r="B2071" s="9"/>
      <c r="C2071" s="14" t="s">
        <v>449</v>
      </c>
      <c r="D2071" s="14" t="s">
        <v>278</v>
      </c>
      <c r="E2071" s="18" t="s">
        <v>0</v>
      </c>
      <c r="F2071" s="17" t="s">
        <v>23</v>
      </c>
      <c r="G2071" s="17">
        <f>G2070*4</f>
        <v>112</v>
      </c>
      <c r="H2071" s="13">
        <f t="shared" si="32"/>
        <v>112</v>
      </c>
    </row>
    <row r="2072" spans="2:8" ht="13.5" thickBot="1" x14ac:dyDescent="0.35">
      <c r="B2072" s="9"/>
      <c r="C2072" s="14" t="s">
        <v>1070</v>
      </c>
      <c r="D2072" s="14" t="s">
        <v>278</v>
      </c>
      <c r="E2072" s="18" t="s">
        <v>9</v>
      </c>
      <c r="F2072" s="17" t="s">
        <v>23</v>
      </c>
      <c r="G2072" s="17">
        <f>G2070</f>
        <v>28</v>
      </c>
      <c r="H2072" s="13">
        <f t="shared" si="32"/>
        <v>28</v>
      </c>
    </row>
    <row r="2073" spans="2:8" ht="13.5" thickBot="1" x14ac:dyDescent="0.35">
      <c r="B2073" s="9"/>
      <c r="C2073" s="14" t="s">
        <v>1686</v>
      </c>
      <c r="D2073" s="14" t="s">
        <v>27</v>
      </c>
      <c r="E2073" s="18" t="s">
        <v>8</v>
      </c>
      <c r="F2073" s="17" t="s">
        <v>23</v>
      </c>
      <c r="G2073" s="17">
        <v>5</v>
      </c>
      <c r="H2073" s="13">
        <f t="shared" si="32"/>
        <v>5</v>
      </c>
    </row>
    <row r="2074" spans="2:8" ht="13.5" thickBot="1" x14ac:dyDescent="0.35">
      <c r="B2074" s="9"/>
      <c r="C2074" s="14" t="s">
        <v>1687</v>
      </c>
      <c r="D2074" s="14" t="s">
        <v>29</v>
      </c>
      <c r="E2074" s="18" t="s">
        <v>8</v>
      </c>
      <c r="F2074" s="17" t="s">
        <v>23</v>
      </c>
      <c r="G2074" s="17">
        <v>20</v>
      </c>
      <c r="H2074" s="13">
        <f t="shared" si="32"/>
        <v>20</v>
      </c>
    </row>
    <row r="2075" spans="2:8" ht="13.5" thickBot="1" x14ac:dyDescent="0.35">
      <c r="B2075" s="9"/>
      <c r="C2075" s="14" t="s">
        <v>451</v>
      </c>
      <c r="D2075" s="14" t="s">
        <v>278</v>
      </c>
      <c r="E2075" s="18" t="s">
        <v>0</v>
      </c>
      <c r="F2075" s="17" t="s">
        <v>23</v>
      </c>
      <c r="G2075" s="17">
        <f>G2070*4</f>
        <v>112</v>
      </c>
      <c r="H2075" s="13">
        <f t="shared" si="32"/>
        <v>112</v>
      </c>
    </row>
    <row r="2076" spans="2:8" ht="13.5" thickBot="1" x14ac:dyDescent="0.35">
      <c r="B2076" s="9"/>
      <c r="C2076" s="14" t="s">
        <v>452</v>
      </c>
      <c r="D2076" s="14" t="s">
        <v>278</v>
      </c>
      <c r="E2076" s="18" t="s">
        <v>0</v>
      </c>
      <c r="F2076" s="17" t="s">
        <v>23</v>
      </c>
      <c r="G2076" s="17">
        <f>G2070*4</f>
        <v>112</v>
      </c>
      <c r="H2076" s="13">
        <f t="shared" si="32"/>
        <v>112</v>
      </c>
    </row>
    <row r="2077" spans="2:8" ht="13.5" thickBot="1" x14ac:dyDescent="0.35">
      <c r="B2077" s="9"/>
      <c r="C2077" s="14" t="s">
        <v>1069</v>
      </c>
      <c r="D2077" s="14" t="s">
        <v>278</v>
      </c>
      <c r="E2077" s="18" t="s">
        <v>3</v>
      </c>
      <c r="F2077" s="17" t="s">
        <v>23</v>
      </c>
      <c r="G2077" s="17">
        <f>G2070</f>
        <v>28</v>
      </c>
      <c r="H2077" s="13">
        <f t="shared" si="32"/>
        <v>28</v>
      </c>
    </row>
    <row r="2078" spans="2:8" ht="13.5" thickBot="1" x14ac:dyDescent="0.35">
      <c r="B2078" s="9"/>
      <c r="C2078" s="14" t="s">
        <v>749</v>
      </c>
      <c r="D2078" s="14" t="s">
        <v>278</v>
      </c>
      <c r="E2078" s="18" t="s">
        <v>9</v>
      </c>
      <c r="F2078" s="17" t="s">
        <v>23</v>
      </c>
      <c r="G2078" s="17">
        <f>G2070</f>
        <v>28</v>
      </c>
      <c r="H2078" s="13">
        <f t="shared" si="32"/>
        <v>28</v>
      </c>
    </row>
    <row r="2079" spans="2:8" ht="13.5" thickBot="1" x14ac:dyDescent="0.35">
      <c r="B2079" s="9">
        <f>COUNT($B$4:B2078)+1</f>
        <v>653</v>
      </c>
      <c r="C2079" s="10" t="s">
        <v>1087</v>
      </c>
      <c r="D2079" s="10"/>
      <c r="E2079" s="11" t="s">
        <v>8</v>
      </c>
      <c r="F2079" s="12" t="s">
        <v>23</v>
      </c>
      <c r="G2079" s="12"/>
      <c r="H2079" s="13">
        <f t="shared" si="32"/>
        <v>0</v>
      </c>
    </row>
    <row r="2080" spans="2:8" ht="13.5" thickBot="1" x14ac:dyDescent="0.35">
      <c r="B2080" s="9"/>
      <c r="C2080" s="14" t="s">
        <v>1074</v>
      </c>
      <c r="D2080" s="14" t="s">
        <v>27</v>
      </c>
      <c r="E2080" s="18" t="s">
        <v>8</v>
      </c>
      <c r="F2080" s="17" t="s">
        <v>23</v>
      </c>
      <c r="G2080" s="17">
        <f>G2079</f>
        <v>0</v>
      </c>
      <c r="H2080" s="13">
        <f t="shared" si="32"/>
        <v>0</v>
      </c>
    </row>
    <row r="2081" spans="2:8" ht="13.5" thickBot="1" x14ac:dyDescent="0.35">
      <c r="B2081" s="9"/>
      <c r="C2081" s="14" t="s">
        <v>1088</v>
      </c>
      <c r="D2081" s="14" t="s">
        <v>29</v>
      </c>
      <c r="E2081" s="18" t="s">
        <v>8</v>
      </c>
      <c r="F2081" s="17" t="s">
        <v>23</v>
      </c>
      <c r="G2081" s="17">
        <f>G2079</f>
        <v>0</v>
      </c>
      <c r="H2081" s="13">
        <f t="shared" si="32"/>
        <v>0</v>
      </c>
    </row>
    <row r="2082" spans="2:8" ht="13.5" thickBot="1" x14ac:dyDescent="0.35">
      <c r="B2082" s="9">
        <f>COUNT($B$4:B2081)+1</f>
        <v>654</v>
      </c>
      <c r="C2082" s="10" t="s">
        <v>1089</v>
      </c>
      <c r="D2082" s="10"/>
      <c r="E2082" s="11" t="s">
        <v>8</v>
      </c>
      <c r="F2082" s="12" t="s">
        <v>23</v>
      </c>
      <c r="G2082" s="12"/>
      <c r="H2082" s="13">
        <f t="shared" si="32"/>
        <v>0</v>
      </c>
    </row>
    <row r="2083" spans="2:8" ht="13.5" thickBot="1" x14ac:dyDescent="0.35">
      <c r="B2083" s="9"/>
      <c r="C2083" s="14" t="s">
        <v>24</v>
      </c>
      <c r="D2083" s="15" t="s">
        <v>25</v>
      </c>
      <c r="E2083" s="16" t="s">
        <v>9</v>
      </c>
      <c r="F2083" s="17" t="s">
        <v>23</v>
      </c>
      <c r="G2083" s="17">
        <f>G2081</f>
        <v>0</v>
      </c>
      <c r="H2083" s="13">
        <f t="shared" si="32"/>
        <v>0</v>
      </c>
    </row>
    <row r="2084" spans="2:8" ht="13.5" thickBot="1" x14ac:dyDescent="0.35">
      <c r="B2084" s="9"/>
      <c r="C2084" s="14" t="s">
        <v>1013</v>
      </c>
      <c r="D2084" s="14" t="s">
        <v>27</v>
      </c>
      <c r="E2084" s="18" t="s">
        <v>8</v>
      </c>
      <c r="F2084" s="17" t="s">
        <v>23</v>
      </c>
      <c r="G2084" s="17">
        <f>G2082*2</f>
        <v>0</v>
      </c>
      <c r="H2084" s="13">
        <f t="shared" si="32"/>
        <v>0</v>
      </c>
    </row>
    <row r="2085" spans="2:8" ht="13.5" thickBot="1" x14ac:dyDescent="0.35">
      <c r="B2085" s="9"/>
      <c r="C2085" s="14" t="s">
        <v>1090</v>
      </c>
      <c r="D2085" s="14"/>
      <c r="E2085" s="18" t="s">
        <v>8</v>
      </c>
      <c r="F2085" s="17" t="s">
        <v>23</v>
      </c>
      <c r="G2085" s="17">
        <f>G2082</f>
        <v>0</v>
      </c>
      <c r="H2085" s="13">
        <f t="shared" si="32"/>
        <v>0</v>
      </c>
    </row>
    <row r="2086" spans="2:8" ht="13.5" thickBot="1" x14ac:dyDescent="0.35">
      <c r="B2086" s="9">
        <f>COUNT($B$4:B2085)+1</f>
        <v>655</v>
      </c>
      <c r="C2086" s="10" t="s">
        <v>1091</v>
      </c>
      <c r="D2086" s="10"/>
      <c r="E2086" s="11" t="s">
        <v>8</v>
      </c>
      <c r="F2086" s="12" t="s">
        <v>23</v>
      </c>
      <c r="G2086" s="12"/>
      <c r="H2086" s="13">
        <f t="shared" si="32"/>
        <v>0</v>
      </c>
    </row>
    <row r="2087" spans="2:8" ht="13.5" thickBot="1" x14ac:dyDescent="0.35">
      <c r="B2087" s="9"/>
      <c r="C2087" s="14" t="s">
        <v>1092</v>
      </c>
      <c r="D2087" s="14" t="s">
        <v>1093</v>
      </c>
      <c r="E2087" s="18" t="s">
        <v>9</v>
      </c>
      <c r="F2087" s="17" t="s">
        <v>23</v>
      </c>
      <c r="G2087" s="17">
        <f>G2086</f>
        <v>0</v>
      </c>
      <c r="H2087" s="13">
        <f t="shared" si="32"/>
        <v>0</v>
      </c>
    </row>
    <row r="2088" spans="2:8" ht="13.5" thickBot="1" x14ac:dyDescent="0.35">
      <c r="B2088" s="9"/>
      <c r="C2088" s="14" t="s">
        <v>24</v>
      </c>
      <c r="D2088" s="15" t="s">
        <v>25</v>
      </c>
      <c r="E2088" s="16" t="s">
        <v>9</v>
      </c>
      <c r="F2088" s="17" t="s">
        <v>23</v>
      </c>
      <c r="G2088" s="17">
        <f>G2086</f>
        <v>0</v>
      </c>
      <c r="H2088" s="13">
        <f t="shared" si="32"/>
        <v>0</v>
      </c>
    </row>
    <row r="2089" spans="2:8" ht="13.5" thickBot="1" x14ac:dyDescent="0.35">
      <c r="B2089" s="9"/>
      <c r="C2089" s="14" t="s">
        <v>1094</v>
      </c>
      <c r="D2089" s="14" t="s">
        <v>1093</v>
      </c>
      <c r="E2089" s="18" t="s">
        <v>8</v>
      </c>
      <c r="F2089" s="17" t="s">
        <v>23</v>
      </c>
      <c r="G2089" s="17">
        <f>G2086</f>
        <v>0</v>
      </c>
      <c r="H2089" s="13">
        <f t="shared" si="32"/>
        <v>0</v>
      </c>
    </row>
    <row r="2090" spans="2:8" ht="13.5" thickBot="1" x14ac:dyDescent="0.35">
      <c r="B2090" s="9"/>
      <c r="C2090" s="14" t="s">
        <v>1095</v>
      </c>
      <c r="D2090" s="14" t="s">
        <v>1093</v>
      </c>
      <c r="E2090" s="18" t="s">
        <v>8</v>
      </c>
      <c r="F2090" s="17" t="s">
        <v>23</v>
      </c>
      <c r="G2090" s="17">
        <f>G2086</f>
        <v>0</v>
      </c>
      <c r="H2090" s="13">
        <f t="shared" si="32"/>
        <v>0</v>
      </c>
    </row>
    <row r="2091" spans="2:8" ht="13.5" thickBot="1" x14ac:dyDescent="0.35">
      <c r="B2091" s="9">
        <f>COUNT($B$4:B2090)+1</f>
        <v>656</v>
      </c>
      <c r="C2091" s="10" t="s">
        <v>1096</v>
      </c>
      <c r="D2091" s="10"/>
      <c r="E2091" s="11" t="s">
        <v>1</v>
      </c>
      <c r="F2091" s="12" t="s">
        <v>23</v>
      </c>
      <c r="G2091" s="17"/>
      <c r="H2091" s="13">
        <f t="shared" si="32"/>
        <v>0</v>
      </c>
    </row>
    <row r="2092" spans="2:8" ht="13.5" thickBot="1" x14ac:dyDescent="0.35">
      <c r="B2092" s="9">
        <f>COUNT($B$4:B2091)+1</f>
        <v>657</v>
      </c>
      <c r="C2092" s="10" t="s">
        <v>1097</v>
      </c>
      <c r="D2092" s="10"/>
      <c r="E2092" s="11" t="s">
        <v>9</v>
      </c>
      <c r="F2092" s="12" t="s">
        <v>51</v>
      </c>
      <c r="G2092" s="12"/>
      <c r="H2092" s="13">
        <f t="shared" si="32"/>
        <v>0</v>
      </c>
    </row>
    <row r="2093" spans="2:8" ht="13.5" thickBot="1" x14ac:dyDescent="0.35">
      <c r="B2093" s="9"/>
      <c r="C2093" s="14" t="s">
        <v>449</v>
      </c>
      <c r="D2093" s="14" t="s">
        <v>278</v>
      </c>
      <c r="E2093" s="18" t="s">
        <v>0</v>
      </c>
      <c r="F2093" s="17" t="s">
        <v>23</v>
      </c>
      <c r="G2093" s="17">
        <f>ROUNDUP(G2092/3+G2092/1.5*4,0)</f>
        <v>0</v>
      </c>
      <c r="H2093" s="13">
        <f t="shared" si="32"/>
        <v>0</v>
      </c>
    </row>
    <row r="2094" spans="2:8" ht="13.5" thickBot="1" x14ac:dyDescent="0.35">
      <c r="B2094" s="9"/>
      <c r="C2094" s="14" t="s">
        <v>1098</v>
      </c>
      <c r="D2094" s="14" t="s">
        <v>278</v>
      </c>
      <c r="E2094" s="18" t="s">
        <v>9</v>
      </c>
      <c r="F2094" s="17" t="s">
        <v>23</v>
      </c>
      <c r="G2094" s="17">
        <f>ROUNDUP(G2092/1.5*2,0)</f>
        <v>0</v>
      </c>
      <c r="H2094" s="13">
        <f t="shared" si="32"/>
        <v>0</v>
      </c>
    </row>
    <row r="2095" spans="2:8" ht="13.5" thickBot="1" x14ac:dyDescent="0.35">
      <c r="B2095" s="9"/>
      <c r="C2095" s="14" t="s">
        <v>743</v>
      </c>
      <c r="D2095" s="14" t="s">
        <v>278</v>
      </c>
      <c r="E2095" s="18" t="s">
        <v>0</v>
      </c>
      <c r="F2095" s="17" t="s">
        <v>23</v>
      </c>
      <c r="G2095" s="17">
        <f>ROUNDUP(G2092/1.5*4,0)</f>
        <v>0</v>
      </c>
      <c r="H2095" s="13">
        <f t="shared" si="32"/>
        <v>0</v>
      </c>
    </row>
    <row r="2096" spans="2:8" ht="13.5" thickBot="1" x14ac:dyDescent="0.35">
      <c r="B2096" s="9"/>
      <c r="C2096" s="14" t="s">
        <v>1099</v>
      </c>
      <c r="D2096" s="14" t="s">
        <v>278</v>
      </c>
      <c r="E2096" s="18" t="s">
        <v>0</v>
      </c>
      <c r="F2096" s="17" t="s">
        <v>23</v>
      </c>
      <c r="G2096" s="17">
        <f>ROUNDUP(G2092/1.5,0)</f>
        <v>0</v>
      </c>
      <c r="H2096" s="13">
        <f t="shared" si="32"/>
        <v>0</v>
      </c>
    </row>
    <row r="2097" spans="2:8" ht="13.5" thickBot="1" x14ac:dyDescent="0.35">
      <c r="B2097" s="9"/>
      <c r="C2097" s="14" t="s">
        <v>1100</v>
      </c>
      <c r="D2097" s="14" t="s">
        <v>278</v>
      </c>
      <c r="E2097" s="18" t="s">
        <v>9</v>
      </c>
      <c r="F2097" s="17" t="s">
        <v>23</v>
      </c>
      <c r="G2097" s="17">
        <f>ROUNDUP(G2092/3,0)</f>
        <v>0</v>
      </c>
      <c r="H2097" s="13">
        <f t="shared" si="32"/>
        <v>0</v>
      </c>
    </row>
    <row r="2098" spans="2:8" ht="13.5" thickBot="1" x14ac:dyDescent="0.35">
      <c r="B2098" s="9"/>
      <c r="C2098" s="14" t="s">
        <v>451</v>
      </c>
      <c r="D2098" s="14" t="s">
        <v>278</v>
      </c>
      <c r="E2098" s="18" t="s">
        <v>0</v>
      </c>
      <c r="F2098" s="17" t="s">
        <v>23</v>
      </c>
      <c r="G2098" s="17">
        <f>ROUNDUP(G2092/3,0)</f>
        <v>0</v>
      </c>
      <c r="H2098" s="13">
        <f t="shared" si="32"/>
        <v>0</v>
      </c>
    </row>
    <row r="2099" spans="2:8" ht="13.5" thickBot="1" x14ac:dyDescent="0.35">
      <c r="B2099" s="9"/>
      <c r="C2099" s="14" t="s">
        <v>746</v>
      </c>
      <c r="D2099" s="14" t="s">
        <v>278</v>
      </c>
      <c r="E2099" s="18" t="s">
        <v>0</v>
      </c>
      <c r="F2099" s="17" t="s">
        <v>23</v>
      </c>
      <c r="G2099" s="17">
        <f>ROUNDUP(G2092/1.5*4,0)</f>
        <v>0</v>
      </c>
      <c r="H2099" s="13">
        <f t="shared" si="32"/>
        <v>0</v>
      </c>
    </row>
    <row r="2100" spans="2:8" ht="13.5" thickBot="1" x14ac:dyDescent="0.35">
      <c r="B2100" s="9"/>
      <c r="C2100" s="14" t="s">
        <v>1101</v>
      </c>
      <c r="D2100" s="14" t="s">
        <v>278</v>
      </c>
      <c r="E2100" s="18" t="s">
        <v>9</v>
      </c>
      <c r="F2100" s="17" t="s">
        <v>23</v>
      </c>
      <c r="G2100" s="17">
        <f>ROUNDUP(G2092/3,0)</f>
        <v>0</v>
      </c>
      <c r="H2100" s="13">
        <f t="shared" si="32"/>
        <v>0</v>
      </c>
    </row>
    <row r="2101" spans="2:8" ht="13.5" thickBot="1" x14ac:dyDescent="0.35">
      <c r="B2101" s="9"/>
      <c r="C2101" s="14" t="s">
        <v>452</v>
      </c>
      <c r="D2101" s="14" t="s">
        <v>278</v>
      </c>
      <c r="E2101" s="18" t="s">
        <v>0</v>
      </c>
      <c r="F2101" s="17" t="s">
        <v>23</v>
      </c>
      <c r="G2101" s="17">
        <f>ROUNDUP(G2092/3+G2092/1.5*4,0)</f>
        <v>0</v>
      </c>
      <c r="H2101" s="13">
        <f t="shared" si="32"/>
        <v>0</v>
      </c>
    </row>
    <row r="2102" spans="2:8" ht="13.5" thickBot="1" x14ac:dyDescent="0.35">
      <c r="B2102" s="9"/>
      <c r="C2102" s="14" t="s">
        <v>749</v>
      </c>
      <c r="D2102" s="14" t="s">
        <v>278</v>
      </c>
      <c r="E2102" s="18" t="s">
        <v>9</v>
      </c>
      <c r="F2102" s="17" t="s">
        <v>23</v>
      </c>
      <c r="G2102" s="17">
        <f>ROUNDUP(G2092/3*2,0)</f>
        <v>0</v>
      </c>
      <c r="H2102" s="13">
        <f t="shared" si="32"/>
        <v>0</v>
      </c>
    </row>
    <row r="2103" spans="2:8" ht="13.5" thickBot="1" x14ac:dyDescent="0.35">
      <c r="B2103" s="9">
        <f>COUNT($B$4:B2102)+1</f>
        <v>658</v>
      </c>
      <c r="C2103" s="10" t="s">
        <v>1102</v>
      </c>
      <c r="D2103" s="10"/>
      <c r="E2103" s="11" t="s">
        <v>9</v>
      </c>
      <c r="F2103" s="12" t="s">
        <v>51</v>
      </c>
      <c r="G2103" s="12"/>
      <c r="H2103" s="13">
        <f t="shared" si="32"/>
        <v>0</v>
      </c>
    </row>
    <row r="2104" spans="2:8" ht="13.5" thickBot="1" x14ac:dyDescent="0.35">
      <c r="B2104" s="9"/>
      <c r="C2104" s="14" t="s">
        <v>449</v>
      </c>
      <c r="D2104" s="14" t="s">
        <v>278</v>
      </c>
      <c r="E2104" s="18" t="s">
        <v>0</v>
      </c>
      <c r="F2104" s="17" t="s">
        <v>23</v>
      </c>
      <c r="G2104" s="17">
        <f>ROUNDUP(G2103/3+G2103/1.5*2,0)</f>
        <v>0</v>
      </c>
      <c r="H2104" s="13">
        <f t="shared" si="32"/>
        <v>0</v>
      </c>
    </row>
    <row r="2105" spans="2:8" ht="13.5" thickBot="1" x14ac:dyDescent="0.35">
      <c r="B2105" s="9"/>
      <c r="C2105" s="14" t="s">
        <v>784</v>
      </c>
      <c r="D2105" s="14" t="s">
        <v>278</v>
      </c>
      <c r="E2105" s="18" t="s">
        <v>0</v>
      </c>
      <c r="F2105" s="17" t="s">
        <v>23</v>
      </c>
      <c r="G2105" s="17">
        <f>ROUNDUP(G2103/1.5,0)</f>
        <v>0</v>
      </c>
      <c r="H2105" s="13">
        <f t="shared" si="32"/>
        <v>0</v>
      </c>
    </row>
    <row r="2106" spans="2:8" ht="13.5" thickBot="1" x14ac:dyDescent="0.35">
      <c r="B2106" s="9"/>
      <c r="C2106" s="14" t="s">
        <v>1099</v>
      </c>
      <c r="D2106" s="14" t="s">
        <v>278</v>
      </c>
      <c r="E2106" s="18" t="s">
        <v>0</v>
      </c>
      <c r="F2106" s="17" t="s">
        <v>23</v>
      </c>
      <c r="G2106" s="17">
        <f>ROUNDUP(G2103/1.5,0)</f>
        <v>0</v>
      </c>
      <c r="H2106" s="13">
        <f t="shared" si="32"/>
        <v>0</v>
      </c>
    </row>
    <row r="2107" spans="2:8" ht="13.5" thickBot="1" x14ac:dyDescent="0.35">
      <c r="B2107" s="9"/>
      <c r="C2107" s="14" t="s">
        <v>785</v>
      </c>
      <c r="D2107" s="14" t="s">
        <v>278</v>
      </c>
      <c r="E2107" s="18" t="s">
        <v>9</v>
      </c>
      <c r="F2107" s="17" t="s">
        <v>23</v>
      </c>
      <c r="G2107" s="17">
        <f>ROUNDUP(G2103/1.5,0)</f>
        <v>0</v>
      </c>
      <c r="H2107" s="13">
        <f t="shared" si="32"/>
        <v>0</v>
      </c>
    </row>
    <row r="2108" spans="2:8" ht="13.5" thickBot="1" x14ac:dyDescent="0.35">
      <c r="B2108" s="9"/>
      <c r="C2108" s="14" t="s">
        <v>1100</v>
      </c>
      <c r="D2108" s="14" t="s">
        <v>278</v>
      </c>
      <c r="E2108" s="18" t="s">
        <v>9</v>
      </c>
      <c r="F2108" s="17" t="s">
        <v>23</v>
      </c>
      <c r="G2108" s="17">
        <f>ROUNDUP(G2103/3,0)</f>
        <v>0</v>
      </c>
      <c r="H2108" s="13">
        <f t="shared" si="32"/>
        <v>0</v>
      </c>
    </row>
    <row r="2109" spans="2:8" ht="13.5" thickBot="1" x14ac:dyDescent="0.35">
      <c r="B2109" s="9"/>
      <c r="C2109" s="14" t="s">
        <v>451</v>
      </c>
      <c r="D2109" s="14" t="s">
        <v>278</v>
      </c>
      <c r="E2109" s="18" t="s">
        <v>0</v>
      </c>
      <c r="F2109" s="17" t="s">
        <v>23</v>
      </c>
      <c r="G2109" s="17">
        <f>ROUNDUP(G2103/3,0)</f>
        <v>0</v>
      </c>
      <c r="H2109" s="13">
        <f t="shared" si="32"/>
        <v>0</v>
      </c>
    </row>
    <row r="2110" spans="2:8" ht="13.5" thickBot="1" x14ac:dyDescent="0.35">
      <c r="B2110" s="9"/>
      <c r="C2110" s="14" t="s">
        <v>1101</v>
      </c>
      <c r="D2110" s="14" t="s">
        <v>278</v>
      </c>
      <c r="E2110" s="18" t="s">
        <v>9</v>
      </c>
      <c r="F2110" s="17" t="s">
        <v>23</v>
      </c>
      <c r="G2110" s="17">
        <f>ROUNDUP(G2103/3,0)</f>
        <v>0</v>
      </c>
      <c r="H2110" s="13">
        <f t="shared" si="32"/>
        <v>0</v>
      </c>
    </row>
    <row r="2111" spans="2:8" ht="13.5" thickBot="1" x14ac:dyDescent="0.35">
      <c r="B2111" s="9"/>
      <c r="C2111" s="14" t="s">
        <v>452</v>
      </c>
      <c r="D2111" s="14" t="s">
        <v>278</v>
      </c>
      <c r="E2111" s="18" t="s">
        <v>0</v>
      </c>
      <c r="F2111" s="17" t="s">
        <v>23</v>
      </c>
      <c r="G2111" s="17">
        <f>ROUNDUP(G2103/3+G2103/1.5*2,0)</f>
        <v>0</v>
      </c>
      <c r="H2111" s="13">
        <f t="shared" si="32"/>
        <v>0</v>
      </c>
    </row>
    <row r="2112" spans="2:8" ht="13.5" thickBot="1" x14ac:dyDescent="0.35">
      <c r="B2112" s="9"/>
      <c r="C2112" s="14" t="s">
        <v>749</v>
      </c>
      <c r="D2112" s="14" t="s">
        <v>278</v>
      </c>
      <c r="E2112" s="18" t="s">
        <v>9</v>
      </c>
      <c r="F2112" s="17" t="s">
        <v>23</v>
      </c>
      <c r="G2112" s="17">
        <f>ROUNDUP(G2103/3,0)</f>
        <v>0</v>
      </c>
      <c r="H2112" s="13">
        <f t="shared" si="32"/>
        <v>0</v>
      </c>
    </row>
    <row r="2113" spans="2:8" ht="13.5" thickBot="1" x14ac:dyDescent="0.35">
      <c r="B2113" s="9">
        <f>COUNT($B$4:B2112)+1</f>
        <v>659</v>
      </c>
      <c r="C2113" s="10" t="s">
        <v>1103</v>
      </c>
      <c r="D2113" s="10"/>
      <c r="E2113" s="11" t="s">
        <v>9</v>
      </c>
      <c r="F2113" s="12" t="s">
        <v>51</v>
      </c>
      <c r="G2113" s="12"/>
      <c r="H2113" s="13">
        <f t="shared" si="32"/>
        <v>0</v>
      </c>
    </row>
    <row r="2114" spans="2:8" ht="13.5" thickBot="1" x14ac:dyDescent="0.35">
      <c r="B2114" s="9"/>
      <c r="C2114" s="14" t="s">
        <v>449</v>
      </c>
      <c r="D2114" s="14" t="s">
        <v>278</v>
      </c>
      <c r="E2114" s="18" t="s">
        <v>0</v>
      </c>
      <c r="F2114" s="17" t="s">
        <v>23</v>
      </c>
      <c r="G2114" s="17">
        <f>ROUNDUP(G2113/3+G2113/1.5*4,0)</f>
        <v>0</v>
      </c>
      <c r="H2114" s="13">
        <f t="shared" si="32"/>
        <v>0</v>
      </c>
    </row>
    <row r="2115" spans="2:8" ht="13.5" thickBot="1" x14ac:dyDescent="0.35">
      <c r="B2115" s="9"/>
      <c r="C2115" s="14" t="s">
        <v>742</v>
      </c>
      <c r="D2115" s="14" t="s">
        <v>278</v>
      </c>
      <c r="E2115" s="18" t="s">
        <v>9</v>
      </c>
      <c r="F2115" s="17" t="s">
        <v>23</v>
      </c>
      <c r="G2115" s="17">
        <f>ROUNDUP(G2113/1.5*2,0)</f>
        <v>0</v>
      </c>
      <c r="H2115" s="13">
        <f t="shared" si="32"/>
        <v>0</v>
      </c>
    </row>
    <row r="2116" spans="2:8" ht="13.5" thickBot="1" x14ac:dyDescent="0.35">
      <c r="B2116" s="9"/>
      <c r="C2116" s="14" t="s">
        <v>743</v>
      </c>
      <c r="D2116" s="14" t="s">
        <v>278</v>
      </c>
      <c r="E2116" s="18" t="s">
        <v>0</v>
      </c>
      <c r="F2116" s="17" t="s">
        <v>23</v>
      </c>
      <c r="G2116" s="17">
        <f>ROUNDUP(G2113/1.5*4,0)</f>
        <v>0</v>
      </c>
      <c r="H2116" s="13">
        <f t="shared" ref="H2116:H2179" si="33">SUM(G2116:G2116)</f>
        <v>0</v>
      </c>
    </row>
    <row r="2117" spans="2:8" ht="13.5" thickBot="1" x14ac:dyDescent="0.35">
      <c r="B2117" s="9"/>
      <c r="C2117" s="14" t="s">
        <v>1099</v>
      </c>
      <c r="D2117" s="14" t="s">
        <v>278</v>
      </c>
      <c r="E2117" s="18" t="s">
        <v>0</v>
      </c>
      <c r="F2117" s="17" t="s">
        <v>23</v>
      </c>
      <c r="G2117" s="17">
        <f>ROUNDUP(G2113/1.5,0)</f>
        <v>0</v>
      </c>
      <c r="H2117" s="13">
        <f t="shared" si="33"/>
        <v>0</v>
      </c>
    </row>
    <row r="2118" spans="2:8" ht="13.5" thickBot="1" x14ac:dyDescent="0.35">
      <c r="B2118" s="9"/>
      <c r="C2118" s="14" t="s">
        <v>1104</v>
      </c>
      <c r="D2118" s="14" t="s">
        <v>278</v>
      </c>
      <c r="E2118" s="18" t="s">
        <v>9</v>
      </c>
      <c r="F2118" s="17" t="s">
        <v>23</v>
      </c>
      <c r="G2118" s="17">
        <f>ROUNDUP(G2113/3,0)</f>
        <v>0</v>
      </c>
      <c r="H2118" s="13">
        <f t="shared" si="33"/>
        <v>0</v>
      </c>
    </row>
    <row r="2119" spans="2:8" ht="13.5" thickBot="1" x14ac:dyDescent="0.35">
      <c r="B2119" s="9"/>
      <c r="C2119" s="14" t="s">
        <v>451</v>
      </c>
      <c r="D2119" s="14" t="s">
        <v>278</v>
      </c>
      <c r="E2119" s="18" t="s">
        <v>0</v>
      </c>
      <c r="F2119" s="17" t="s">
        <v>23</v>
      </c>
      <c r="G2119" s="17">
        <f>ROUNDUP(G2113/3,0)</f>
        <v>0</v>
      </c>
      <c r="H2119" s="13">
        <f t="shared" si="33"/>
        <v>0</v>
      </c>
    </row>
    <row r="2120" spans="2:8" ht="13.5" thickBot="1" x14ac:dyDescent="0.35">
      <c r="B2120" s="9"/>
      <c r="C2120" s="14" t="s">
        <v>746</v>
      </c>
      <c r="D2120" s="14" t="s">
        <v>278</v>
      </c>
      <c r="E2120" s="18" t="s">
        <v>0</v>
      </c>
      <c r="F2120" s="17" t="s">
        <v>23</v>
      </c>
      <c r="G2120" s="17">
        <f>ROUNDUP(G2113/1.5*4,0)</f>
        <v>0</v>
      </c>
      <c r="H2120" s="13">
        <f t="shared" si="33"/>
        <v>0</v>
      </c>
    </row>
    <row r="2121" spans="2:8" ht="13.5" thickBot="1" x14ac:dyDescent="0.35">
      <c r="B2121" s="9"/>
      <c r="C2121" s="14" t="s">
        <v>1105</v>
      </c>
      <c r="D2121" s="14" t="s">
        <v>278</v>
      </c>
      <c r="E2121" s="18" t="s">
        <v>9</v>
      </c>
      <c r="F2121" s="17" t="s">
        <v>23</v>
      </c>
      <c r="G2121" s="17">
        <f>ROUNDUP(G2113/3,0)</f>
        <v>0</v>
      </c>
      <c r="H2121" s="13">
        <f t="shared" si="33"/>
        <v>0</v>
      </c>
    </row>
    <row r="2122" spans="2:8" ht="13.5" thickBot="1" x14ac:dyDescent="0.35">
      <c r="B2122" s="9"/>
      <c r="C2122" s="14" t="s">
        <v>452</v>
      </c>
      <c r="D2122" s="14" t="s">
        <v>278</v>
      </c>
      <c r="E2122" s="18" t="s">
        <v>0</v>
      </c>
      <c r="F2122" s="17" t="s">
        <v>23</v>
      </c>
      <c r="G2122" s="17">
        <f>ROUNDUP(G2113/3+G2113/1.5*4,0)</f>
        <v>0</v>
      </c>
      <c r="H2122" s="13">
        <f t="shared" si="33"/>
        <v>0</v>
      </c>
    </row>
    <row r="2123" spans="2:8" ht="13.5" thickBot="1" x14ac:dyDescent="0.35">
      <c r="B2123" s="9"/>
      <c r="C2123" s="14" t="s">
        <v>749</v>
      </c>
      <c r="D2123" s="14" t="s">
        <v>278</v>
      </c>
      <c r="E2123" s="18" t="s">
        <v>9</v>
      </c>
      <c r="F2123" s="17" t="s">
        <v>23</v>
      </c>
      <c r="G2123" s="17">
        <f>ROUNDUP(G2113/3*2,0)</f>
        <v>0</v>
      </c>
      <c r="H2123" s="13">
        <f t="shared" si="33"/>
        <v>0</v>
      </c>
    </row>
    <row r="2124" spans="2:8" s="28" customFormat="1" ht="13.5" thickBot="1" x14ac:dyDescent="0.35">
      <c r="B2124" s="24">
        <f>COUNT($B$4:B2123)+1</f>
        <v>660</v>
      </c>
      <c r="C2124" s="25" t="s">
        <v>1106</v>
      </c>
      <c r="D2124" s="25"/>
      <c r="E2124" s="26" t="s">
        <v>9</v>
      </c>
      <c r="F2124" s="27" t="s">
        <v>51</v>
      </c>
      <c r="G2124" s="27">
        <v>260</v>
      </c>
      <c r="H2124" s="27">
        <f t="shared" si="33"/>
        <v>260</v>
      </c>
    </row>
    <row r="2125" spans="2:8" ht="13.5" thickBot="1" x14ac:dyDescent="0.35">
      <c r="B2125" s="9"/>
      <c r="C2125" s="14" t="s">
        <v>449</v>
      </c>
      <c r="D2125" s="14" t="s">
        <v>278</v>
      </c>
      <c r="E2125" s="18" t="s">
        <v>0</v>
      </c>
      <c r="F2125" s="17" t="s">
        <v>23</v>
      </c>
      <c r="G2125" s="17">
        <f>ROUNDUP(G2124/3+G2124/1.5*2,0)</f>
        <v>434</v>
      </c>
      <c r="H2125" s="13">
        <f t="shared" si="33"/>
        <v>434</v>
      </c>
    </row>
    <row r="2126" spans="2:8" ht="13.5" thickBot="1" x14ac:dyDescent="0.35">
      <c r="B2126" s="9"/>
      <c r="C2126" s="14" t="s">
        <v>784</v>
      </c>
      <c r="D2126" s="14" t="s">
        <v>278</v>
      </c>
      <c r="E2126" s="18" t="s">
        <v>0</v>
      </c>
      <c r="F2126" s="17" t="s">
        <v>23</v>
      </c>
      <c r="G2126" s="17">
        <f>ROUNDUP(G2124/1.5,0)</f>
        <v>174</v>
      </c>
      <c r="H2126" s="13">
        <f t="shared" si="33"/>
        <v>174</v>
      </c>
    </row>
    <row r="2127" spans="2:8" ht="13.5" thickBot="1" x14ac:dyDescent="0.35">
      <c r="B2127" s="9"/>
      <c r="C2127" s="14" t="s">
        <v>1099</v>
      </c>
      <c r="D2127" s="14" t="s">
        <v>278</v>
      </c>
      <c r="E2127" s="18" t="s">
        <v>0</v>
      </c>
      <c r="F2127" s="17" t="s">
        <v>23</v>
      </c>
      <c r="G2127" s="17">
        <f>ROUNDUP(G2124/1.5,0)</f>
        <v>174</v>
      </c>
      <c r="H2127" s="13">
        <f t="shared" si="33"/>
        <v>174</v>
      </c>
    </row>
    <row r="2128" spans="2:8" ht="13.5" thickBot="1" x14ac:dyDescent="0.35">
      <c r="B2128" s="9"/>
      <c r="C2128" s="14" t="s">
        <v>785</v>
      </c>
      <c r="D2128" s="14" t="s">
        <v>278</v>
      </c>
      <c r="E2128" s="18" t="s">
        <v>9</v>
      </c>
      <c r="F2128" s="17" t="s">
        <v>23</v>
      </c>
      <c r="G2128" s="17">
        <f>ROUNDUP(G2124/1.5,0)</f>
        <v>174</v>
      </c>
      <c r="H2128" s="13">
        <f t="shared" si="33"/>
        <v>174</v>
      </c>
    </row>
    <row r="2129" spans="2:8" ht="13.5" thickBot="1" x14ac:dyDescent="0.35">
      <c r="B2129" s="9"/>
      <c r="C2129" s="14" t="s">
        <v>1690</v>
      </c>
      <c r="D2129" s="14" t="s">
        <v>278</v>
      </c>
      <c r="E2129" s="18" t="s">
        <v>9</v>
      </c>
      <c r="F2129" s="17" t="s">
        <v>23</v>
      </c>
      <c r="G2129" s="17">
        <f>ROUNDUP(G2124/3,0)</f>
        <v>87</v>
      </c>
      <c r="H2129" s="13">
        <f t="shared" si="33"/>
        <v>87</v>
      </c>
    </row>
    <row r="2130" spans="2:8" ht="13.5" thickBot="1" x14ac:dyDescent="0.35">
      <c r="B2130" s="9"/>
      <c r="C2130" s="14" t="s">
        <v>451</v>
      </c>
      <c r="D2130" s="14" t="s">
        <v>278</v>
      </c>
      <c r="E2130" s="18" t="s">
        <v>0</v>
      </c>
      <c r="F2130" s="17" t="s">
        <v>23</v>
      </c>
      <c r="G2130" s="17">
        <f>ROUNDUP(G2124/3,0)</f>
        <v>87</v>
      </c>
      <c r="H2130" s="13">
        <f t="shared" si="33"/>
        <v>87</v>
      </c>
    </row>
    <row r="2131" spans="2:8" ht="13.5" thickBot="1" x14ac:dyDescent="0.35">
      <c r="B2131" s="9"/>
      <c r="C2131" s="14" t="s">
        <v>1691</v>
      </c>
      <c r="D2131" s="14" t="s">
        <v>278</v>
      </c>
      <c r="E2131" s="18" t="s">
        <v>9</v>
      </c>
      <c r="F2131" s="17" t="s">
        <v>23</v>
      </c>
      <c r="G2131" s="17">
        <f>ROUNDUP(G2124/3,0)</f>
        <v>87</v>
      </c>
      <c r="H2131" s="13">
        <f t="shared" si="33"/>
        <v>87</v>
      </c>
    </row>
    <row r="2132" spans="2:8" ht="13.5" thickBot="1" x14ac:dyDescent="0.35">
      <c r="B2132" s="9"/>
      <c r="C2132" s="14" t="s">
        <v>452</v>
      </c>
      <c r="D2132" s="14" t="s">
        <v>278</v>
      </c>
      <c r="E2132" s="18" t="s">
        <v>0</v>
      </c>
      <c r="F2132" s="17" t="s">
        <v>23</v>
      </c>
      <c r="G2132" s="17">
        <f>ROUNDUP(G2124/3+G2124/1.5*2,0)</f>
        <v>434</v>
      </c>
      <c r="H2132" s="13">
        <f t="shared" si="33"/>
        <v>434</v>
      </c>
    </row>
    <row r="2133" spans="2:8" ht="13.5" thickBot="1" x14ac:dyDescent="0.35">
      <c r="B2133" s="9"/>
      <c r="C2133" s="14" t="s">
        <v>749</v>
      </c>
      <c r="D2133" s="14" t="s">
        <v>278</v>
      </c>
      <c r="E2133" s="18" t="s">
        <v>9</v>
      </c>
      <c r="F2133" s="17" t="s">
        <v>23</v>
      </c>
      <c r="G2133" s="17">
        <f>ROUNDUP(G2124/3,0)</f>
        <v>87</v>
      </c>
      <c r="H2133" s="13">
        <f t="shared" si="33"/>
        <v>87</v>
      </c>
    </row>
    <row r="2134" spans="2:8" ht="13.5" thickBot="1" x14ac:dyDescent="0.35">
      <c r="B2134" s="9">
        <f>COUNT($B$4:B2133)+1</f>
        <v>661</v>
      </c>
      <c r="C2134" s="10" t="s">
        <v>1107</v>
      </c>
      <c r="D2134" s="10"/>
      <c r="E2134" s="11" t="s">
        <v>3</v>
      </c>
      <c r="F2134" s="12" t="s">
        <v>23</v>
      </c>
      <c r="G2134" s="12"/>
      <c r="H2134" s="13">
        <f t="shared" si="33"/>
        <v>0</v>
      </c>
    </row>
    <row r="2135" spans="2:8" ht="13.5" thickBot="1" x14ac:dyDescent="0.35">
      <c r="B2135" s="9"/>
      <c r="C2135" s="14" t="s">
        <v>24</v>
      </c>
      <c r="D2135" s="15" t="s">
        <v>25</v>
      </c>
      <c r="E2135" s="16" t="s">
        <v>9</v>
      </c>
      <c r="F2135" s="17" t="s">
        <v>23</v>
      </c>
      <c r="G2135" s="19">
        <f>G2134</f>
        <v>0</v>
      </c>
      <c r="H2135" s="13">
        <f t="shared" si="33"/>
        <v>0</v>
      </c>
    </row>
    <row r="2136" spans="2:8" ht="13.5" thickBot="1" x14ac:dyDescent="0.35">
      <c r="B2136" s="9"/>
      <c r="C2136" s="14" t="s">
        <v>1108</v>
      </c>
      <c r="D2136" s="14" t="s">
        <v>302</v>
      </c>
      <c r="E2136" s="16" t="s">
        <v>9</v>
      </c>
      <c r="F2136" s="17" t="s">
        <v>23</v>
      </c>
      <c r="G2136" s="17">
        <f>G2134</f>
        <v>0</v>
      </c>
      <c r="H2136" s="13">
        <f t="shared" si="33"/>
        <v>0</v>
      </c>
    </row>
    <row r="2137" spans="2:8" ht="13.5" thickBot="1" x14ac:dyDescent="0.35">
      <c r="B2137" s="9"/>
      <c r="C2137" s="14" t="s">
        <v>406</v>
      </c>
      <c r="D2137" s="14" t="s">
        <v>302</v>
      </c>
      <c r="E2137" s="16" t="s">
        <v>9</v>
      </c>
      <c r="F2137" s="17" t="s">
        <v>23</v>
      </c>
      <c r="G2137" s="17">
        <f>G2134</f>
        <v>0</v>
      </c>
      <c r="H2137" s="13">
        <f t="shared" si="33"/>
        <v>0</v>
      </c>
    </row>
    <row r="2138" spans="2:8" ht="13.5" thickBot="1" x14ac:dyDescent="0.35">
      <c r="B2138" s="9">
        <f>COUNT($B$4:B2137)+1</f>
        <v>662</v>
      </c>
      <c r="C2138" s="10" t="s">
        <v>1109</v>
      </c>
      <c r="D2138" s="10"/>
      <c r="E2138" s="11" t="s">
        <v>3</v>
      </c>
      <c r="F2138" s="12" t="s">
        <v>23</v>
      </c>
      <c r="G2138" s="12"/>
      <c r="H2138" s="13">
        <f t="shared" si="33"/>
        <v>0</v>
      </c>
    </row>
    <row r="2139" spans="2:8" ht="13.5" thickBot="1" x14ac:dyDescent="0.35">
      <c r="B2139" s="9"/>
      <c r="C2139" s="14" t="s">
        <v>235</v>
      </c>
      <c r="D2139" s="15" t="s">
        <v>25</v>
      </c>
      <c r="E2139" s="16" t="s">
        <v>9</v>
      </c>
      <c r="F2139" s="17" t="s">
        <v>23</v>
      </c>
      <c r="G2139" s="19">
        <f>G2138</f>
        <v>0</v>
      </c>
      <c r="H2139" s="13">
        <f t="shared" si="33"/>
        <v>0</v>
      </c>
    </row>
    <row r="2140" spans="2:8" ht="13.5" thickBot="1" x14ac:dyDescent="0.35">
      <c r="B2140" s="9"/>
      <c r="C2140" s="14" t="s">
        <v>1108</v>
      </c>
      <c r="D2140" s="14" t="s">
        <v>302</v>
      </c>
      <c r="E2140" s="16" t="s">
        <v>9</v>
      </c>
      <c r="F2140" s="17" t="s">
        <v>23</v>
      </c>
      <c r="G2140" s="17">
        <f>G2138</f>
        <v>0</v>
      </c>
      <c r="H2140" s="13">
        <f t="shared" si="33"/>
        <v>0</v>
      </c>
    </row>
    <row r="2141" spans="2:8" ht="13.5" thickBot="1" x14ac:dyDescent="0.35">
      <c r="B2141" s="9"/>
      <c r="C2141" s="14" t="s">
        <v>405</v>
      </c>
      <c r="D2141" s="14" t="s">
        <v>302</v>
      </c>
      <c r="E2141" s="18" t="s">
        <v>3</v>
      </c>
      <c r="F2141" s="17" t="s">
        <v>23</v>
      </c>
      <c r="G2141" s="17">
        <f>G2138</f>
        <v>0</v>
      </c>
      <c r="H2141" s="13">
        <f t="shared" si="33"/>
        <v>0</v>
      </c>
    </row>
    <row r="2142" spans="2:8" ht="13.5" thickBot="1" x14ac:dyDescent="0.35">
      <c r="B2142" s="9"/>
      <c r="C2142" s="14" t="s">
        <v>406</v>
      </c>
      <c r="D2142" s="14" t="s">
        <v>302</v>
      </c>
      <c r="E2142" s="16" t="s">
        <v>9</v>
      </c>
      <c r="F2142" s="17" t="s">
        <v>23</v>
      </c>
      <c r="G2142" s="17">
        <f>G2138</f>
        <v>0</v>
      </c>
      <c r="H2142" s="13">
        <f t="shared" si="33"/>
        <v>0</v>
      </c>
    </row>
    <row r="2143" spans="2:8" ht="13.5" thickBot="1" x14ac:dyDescent="0.35">
      <c r="B2143" s="9">
        <f>COUNT($B$4:B2142)+1</f>
        <v>663</v>
      </c>
      <c r="C2143" s="10" t="s">
        <v>1110</v>
      </c>
      <c r="D2143" s="10"/>
      <c r="E2143" s="11" t="s">
        <v>3</v>
      </c>
      <c r="F2143" s="12" t="s">
        <v>23</v>
      </c>
      <c r="G2143" s="12"/>
      <c r="H2143" s="13">
        <f t="shared" si="33"/>
        <v>0</v>
      </c>
    </row>
    <row r="2144" spans="2:8" ht="13.5" thickBot="1" x14ac:dyDescent="0.35">
      <c r="B2144" s="9"/>
      <c r="C2144" s="14" t="s">
        <v>24</v>
      </c>
      <c r="D2144" s="15" t="s">
        <v>25</v>
      </c>
      <c r="E2144" s="16" t="s">
        <v>9</v>
      </c>
      <c r="F2144" s="17" t="s">
        <v>23</v>
      </c>
      <c r="G2144" s="19">
        <f>G2143</f>
        <v>0</v>
      </c>
      <c r="H2144" s="13">
        <f t="shared" si="33"/>
        <v>0</v>
      </c>
    </row>
    <row r="2145" spans="2:8" ht="13.5" thickBot="1" x14ac:dyDescent="0.35">
      <c r="B2145" s="9"/>
      <c r="C2145" s="14" t="s">
        <v>1108</v>
      </c>
      <c r="D2145" s="14" t="s">
        <v>302</v>
      </c>
      <c r="E2145" s="16" t="s">
        <v>9</v>
      </c>
      <c r="F2145" s="17" t="s">
        <v>23</v>
      </c>
      <c r="G2145" s="17">
        <f>G2143</f>
        <v>0</v>
      </c>
      <c r="H2145" s="13">
        <f t="shared" si="33"/>
        <v>0</v>
      </c>
    </row>
    <row r="2146" spans="2:8" ht="13.5" thickBot="1" x14ac:dyDescent="0.35">
      <c r="B2146" s="9"/>
      <c r="C2146" s="14" t="s">
        <v>405</v>
      </c>
      <c r="D2146" s="14" t="s">
        <v>302</v>
      </c>
      <c r="E2146" s="18" t="s">
        <v>3</v>
      </c>
      <c r="F2146" s="17" t="s">
        <v>23</v>
      </c>
      <c r="G2146" s="17">
        <f>G2143</f>
        <v>0</v>
      </c>
      <c r="H2146" s="13">
        <f t="shared" si="33"/>
        <v>0</v>
      </c>
    </row>
    <row r="2147" spans="2:8" ht="13.5" thickBot="1" x14ac:dyDescent="0.35">
      <c r="B2147" s="9"/>
      <c r="C2147" s="14" t="s">
        <v>406</v>
      </c>
      <c r="D2147" s="14" t="s">
        <v>302</v>
      </c>
      <c r="E2147" s="16" t="s">
        <v>9</v>
      </c>
      <c r="F2147" s="17" t="s">
        <v>23</v>
      </c>
      <c r="G2147" s="17">
        <f>G2143</f>
        <v>0</v>
      </c>
      <c r="H2147" s="13">
        <f t="shared" si="33"/>
        <v>0</v>
      </c>
    </row>
    <row r="2148" spans="2:8" ht="13.5" thickBot="1" x14ac:dyDescent="0.35">
      <c r="B2148" s="9">
        <f>COUNT($B$4:B2147)+1</f>
        <v>664</v>
      </c>
      <c r="C2148" s="10" t="s">
        <v>1111</v>
      </c>
      <c r="D2148" s="10"/>
      <c r="E2148" s="11" t="s">
        <v>3</v>
      </c>
      <c r="F2148" s="12" t="s">
        <v>23</v>
      </c>
      <c r="G2148" s="12"/>
      <c r="H2148" s="13">
        <f t="shared" si="33"/>
        <v>0</v>
      </c>
    </row>
    <row r="2149" spans="2:8" ht="13.5" thickBot="1" x14ac:dyDescent="0.35">
      <c r="B2149" s="9"/>
      <c r="C2149" s="14" t="s">
        <v>24</v>
      </c>
      <c r="D2149" s="15" t="s">
        <v>25</v>
      </c>
      <c r="E2149" s="16" t="s">
        <v>9</v>
      </c>
      <c r="F2149" s="17" t="s">
        <v>23</v>
      </c>
      <c r="G2149" s="19">
        <f>G2148</f>
        <v>0</v>
      </c>
      <c r="H2149" s="13">
        <f t="shared" si="33"/>
        <v>0</v>
      </c>
    </row>
    <row r="2150" spans="2:8" ht="13.5" thickBot="1" x14ac:dyDescent="0.35">
      <c r="B2150" s="9"/>
      <c r="C2150" s="14" t="s">
        <v>1108</v>
      </c>
      <c r="D2150" s="14" t="s">
        <v>302</v>
      </c>
      <c r="E2150" s="16" t="s">
        <v>9</v>
      </c>
      <c r="F2150" s="17" t="s">
        <v>23</v>
      </c>
      <c r="G2150" s="17">
        <f>G2148</f>
        <v>0</v>
      </c>
      <c r="H2150" s="13">
        <f t="shared" si="33"/>
        <v>0</v>
      </c>
    </row>
    <row r="2151" spans="2:8" ht="13.5" thickBot="1" x14ac:dyDescent="0.35">
      <c r="B2151" s="9"/>
      <c r="C2151" s="14" t="s">
        <v>413</v>
      </c>
      <c r="D2151" s="14" t="s">
        <v>302</v>
      </c>
      <c r="E2151" s="18" t="s">
        <v>3</v>
      </c>
      <c r="F2151" s="17" t="s">
        <v>23</v>
      </c>
      <c r="G2151" s="17">
        <f>G2148</f>
        <v>0</v>
      </c>
      <c r="H2151" s="13">
        <f t="shared" si="33"/>
        <v>0</v>
      </c>
    </row>
    <row r="2152" spans="2:8" ht="13.5" thickBot="1" x14ac:dyDescent="0.35">
      <c r="B2152" s="9"/>
      <c r="C2152" s="14" t="s">
        <v>406</v>
      </c>
      <c r="D2152" s="14" t="s">
        <v>302</v>
      </c>
      <c r="E2152" s="16" t="s">
        <v>9</v>
      </c>
      <c r="F2152" s="17" t="s">
        <v>23</v>
      </c>
      <c r="G2152" s="17">
        <f>G2148</f>
        <v>0</v>
      </c>
      <c r="H2152" s="13">
        <f t="shared" si="33"/>
        <v>0</v>
      </c>
    </row>
    <row r="2153" spans="2:8" ht="13.5" thickBot="1" x14ac:dyDescent="0.35">
      <c r="B2153" s="9">
        <f>COUNT($B$4:B2152)+1</f>
        <v>665</v>
      </c>
      <c r="C2153" s="10" t="s">
        <v>1112</v>
      </c>
      <c r="D2153" s="10"/>
      <c r="E2153" s="11" t="s">
        <v>3</v>
      </c>
      <c r="F2153" s="12" t="s">
        <v>23</v>
      </c>
      <c r="G2153" s="12"/>
      <c r="H2153" s="13">
        <f t="shared" si="33"/>
        <v>0</v>
      </c>
    </row>
    <row r="2154" spans="2:8" ht="13.5" thickBot="1" x14ac:dyDescent="0.35">
      <c r="B2154" s="9"/>
      <c r="C2154" s="14" t="s">
        <v>24</v>
      </c>
      <c r="D2154" s="15" t="s">
        <v>25</v>
      </c>
      <c r="E2154" s="16" t="s">
        <v>9</v>
      </c>
      <c r="F2154" s="17" t="s">
        <v>23</v>
      </c>
      <c r="G2154" s="19">
        <f>G2153</f>
        <v>0</v>
      </c>
      <c r="H2154" s="13">
        <f t="shared" si="33"/>
        <v>0</v>
      </c>
    </row>
    <row r="2155" spans="2:8" ht="13.5" thickBot="1" x14ac:dyDescent="0.35">
      <c r="B2155" s="9"/>
      <c r="C2155" s="14" t="s">
        <v>1108</v>
      </c>
      <c r="D2155" s="14" t="s">
        <v>302</v>
      </c>
      <c r="E2155" s="16" t="s">
        <v>9</v>
      </c>
      <c r="F2155" s="17" t="s">
        <v>23</v>
      </c>
      <c r="G2155" s="17">
        <f>G2153</f>
        <v>0</v>
      </c>
      <c r="H2155" s="13">
        <f t="shared" si="33"/>
        <v>0</v>
      </c>
    </row>
    <row r="2156" spans="2:8" ht="13.5" thickBot="1" x14ac:dyDescent="0.35">
      <c r="B2156" s="9"/>
      <c r="C2156" s="14" t="s">
        <v>406</v>
      </c>
      <c r="D2156" s="14" t="s">
        <v>302</v>
      </c>
      <c r="E2156" s="16" t="s">
        <v>9</v>
      </c>
      <c r="F2156" s="17" t="s">
        <v>23</v>
      </c>
      <c r="G2156" s="17">
        <f>G2153</f>
        <v>0</v>
      </c>
      <c r="H2156" s="13">
        <f t="shared" si="33"/>
        <v>0</v>
      </c>
    </row>
    <row r="2157" spans="2:8" ht="13.5" thickBot="1" x14ac:dyDescent="0.35">
      <c r="B2157" s="9">
        <f>COUNT($B$4:B2156)+1</f>
        <v>666</v>
      </c>
      <c r="C2157" s="10" t="s">
        <v>1113</v>
      </c>
      <c r="D2157" s="10"/>
      <c r="E2157" s="11" t="s">
        <v>3</v>
      </c>
      <c r="F2157" s="12" t="s">
        <v>23</v>
      </c>
      <c r="G2157" s="12"/>
      <c r="H2157" s="13">
        <f t="shared" si="33"/>
        <v>0</v>
      </c>
    </row>
    <row r="2158" spans="2:8" ht="13.5" thickBot="1" x14ac:dyDescent="0.35">
      <c r="B2158" s="9"/>
      <c r="C2158" s="14" t="s">
        <v>24</v>
      </c>
      <c r="D2158" s="15" t="s">
        <v>25</v>
      </c>
      <c r="E2158" s="16" t="s">
        <v>9</v>
      </c>
      <c r="F2158" s="17" t="s">
        <v>23</v>
      </c>
      <c r="G2158" s="19">
        <f>G2157</f>
        <v>0</v>
      </c>
      <c r="H2158" s="13">
        <f t="shared" si="33"/>
        <v>0</v>
      </c>
    </row>
    <row r="2159" spans="2:8" ht="13.5" thickBot="1" x14ac:dyDescent="0.35">
      <c r="B2159" s="9"/>
      <c r="C2159" s="14" t="s">
        <v>889</v>
      </c>
      <c r="D2159" s="14" t="s">
        <v>302</v>
      </c>
      <c r="E2159" s="16" t="s">
        <v>9</v>
      </c>
      <c r="F2159" s="17" t="s">
        <v>23</v>
      </c>
      <c r="G2159" s="17">
        <f>G2157</f>
        <v>0</v>
      </c>
      <c r="H2159" s="13">
        <f t="shared" si="33"/>
        <v>0</v>
      </c>
    </row>
    <row r="2160" spans="2:8" ht="13.5" thickBot="1" x14ac:dyDescent="0.35">
      <c r="B2160" s="9"/>
      <c r="C2160" s="14" t="s">
        <v>405</v>
      </c>
      <c r="D2160" s="14" t="s">
        <v>302</v>
      </c>
      <c r="E2160" s="18" t="s">
        <v>3</v>
      </c>
      <c r="F2160" s="17" t="s">
        <v>23</v>
      </c>
      <c r="G2160" s="17">
        <f>G2157</f>
        <v>0</v>
      </c>
      <c r="H2160" s="13">
        <f t="shared" si="33"/>
        <v>0</v>
      </c>
    </row>
    <row r="2161" spans="2:8" ht="13.5" thickBot="1" x14ac:dyDescent="0.35">
      <c r="B2161" s="9"/>
      <c r="C2161" s="14" t="s">
        <v>406</v>
      </c>
      <c r="D2161" s="14" t="s">
        <v>302</v>
      </c>
      <c r="E2161" s="16" t="s">
        <v>9</v>
      </c>
      <c r="F2161" s="17" t="s">
        <v>23</v>
      </c>
      <c r="G2161" s="17">
        <f>G2157</f>
        <v>0</v>
      </c>
      <c r="H2161" s="13">
        <f t="shared" si="33"/>
        <v>0</v>
      </c>
    </row>
    <row r="2162" spans="2:8" ht="13.5" thickBot="1" x14ac:dyDescent="0.35">
      <c r="B2162" s="9">
        <f>COUNT($B$4:B2161)+1</f>
        <v>667</v>
      </c>
      <c r="C2162" s="10" t="s">
        <v>1114</v>
      </c>
      <c r="D2162" s="10"/>
      <c r="E2162" s="11" t="s">
        <v>3</v>
      </c>
      <c r="F2162" s="12" t="s">
        <v>23</v>
      </c>
      <c r="G2162" s="12"/>
      <c r="H2162" s="13">
        <f t="shared" si="33"/>
        <v>0</v>
      </c>
    </row>
    <row r="2163" spans="2:8" ht="13.5" thickBot="1" x14ac:dyDescent="0.35">
      <c r="B2163" s="9"/>
      <c r="C2163" s="14" t="s">
        <v>24</v>
      </c>
      <c r="D2163" s="15" t="s">
        <v>25</v>
      </c>
      <c r="E2163" s="16" t="s">
        <v>9</v>
      </c>
      <c r="F2163" s="17" t="s">
        <v>23</v>
      </c>
      <c r="G2163" s="19">
        <f>G2162</f>
        <v>0</v>
      </c>
      <c r="H2163" s="13">
        <f t="shared" si="33"/>
        <v>0</v>
      </c>
    </row>
    <row r="2164" spans="2:8" ht="13.5" thickBot="1" x14ac:dyDescent="0.35">
      <c r="B2164" s="9"/>
      <c r="C2164" s="14" t="s">
        <v>1108</v>
      </c>
      <c r="D2164" s="14" t="s">
        <v>302</v>
      </c>
      <c r="E2164" s="16" t="s">
        <v>9</v>
      </c>
      <c r="F2164" s="17" t="s">
        <v>23</v>
      </c>
      <c r="G2164" s="17">
        <f>G2162</f>
        <v>0</v>
      </c>
      <c r="H2164" s="13">
        <f t="shared" si="33"/>
        <v>0</v>
      </c>
    </row>
    <row r="2165" spans="2:8" ht="13.5" thickBot="1" x14ac:dyDescent="0.35">
      <c r="B2165" s="9"/>
      <c r="C2165" s="14" t="s">
        <v>406</v>
      </c>
      <c r="D2165" s="14" t="s">
        <v>302</v>
      </c>
      <c r="E2165" s="16" t="s">
        <v>9</v>
      </c>
      <c r="F2165" s="17" t="s">
        <v>23</v>
      </c>
      <c r="G2165" s="17">
        <f>G2162</f>
        <v>0</v>
      </c>
      <c r="H2165" s="13">
        <f t="shared" si="33"/>
        <v>0</v>
      </c>
    </row>
    <row r="2166" spans="2:8" ht="13.5" thickBot="1" x14ac:dyDescent="0.35">
      <c r="B2166" s="9">
        <f>COUNT($B$4:B2165)+1</f>
        <v>668</v>
      </c>
      <c r="C2166" s="10" t="s">
        <v>1115</v>
      </c>
      <c r="D2166" s="10"/>
      <c r="E2166" s="11" t="s">
        <v>3</v>
      </c>
      <c r="F2166" s="12" t="s">
        <v>23</v>
      </c>
      <c r="G2166" s="12"/>
      <c r="H2166" s="13">
        <f t="shared" si="33"/>
        <v>0</v>
      </c>
    </row>
    <row r="2167" spans="2:8" ht="13.5" thickBot="1" x14ac:dyDescent="0.35">
      <c r="B2167" s="9"/>
      <c r="C2167" s="14" t="s">
        <v>24</v>
      </c>
      <c r="D2167" s="15" t="s">
        <v>25</v>
      </c>
      <c r="E2167" s="16" t="s">
        <v>9</v>
      </c>
      <c r="F2167" s="17" t="s">
        <v>23</v>
      </c>
      <c r="G2167" s="19">
        <f>G2166</f>
        <v>0</v>
      </c>
      <c r="H2167" s="13">
        <f t="shared" si="33"/>
        <v>0</v>
      </c>
    </row>
    <row r="2168" spans="2:8" ht="13.5" thickBot="1" x14ac:dyDescent="0.35">
      <c r="B2168" s="9"/>
      <c r="C2168" s="14" t="s">
        <v>1108</v>
      </c>
      <c r="D2168" s="14" t="s">
        <v>302</v>
      </c>
      <c r="E2168" s="16" t="s">
        <v>9</v>
      </c>
      <c r="F2168" s="17" t="s">
        <v>23</v>
      </c>
      <c r="G2168" s="17">
        <f>G2166</f>
        <v>0</v>
      </c>
      <c r="H2168" s="13">
        <f t="shared" si="33"/>
        <v>0</v>
      </c>
    </row>
    <row r="2169" spans="2:8" ht="13.5" thickBot="1" x14ac:dyDescent="0.35">
      <c r="B2169" s="9"/>
      <c r="C2169" s="14" t="s">
        <v>1116</v>
      </c>
      <c r="D2169" s="14" t="s">
        <v>1117</v>
      </c>
      <c r="E2169" s="16" t="s">
        <v>3</v>
      </c>
      <c r="F2169" s="17" t="s">
        <v>23</v>
      </c>
      <c r="G2169" s="17">
        <f>G2166</f>
        <v>0</v>
      </c>
      <c r="H2169" s="13">
        <f t="shared" si="33"/>
        <v>0</v>
      </c>
    </row>
    <row r="2170" spans="2:8" ht="13.5" thickBot="1" x14ac:dyDescent="0.35">
      <c r="B2170" s="9"/>
      <c r="C2170" s="14" t="s">
        <v>406</v>
      </c>
      <c r="D2170" s="14" t="s">
        <v>302</v>
      </c>
      <c r="E2170" s="16" t="s">
        <v>9</v>
      </c>
      <c r="F2170" s="17" t="s">
        <v>23</v>
      </c>
      <c r="G2170" s="17">
        <f>G2166</f>
        <v>0</v>
      </c>
      <c r="H2170" s="13">
        <f t="shared" si="33"/>
        <v>0</v>
      </c>
    </row>
    <row r="2171" spans="2:8" ht="13.5" thickBot="1" x14ac:dyDescent="0.35">
      <c r="B2171" s="9">
        <f>COUNT($B$4:B2170)+1</f>
        <v>669</v>
      </c>
      <c r="C2171" s="10" t="s">
        <v>1118</v>
      </c>
      <c r="D2171" s="10"/>
      <c r="E2171" s="11" t="s">
        <v>3</v>
      </c>
      <c r="F2171" s="12" t="s">
        <v>23</v>
      </c>
      <c r="G2171" s="12"/>
      <c r="H2171" s="13">
        <f t="shared" si="33"/>
        <v>0</v>
      </c>
    </row>
    <row r="2172" spans="2:8" ht="13.5" thickBot="1" x14ac:dyDescent="0.35">
      <c r="B2172" s="9"/>
      <c r="C2172" s="14" t="s">
        <v>24</v>
      </c>
      <c r="D2172" s="15" t="s">
        <v>25</v>
      </c>
      <c r="E2172" s="16" t="s">
        <v>9</v>
      </c>
      <c r="F2172" s="17" t="s">
        <v>23</v>
      </c>
      <c r="G2172" s="19">
        <f>G2171</f>
        <v>0</v>
      </c>
      <c r="H2172" s="13">
        <f t="shared" si="33"/>
        <v>0</v>
      </c>
    </row>
    <row r="2173" spans="2:8" ht="13.5" thickBot="1" x14ac:dyDescent="0.35">
      <c r="B2173" s="9"/>
      <c r="C2173" s="14" t="s">
        <v>1119</v>
      </c>
      <c r="D2173" s="14"/>
      <c r="E2173" s="18" t="s">
        <v>3</v>
      </c>
      <c r="F2173" s="17" t="s">
        <v>23</v>
      </c>
      <c r="G2173" s="17">
        <f>G2171</f>
        <v>0</v>
      </c>
      <c r="H2173" s="13">
        <f t="shared" si="33"/>
        <v>0</v>
      </c>
    </row>
    <row r="2174" spans="2:8" ht="13.5" thickBot="1" x14ac:dyDescent="0.35">
      <c r="B2174" s="9">
        <f>COUNT($B$4:B2173)+1</f>
        <v>670</v>
      </c>
      <c r="C2174" s="10" t="s">
        <v>1120</v>
      </c>
      <c r="D2174" s="10"/>
      <c r="E2174" s="11" t="s">
        <v>3</v>
      </c>
      <c r="F2174" s="12" t="s">
        <v>23</v>
      </c>
      <c r="G2174" s="12"/>
      <c r="H2174" s="13">
        <f t="shared" si="33"/>
        <v>0</v>
      </c>
    </row>
    <row r="2175" spans="2:8" ht="13.5" thickBot="1" x14ac:dyDescent="0.35">
      <c r="B2175" s="9"/>
      <c r="C2175" s="14" t="s">
        <v>24</v>
      </c>
      <c r="D2175" s="15" t="s">
        <v>25</v>
      </c>
      <c r="E2175" s="16" t="s">
        <v>9</v>
      </c>
      <c r="F2175" s="17" t="s">
        <v>23</v>
      </c>
      <c r="G2175" s="19">
        <f>G2174</f>
        <v>0</v>
      </c>
      <c r="H2175" s="13">
        <f t="shared" si="33"/>
        <v>0</v>
      </c>
    </row>
    <row r="2176" spans="2:8" ht="13.5" thickBot="1" x14ac:dyDescent="0.35">
      <c r="B2176" s="9"/>
      <c r="C2176" s="14" t="s">
        <v>1108</v>
      </c>
      <c r="D2176" s="14" t="s">
        <v>302</v>
      </c>
      <c r="E2176" s="16" t="s">
        <v>9</v>
      </c>
      <c r="F2176" s="17" t="s">
        <v>23</v>
      </c>
      <c r="G2176" s="17">
        <f>G2174</f>
        <v>0</v>
      </c>
      <c r="H2176" s="13">
        <f t="shared" si="33"/>
        <v>0</v>
      </c>
    </row>
    <row r="2177" spans="2:8" ht="13.5" thickBot="1" x14ac:dyDescent="0.35">
      <c r="B2177" s="9"/>
      <c r="C2177" s="14" t="s">
        <v>406</v>
      </c>
      <c r="D2177" s="14" t="s">
        <v>302</v>
      </c>
      <c r="E2177" s="16" t="s">
        <v>9</v>
      </c>
      <c r="F2177" s="17" t="s">
        <v>23</v>
      </c>
      <c r="G2177" s="17">
        <f>G2174</f>
        <v>0</v>
      </c>
      <c r="H2177" s="13">
        <f t="shared" si="33"/>
        <v>0</v>
      </c>
    </row>
    <row r="2178" spans="2:8" ht="13.5" thickBot="1" x14ac:dyDescent="0.35">
      <c r="B2178" s="9">
        <f>COUNT($B$4:B2177)+1</f>
        <v>671</v>
      </c>
      <c r="C2178" s="10" t="s">
        <v>1121</v>
      </c>
      <c r="D2178" s="10"/>
      <c r="E2178" s="11" t="s">
        <v>3</v>
      </c>
      <c r="F2178" s="12" t="s">
        <v>23</v>
      </c>
      <c r="G2178" s="12"/>
      <c r="H2178" s="13">
        <f t="shared" si="33"/>
        <v>0</v>
      </c>
    </row>
    <row r="2179" spans="2:8" ht="13.5" thickBot="1" x14ac:dyDescent="0.35">
      <c r="B2179" s="9"/>
      <c r="C2179" s="14" t="s">
        <v>24</v>
      </c>
      <c r="D2179" s="15" t="s">
        <v>25</v>
      </c>
      <c r="E2179" s="16" t="s">
        <v>9</v>
      </c>
      <c r="F2179" s="17" t="s">
        <v>23</v>
      </c>
      <c r="G2179" s="19">
        <f>G2178</f>
        <v>0</v>
      </c>
      <c r="H2179" s="13">
        <f t="shared" si="33"/>
        <v>0</v>
      </c>
    </row>
    <row r="2180" spans="2:8" ht="13.5" thickBot="1" x14ac:dyDescent="0.35">
      <c r="B2180" s="9"/>
      <c r="C2180" s="14" t="s">
        <v>1108</v>
      </c>
      <c r="D2180" s="14" t="s">
        <v>302</v>
      </c>
      <c r="E2180" s="16" t="s">
        <v>9</v>
      </c>
      <c r="F2180" s="17" t="s">
        <v>23</v>
      </c>
      <c r="G2180" s="17">
        <f>G2178</f>
        <v>0</v>
      </c>
      <c r="H2180" s="13">
        <f t="shared" ref="H2180:H2243" si="34">SUM(G2180:G2180)</f>
        <v>0</v>
      </c>
    </row>
    <row r="2181" spans="2:8" ht="13.5" thickBot="1" x14ac:dyDescent="0.35">
      <c r="B2181" s="9"/>
      <c r="C2181" s="14" t="s">
        <v>1122</v>
      </c>
      <c r="D2181" s="14"/>
      <c r="E2181" s="18" t="s">
        <v>3</v>
      </c>
      <c r="F2181" s="17" t="s">
        <v>23</v>
      </c>
      <c r="G2181" s="17">
        <f>G2178</f>
        <v>0</v>
      </c>
      <c r="H2181" s="13">
        <f t="shared" si="34"/>
        <v>0</v>
      </c>
    </row>
    <row r="2182" spans="2:8" ht="13.5" thickBot="1" x14ac:dyDescent="0.35">
      <c r="B2182" s="9"/>
      <c r="C2182" s="14" t="s">
        <v>406</v>
      </c>
      <c r="D2182" s="14" t="s">
        <v>302</v>
      </c>
      <c r="E2182" s="16" t="s">
        <v>9</v>
      </c>
      <c r="F2182" s="17" t="s">
        <v>23</v>
      </c>
      <c r="G2182" s="17">
        <f>G2178</f>
        <v>0</v>
      </c>
      <c r="H2182" s="13">
        <f t="shared" si="34"/>
        <v>0</v>
      </c>
    </row>
    <row r="2183" spans="2:8" ht="13.5" thickBot="1" x14ac:dyDescent="0.35">
      <c r="B2183" s="9">
        <f>COUNT($B$4:B2182)+1</f>
        <v>672</v>
      </c>
      <c r="C2183" s="10" t="s">
        <v>1123</v>
      </c>
      <c r="D2183" s="10"/>
      <c r="E2183" s="11" t="s">
        <v>3</v>
      </c>
      <c r="F2183" s="12" t="s">
        <v>23</v>
      </c>
      <c r="G2183" s="12"/>
      <c r="H2183" s="13">
        <f t="shared" si="34"/>
        <v>0</v>
      </c>
    </row>
    <row r="2184" spans="2:8" ht="13.5" thickBot="1" x14ac:dyDescent="0.35">
      <c r="B2184" s="9"/>
      <c r="C2184" s="14" t="s">
        <v>24</v>
      </c>
      <c r="D2184" s="15" t="s">
        <v>25</v>
      </c>
      <c r="E2184" s="16" t="s">
        <v>9</v>
      </c>
      <c r="F2184" s="17" t="s">
        <v>23</v>
      </c>
      <c r="G2184" s="19">
        <f>G2183</f>
        <v>0</v>
      </c>
      <c r="H2184" s="13">
        <f t="shared" si="34"/>
        <v>0</v>
      </c>
    </row>
    <row r="2185" spans="2:8" ht="13.5" thickBot="1" x14ac:dyDescent="0.35">
      <c r="B2185" s="9"/>
      <c r="C2185" s="14" t="s">
        <v>1108</v>
      </c>
      <c r="D2185" s="14" t="s">
        <v>302</v>
      </c>
      <c r="E2185" s="16" t="s">
        <v>9</v>
      </c>
      <c r="F2185" s="17" t="s">
        <v>23</v>
      </c>
      <c r="G2185" s="17">
        <f>G2183</f>
        <v>0</v>
      </c>
      <c r="H2185" s="13">
        <f t="shared" si="34"/>
        <v>0</v>
      </c>
    </row>
    <row r="2186" spans="2:8" ht="13.5" thickBot="1" x14ac:dyDescent="0.35">
      <c r="B2186" s="9"/>
      <c r="C2186" s="14" t="s">
        <v>1124</v>
      </c>
      <c r="D2186" s="14"/>
      <c r="E2186" s="18" t="s">
        <v>3</v>
      </c>
      <c r="F2186" s="17" t="s">
        <v>23</v>
      </c>
      <c r="G2186" s="17">
        <f>G2183</f>
        <v>0</v>
      </c>
      <c r="H2186" s="13">
        <f t="shared" si="34"/>
        <v>0</v>
      </c>
    </row>
    <row r="2187" spans="2:8" ht="13.5" thickBot="1" x14ac:dyDescent="0.35">
      <c r="B2187" s="9"/>
      <c r="C2187" s="14" t="s">
        <v>406</v>
      </c>
      <c r="D2187" s="14" t="s">
        <v>302</v>
      </c>
      <c r="E2187" s="16" t="s">
        <v>9</v>
      </c>
      <c r="F2187" s="17" t="s">
        <v>23</v>
      </c>
      <c r="G2187" s="17">
        <f>G2183</f>
        <v>0</v>
      </c>
      <c r="H2187" s="13">
        <f t="shared" si="34"/>
        <v>0</v>
      </c>
    </row>
    <row r="2188" spans="2:8" ht="13.5" thickBot="1" x14ac:dyDescent="0.35">
      <c r="B2188" s="9">
        <f>COUNT($B$4:B2187)+1</f>
        <v>673</v>
      </c>
      <c r="C2188" s="10" t="s">
        <v>1125</v>
      </c>
      <c r="D2188" s="10"/>
      <c r="E2188" s="11" t="s">
        <v>3</v>
      </c>
      <c r="F2188" s="12" t="s">
        <v>23</v>
      </c>
      <c r="G2188" s="12"/>
      <c r="H2188" s="13">
        <f t="shared" si="34"/>
        <v>0</v>
      </c>
    </row>
    <row r="2189" spans="2:8" ht="13.5" thickBot="1" x14ac:dyDescent="0.35">
      <c r="B2189" s="9"/>
      <c r="C2189" s="14" t="s">
        <v>235</v>
      </c>
      <c r="D2189" s="15" t="s">
        <v>25</v>
      </c>
      <c r="E2189" s="16" t="s">
        <v>9</v>
      </c>
      <c r="F2189" s="17" t="s">
        <v>23</v>
      </c>
      <c r="G2189" s="19">
        <f>G2188</f>
        <v>0</v>
      </c>
      <c r="H2189" s="13">
        <f t="shared" si="34"/>
        <v>0</v>
      </c>
    </row>
    <row r="2190" spans="2:8" ht="13.5" thickBot="1" x14ac:dyDescent="0.35">
      <c r="B2190" s="9"/>
      <c r="C2190" s="14" t="s">
        <v>1108</v>
      </c>
      <c r="D2190" s="14" t="s">
        <v>302</v>
      </c>
      <c r="E2190" s="16" t="s">
        <v>9</v>
      </c>
      <c r="F2190" s="17" t="s">
        <v>23</v>
      </c>
      <c r="G2190" s="17">
        <f>G2188</f>
        <v>0</v>
      </c>
      <c r="H2190" s="13">
        <f t="shared" si="34"/>
        <v>0</v>
      </c>
    </row>
    <row r="2191" spans="2:8" ht="13.5" thickBot="1" x14ac:dyDescent="0.35">
      <c r="B2191" s="9"/>
      <c r="C2191" s="14" t="s">
        <v>405</v>
      </c>
      <c r="D2191" s="14" t="s">
        <v>302</v>
      </c>
      <c r="E2191" s="18" t="s">
        <v>3</v>
      </c>
      <c r="F2191" s="17" t="s">
        <v>23</v>
      </c>
      <c r="G2191" s="17">
        <f>G2188</f>
        <v>0</v>
      </c>
      <c r="H2191" s="13">
        <f t="shared" si="34"/>
        <v>0</v>
      </c>
    </row>
    <row r="2192" spans="2:8" ht="13.5" thickBot="1" x14ac:dyDescent="0.35">
      <c r="B2192" s="9"/>
      <c r="C2192" s="14" t="s">
        <v>406</v>
      </c>
      <c r="D2192" s="14" t="s">
        <v>302</v>
      </c>
      <c r="E2192" s="16" t="s">
        <v>9</v>
      </c>
      <c r="F2192" s="17" t="s">
        <v>23</v>
      </c>
      <c r="G2192" s="17">
        <f>G2188</f>
        <v>0</v>
      </c>
      <c r="H2192" s="13">
        <f t="shared" si="34"/>
        <v>0</v>
      </c>
    </row>
    <row r="2193" spans="2:8" ht="13.5" thickBot="1" x14ac:dyDescent="0.35">
      <c r="B2193" s="9">
        <f>COUNT($B$4:B2192)+1</f>
        <v>674</v>
      </c>
      <c r="C2193" s="10" t="s">
        <v>1126</v>
      </c>
      <c r="D2193" s="10"/>
      <c r="E2193" s="11" t="s">
        <v>3</v>
      </c>
      <c r="F2193" s="12" t="s">
        <v>23</v>
      </c>
      <c r="G2193" s="12"/>
      <c r="H2193" s="13">
        <f t="shared" si="34"/>
        <v>0</v>
      </c>
    </row>
    <row r="2194" spans="2:8" ht="13.5" thickBot="1" x14ac:dyDescent="0.35">
      <c r="B2194" s="9"/>
      <c r="C2194" s="14" t="s">
        <v>24</v>
      </c>
      <c r="D2194" s="15" t="s">
        <v>25</v>
      </c>
      <c r="E2194" s="16" t="s">
        <v>9</v>
      </c>
      <c r="F2194" s="17" t="s">
        <v>23</v>
      </c>
      <c r="G2194" s="19">
        <f>G2193</f>
        <v>0</v>
      </c>
      <c r="H2194" s="13">
        <f t="shared" si="34"/>
        <v>0</v>
      </c>
    </row>
    <row r="2195" spans="2:8" ht="13.5" thickBot="1" x14ac:dyDescent="0.35">
      <c r="B2195" s="9"/>
      <c r="C2195" s="14" t="s">
        <v>1127</v>
      </c>
      <c r="D2195" s="14"/>
      <c r="E2195" s="18" t="s">
        <v>3</v>
      </c>
      <c r="F2195" s="17" t="s">
        <v>23</v>
      </c>
      <c r="G2195" s="17">
        <f>G2193</f>
        <v>0</v>
      </c>
      <c r="H2195" s="13">
        <f t="shared" si="34"/>
        <v>0</v>
      </c>
    </row>
    <row r="2196" spans="2:8" ht="13.5" thickBot="1" x14ac:dyDescent="0.35">
      <c r="B2196" s="9">
        <f>COUNT($B$4:B2195)+1</f>
        <v>675</v>
      </c>
      <c r="C2196" s="10" t="s">
        <v>1128</v>
      </c>
      <c r="D2196" s="10"/>
      <c r="E2196" s="11" t="s">
        <v>3</v>
      </c>
      <c r="F2196" s="12" t="s">
        <v>23</v>
      </c>
      <c r="G2196" s="12"/>
      <c r="H2196" s="13">
        <f t="shared" si="34"/>
        <v>0</v>
      </c>
    </row>
    <row r="2197" spans="2:8" ht="13.5" thickBot="1" x14ac:dyDescent="0.35">
      <c r="B2197" s="9"/>
      <c r="C2197" s="14" t="s">
        <v>24</v>
      </c>
      <c r="D2197" s="15" t="s">
        <v>25</v>
      </c>
      <c r="E2197" s="16" t="s">
        <v>9</v>
      </c>
      <c r="F2197" s="17" t="s">
        <v>23</v>
      </c>
      <c r="G2197" s="19">
        <f>G2196</f>
        <v>0</v>
      </c>
      <c r="H2197" s="13">
        <f t="shared" si="34"/>
        <v>0</v>
      </c>
    </row>
    <row r="2198" spans="2:8" ht="13.5" thickBot="1" x14ac:dyDescent="0.35">
      <c r="B2198" s="9"/>
      <c r="C2198" s="14" t="s">
        <v>1129</v>
      </c>
      <c r="D2198" s="14"/>
      <c r="E2198" s="18" t="s">
        <v>3</v>
      </c>
      <c r="F2198" s="17" t="s">
        <v>23</v>
      </c>
      <c r="G2198" s="17">
        <f>G2196</f>
        <v>0</v>
      </c>
      <c r="H2198" s="13">
        <f t="shared" si="34"/>
        <v>0</v>
      </c>
    </row>
    <row r="2199" spans="2:8" ht="13.5" thickBot="1" x14ac:dyDescent="0.35">
      <c r="B2199" s="9">
        <f>COUNT($B$4:B2198)+1</f>
        <v>676</v>
      </c>
      <c r="C2199" s="10" t="s">
        <v>1130</v>
      </c>
      <c r="D2199" s="10"/>
      <c r="E2199" s="11" t="s">
        <v>3</v>
      </c>
      <c r="F2199" s="12" t="s">
        <v>23</v>
      </c>
      <c r="G2199" s="12"/>
      <c r="H2199" s="13">
        <f t="shared" si="34"/>
        <v>0</v>
      </c>
    </row>
    <row r="2200" spans="2:8" ht="13.5" thickBot="1" x14ac:dyDescent="0.35">
      <c r="B2200" s="9"/>
      <c r="C2200" s="14" t="s">
        <v>24</v>
      </c>
      <c r="D2200" s="15" t="s">
        <v>25</v>
      </c>
      <c r="E2200" s="16" t="s">
        <v>9</v>
      </c>
      <c r="F2200" s="17" t="s">
        <v>23</v>
      </c>
      <c r="G2200" s="19">
        <f>G2199</f>
        <v>0</v>
      </c>
      <c r="H2200" s="13">
        <f t="shared" si="34"/>
        <v>0</v>
      </c>
    </row>
    <row r="2201" spans="2:8" ht="13.5" thickBot="1" x14ac:dyDescent="0.35">
      <c r="B2201" s="9"/>
      <c r="C2201" s="14" t="s">
        <v>889</v>
      </c>
      <c r="D2201" s="14" t="s">
        <v>302</v>
      </c>
      <c r="E2201" s="16" t="s">
        <v>9</v>
      </c>
      <c r="F2201" s="17" t="s">
        <v>23</v>
      </c>
      <c r="G2201" s="17">
        <f>G2199</f>
        <v>0</v>
      </c>
      <c r="H2201" s="13">
        <f t="shared" si="34"/>
        <v>0</v>
      </c>
    </row>
    <row r="2202" spans="2:8" ht="13.5" thickBot="1" x14ac:dyDescent="0.35">
      <c r="B2202" s="9"/>
      <c r="C2202" s="14" t="s">
        <v>413</v>
      </c>
      <c r="D2202" s="14" t="s">
        <v>302</v>
      </c>
      <c r="E2202" s="18" t="s">
        <v>3</v>
      </c>
      <c r="F2202" s="17" t="s">
        <v>23</v>
      </c>
      <c r="G2202" s="17">
        <f>G2199</f>
        <v>0</v>
      </c>
      <c r="H2202" s="13">
        <f t="shared" si="34"/>
        <v>0</v>
      </c>
    </row>
    <row r="2203" spans="2:8" ht="13.5" thickBot="1" x14ac:dyDescent="0.35">
      <c r="B2203" s="9"/>
      <c r="C2203" s="14" t="s">
        <v>406</v>
      </c>
      <c r="D2203" s="14" t="s">
        <v>302</v>
      </c>
      <c r="E2203" s="16" t="s">
        <v>9</v>
      </c>
      <c r="F2203" s="17" t="s">
        <v>23</v>
      </c>
      <c r="G2203" s="17">
        <f>G2199</f>
        <v>0</v>
      </c>
      <c r="H2203" s="13">
        <f t="shared" si="34"/>
        <v>0</v>
      </c>
    </row>
    <row r="2204" spans="2:8" ht="13.5" thickBot="1" x14ac:dyDescent="0.35">
      <c r="B2204" s="9">
        <f>COUNT($B$4:B2203)+1</f>
        <v>677</v>
      </c>
      <c r="C2204" s="10" t="s">
        <v>1131</v>
      </c>
      <c r="D2204" s="10"/>
      <c r="E2204" s="11" t="s">
        <v>3</v>
      </c>
      <c r="F2204" s="12" t="s">
        <v>23</v>
      </c>
      <c r="G2204" s="12"/>
      <c r="H2204" s="13">
        <f t="shared" si="34"/>
        <v>0</v>
      </c>
    </row>
    <row r="2205" spans="2:8" ht="13.5" thickBot="1" x14ac:dyDescent="0.35">
      <c r="B2205" s="9"/>
      <c r="C2205" s="14" t="s">
        <v>24</v>
      </c>
      <c r="D2205" s="15" t="s">
        <v>25</v>
      </c>
      <c r="E2205" s="16" t="s">
        <v>9</v>
      </c>
      <c r="F2205" s="17" t="s">
        <v>23</v>
      </c>
      <c r="G2205" s="19">
        <f>G2204</f>
        <v>0</v>
      </c>
      <c r="H2205" s="13">
        <f t="shared" si="34"/>
        <v>0</v>
      </c>
    </row>
    <row r="2206" spans="2:8" ht="13.5" thickBot="1" x14ac:dyDescent="0.35">
      <c r="B2206" s="9"/>
      <c r="C2206" s="14" t="s">
        <v>1108</v>
      </c>
      <c r="D2206" s="14" t="s">
        <v>302</v>
      </c>
      <c r="E2206" s="16" t="s">
        <v>9</v>
      </c>
      <c r="F2206" s="17" t="s">
        <v>23</v>
      </c>
      <c r="G2206" s="17">
        <f>G2204</f>
        <v>0</v>
      </c>
      <c r="H2206" s="13">
        <f t="shared" si="34"/>
        <v>0</v>
      </c>
    </row>
    <row r="2207" spans="2:8" ht="13.5" thickBot="1" x14ac:dyDescent="0.35">
      <c r="B2207" s="9"/>
      <c r="C2207" s="14" t="s">
        <v>406</v>
      </c>
      <c r="D2207" s="14" t="s">
        <v>302</v>
      </c>
      <c r="E2207" s="16" t="s">
        <v>9</v>
      </c>
      <c r="F2207" s="17" t="s">
        <v>23</v>
      </c>
      <c r="G2207" s="17">
        <f>G2204</f>
        <v>0</v>
      </c>
      <c r="H2207" s="13">
        <f t="shared" si="34"/>
        <v>0</v>
      </c>
    </row>
    <row r="2208" spans="2:8" ht="13.5" thickBot="1" x14ac:dyDescent="0.35">
      <c r="B2208" s="9">
        <f>COUNT($B$4:B2207)+1</f>
        <v>678</v>
      </c>
      <c r="C2208" s="10" t="s">
        <v>1132</v>
      </c>
      <c r="D2208" s="10"/>
      <c r="E2208" s="11" t="s">
        <v>3</v>
      </c>
      <c r="F2208" s="12" t="s">
        <v>23</v>
      </c>
      <c r="G2208" s="12"/>
      <c r="H2208" s="13">
        <f t="shared" si="34"/>
        <v>0</v>
      </c>
    </row>
    <row r="2209" spans="2:8" ht="13.5" thickBot="1" x14ac:dyDescent="0.35">
      <c r="B2209" s="9"/>
      <c r="C2209" s="14" t="s">
        <v>24</v>
      </c>
      <c r="D2209" s="15" t="s">
        <v>25</v>
      </c>
      <c r="E2209" s="16" t="s">
        <v>9</v>
      </c>
      <c r="F2209" s="17" t="s">
        <v>23</v>
      </c>
      <c r="G2209" s="17">
        <f>G2208</f>
        <v>0</v>
      </c>
      <c r="H2209" s="13">
        <f t="shared" si="34"/>
        <v>0</v>
      </c>
    </row>
    <row r="2210" spans="2:8" ht="13.5" thickBot="1" x14ac:dyDescent="0.35">
      <c r="B2210" s="9"/>
      <c r="C2210" s="14" t="s">
        <v>1108</v>
      </c>
      <c r="D2210" s="14" t="s">
        <v>302</v>
      </c>
      <c r="E2210" s="16" t="s">
        <v>9</v>
      </c>
      <c r="F2210" s="17" t="s">
        <v>23</v>
      </c>
      <c r="G2210" s="17">
        <f>G2208</f>
        <v>0</v>
      </c>
      <c r="H2210" s="13">
        <f t="shared" si="34"/>
        <v>0</v>
      </c>
    </row>
    <row r="2211" spans="2:8" ht="13.5" thickBot="1" x14ac:dyDescent="0.35">
      <c r="B2211" s="9"/>
      <c r="C2211" s="14" t="s">
        <v>406</v>
      </c>
      <c r="D2211" s="14" t="s">
        <v>302</v>
      </c>
      <c r="E2211" s="16" t="s">
        <v>9</v>
      </c>
      <c r="F2211" s="17" t="s">
        <v>23</v>
      </c>
      <c r="G2211" s="17">
        <f>G2208</f>
        <v>0</v>
      </c>
      <c r="H2211" s="13">
        <f t="shared" si="34"/>
        <v>0</v>
      </c>
    </row>
    <row r="2212" spans="2:8" ht="13.5" thickBot="1" x14ac:dyDescent="0.35">
      <c r="B2212" s="9">
        <f>COUNT($B$4:B2211)+1</f>
        <v>679</v>
      </c>
      <c r="C2212" s="10" t="s">
        <v>1133</v>
      </c>
      <c r="D2212" s="10"/>
      <c r="E2212" s="11" t="s">
        <v>3</v>
      </c>
      <c r="F2212" s="12" t="s">
        <v>23</v>
      </c>
      <c r="G2212" s="12"/>
      <c r="H2212" s="13">
        <f t="shared" si="34"/>
        <v>0</v>
      </c>
    </row>
    <row r="2213" spans="2:8" ht="13.5" thickBot="1" x14ac:dyDescent="0.35">
      <c r="B2213" s="9"/>
      <c r="C2213" s="14" t="s">
        <v>234</v>
      </c>
      <c r="D2213" s="15" t="s">
        <v>25</v>
      </c>
      <c r="E2213" s="16" t="s">
        <v>9</v>
      </c>
      <c r="F2213" s="17" t="s">
        <v>23</v>
      </c>
      <c r="G2213" s="19">
        <f>G2212</f>
        <v>0</v>
      </c>
      <c r="H2213" s="13">
        <f t="shared" si="34"/>
        <v>0</v>
      </c>
    </row>
    <row r="2214" spans="2:8" ht="13.5" thickBot="1" x14ac:dyDescent="0.35">
      <c r="B2214" s="9"/>
      <c r="C2214" s="14" t="s">
        <v>1134</v>
      </c>
      <c r="D2214" s="14" t="s">
        <v>302</v>
      </c>
      <c r="E2214" s="16" t="s">
        <v>9</v>
      </c>
      <c r="F2214" s="17" t="s">
        <v>23</v>
      </c>
      <c r="G2214" s="17">
        <f>G2212</f>
        <v>0</v>
      </c>
      <c r="H2214" s="13">
        <f t="shared" si="34"/>
        <v>0</v>
      </c>
    </row>
    <row r="2215" spans="2:8" ht="13.5" thickBot="1" x14ac:dyDescent="0.35">
      <c r="B2215" s="9"/>
      <c r="C2215" s="14" t="s">
        <v>1135</v>
      </c>
      <c r="D2215" s="14" t="s">
        <v>302</v>
      </c>
      <c r="E2215" s="16" t="s">
        <v>9</v>
      </c>
      <c r="F2215" s="17" t="s">
        <v>23</v>
      </c>
      <c r="G2215" s="17">
        <f>G2212</f>
        <v>0</v>
      </c>
      <c r="H2215" s="13">
        <f t="shared" si="34"/>
        <v>0</v>
      </c>
    </row>
    <row r="2216" spans="2:8" ht="13.5" thickBot="1" x14ac:dyDescent="0.35">
      <c r="B2216" s="9">
        <f>COUNT($B$4:B2215)+1</f>
        <v>680</v>
      </c>
      <c r="C2216" s="10" t="s">
        <v>1136</v>
      </c>
      <c r="D2216" s="10"/>
      <c r="E2216" s="11" t="s">
        <v>3</v>
      </c>
      <c r="F2216" s="12" t="s">
        <v>23</v>
      </c>
      <c r="G2216" s="12"/>
      <c r="H2216" s="13">
        <f t="shared" si="34"/>
        <v>0</v>
      </c>
    </row>
    <row r="2217" spans="2:8" ht="13.5" thickBot="1" x14ac:dyDescent="0.35">
      <c r="B2217" s="9"/>
      <c r="C2217" s="14" t="s">
        <v>24</v>
      </c>
      <c r="D2217" s="15" t="s">
        <v>25</v>
      </c>
      <c r="E2217" s="16" t="s">
        <v>9</v>
      </c>
      <c r="F2217" s="17" t="s">
        <v>23</v>
      </c>
      <c r="G2217" s="19">
        <f>G2216</f>
        <v>0</v>
      </c>
      <c r="H2217" s="13">
        <f t="shared" si="34"/>
        <v>0</v>
      </c>
    </row>
    <row r="2218" spans="2:8" ht="13.5" thickBot="1" x14ac:dyDescent="0.35">
      <c r="B2218" s="9"/>
      <c r="C2218" s="14" t="s">
        <v>1137</v>
      </c>
      <c r="D2218" s="14" t="s">
        <v>302</v>
      </c>
      <c r="E2218" s="16" t="s">
        <v>9</v>
      </c>
      <c r="F2218" s="17" t="s">
        <v>23</v>
      </c>
      <c r="G2218" s="17">
        <f>G2216</f>
        <v>0</v>
      </c>
      <c r="H2218" s="13">
        <f t="shared" si="34"/>
        <v>0</v>
      </c>
    </row>
    <row r="2219" spans="2:8" ht="13.5" thickBot="1" x14ac:dyDescent="0.35">
      <c r="B2219" s="9"/>
      <c r="C2219" s="14" t="s">
        <v>406</v>
      </c>
      <c r="D2219" s="14" t="s">
        <v>302</v>
      </c>
      <c r="E2219" s="16" t="s">
        <v>9</v>
      </c>
      <c r="F2219" s="17" t="s">
        <v>23</v>
      </c>
      <c r="G2219" s="17">
        <f>G2216</f>
        <v>0</v>
      </c>
      <c r="H2219" s="13">
        <f t="shared" si="34"/>
        <v>0</v>
      </c>
    </row>
    <row r="2220" spans="2:8" ht="13.5" thickBot="1" x14ac:dyDescent="0.35">
      <c r="B2220" s="9">
        <f>COUNT($B$4:B2219)+1</f>
        <v>681</v>
      </c>
      <c r="C2220" s="10" t="s">
        <v>1138</v>
      </c>
      <c r="D2220" s="10"/>
      <c r="E2220" s="11" t="s">
        <v>3</v>
      </c>
      <c r="F2220" s="12" t="s">
        <v>23</v>
      </c>
      <c r="G2220" s="12"/>
      <c r="H2220" s="13">
        <f t="shared" si="34"/>
        <v>0</v>
      </c>
    </row>
    <row r="2221" spans="2:8" ht="13.5" thickBot="1" x14ac:dyDescent="0.35">
      <c r="B2221" s="9"/>
      <c r="C2221" s="14" t="s">
        <v>1139</v>
      </c>
      <c r="D2221" s="14" t="s">
        <v>1140</v>
      </c>
      <c r="E2221" s="18" t="s">
        <v>3</v>
      </c>
      <c r="F2221" s="17" t="s">
        <v>23</v>
      </c>
      <c r="G2221" s="17">
        <f>G2220</f>
        <v>0</v>
      </c>
      <c r="H2221" s="13">
        <f t="shared" si="34"/>
        <v>0</v>
      </c>
    </row>
    <row r="2222" spans="2:8" ht="13.5" thickBot="1" x14ac:dyDescent="0.35">
      <c r="B2222" s="9">
        <f>COUNT($B$4:B2221)+1</f>
        <v>682</v>
      </c>
      <c r="C2222" s="10" t="s">
        <v>10</v>
      </c>
      <c r="D2222" s="10" t="s">
        <v>1141</v>
      </c>
      <c r="E2222" s="11" t="s">
        <v>4</v>
      </c>
      <c r="F2222" s="12" t="s">
        <v>23</v>
      </c>
      <c r="G2222" s="12"/>
      <c r="H2222" s="13">
        <f t="shared" si="34"/>
        <v>0</v>
      </c>
    </row>
    <row r="2223" spans="2:8" ht="13.5" thickBot="1" x14ac:dyDescent="0.35">
      <c r="B2223" s="21"/>
      <c r="C2223" s="14" t="s">
        <v>24</v>
      </c>
      <c r="D2223" s="15" t="s">
        <v>25</v>
      </c>
      <c r="E2223" s="16" t="s">
        <v>9</v>
      </c>
      <c r="F2223" s="17" t="s">
        <v>23</v>
      </c>
      <c r="G2223" s="17">
        <f>1*G2222</f>
        <v>0</v>
      </c>
      <c r="H2223" s="13">
        <f t="shared" si="34"/>
        <v>0</v>
      </c>
    </row>
    <row r="2224" spans="2:8" ht="13.5" thickBot="1" x14ac:dyDescent="0.35">
      <c r="B2224" s="21"/>
      <c r="C2224" s="14" t="s">
        <v>1142</v>
      </c>
      <c r="D2224" s="15"/>
      <c r="E2224" s="18" t="s">
        <v>4</v>
      </c>
      <c r="F2224" s="17" t="s">
        <v>23</v>
      </c>
      <c r="G2224" s="17">
        <f>1*G2222</f>
        <v>0</v>
      </c>
      <c r="H2224" s="13">
        <f t="shared" si="34"/>
        <v>0</v>
      </c>
    </row>
    <row r="2225" spans="2:8" ht="13.5" thickBot="1" x14ac:dyDescent="0.35">
      <c r="B2225" s="9">
        <f>COUNT($B$4:B2222)+1</f>
        <v>683</v>
      </c>
      <c r="C2225" s="10" t="s">
        <v>1143</v>
      </c>
      <c r="D2225" s="10"/>
      <c r="E2225" s="11" t="s">
        <v>8</v>
      </c>
      <c r="F2225" s="12" t="s">
        <v>23</v>
      </c>
      <c r="G2225" s="12"/>
      <c r="H2225" s="13">
        <f t="shared" si="34"/>
        <v>0</v>
      </c>
    </row>
    <row r="2226" spans="2:8" ht="13.5" thickBot="1" x14ac:dyDescent="0.35">
      <c r="B2226" s="9"/>
      <c r="C2226" s="14" t="s">
        <v>1144</v>
      </c>
      <c r="D2226" s="14" t="s">
        <v>27</v>
      </c>
      <c r="E2226" s="18" t="s">
        <v>8</v>
      </c>
      <c r="F2226" s="17" t="s">
        <v>23</v>
      </c>
      <c r="G2226" s="17">
        <f>G2225</f>
        <v>0</v>
      </c>
      <c r="H2226" s="13">
        <f t="shared" si="34"/>
        <v>0</v>
      </c>
    </row>
    <row r="2227" spans="2:8" ht="13.5" thickBot="1" x14ac:dyDescent="0.35">
      <c r="B2227" s="9"/>
      <c r="C2227" s="14" t="s">
        <v>1145</v>
      </c>
      <c r="D2227" s="14" t="s">
        <v>29</v>
      </c>
      <c r="E2227" s="18" t="s">
        <v>8</v>
      </c>
      <c r="F2227" s="17" t="s">
        <v>23</v>
      </c>
      <c r="G2227" s="17">
        <f>G2225</f>
        <v>0</v>
      </c>
      <c r="H2227" s="13">
        <f t="shared" si="34"/>
        <v>0</v>
      </c>
    </row>
    <row r="2228" spans="2:8" ht="13.5" thickBot="1" x14ac:dyDescent="0.35">
      <c r="B2228" s="9"/>
      <c r="C2228" s="14" t="s">
        <v>1146</v>
      </c>
      <c r="D2228" s="14"/>
      <c r="E2228" s="18" t="s">
        <v>8</v>
      </c>
      <c r="F2228" s="17" t="s">
        <v>23</v>
      </c>
      <c r="G2228" s="17">
        <f>G2225</f>
        <v>0</v>
      </c>
      <c r="H2228" s="13">
        <f t="shared" si="34"/>
        <v>0</v>
      </c>
    </row>
    <row r="2229" spans="2:8" ht="13.5" thickBot="1" x14ac:dyDescent="0.35">
      <c r="B2229" s="9"/>
      <c r="C2229" s="14" t="s">
        <v>1147</v>
      </c>
      <c r="D2229" s="14" t="s">
        <v>29</v>
      </c>
      <c r="E2229" s="18" t="s">
        <v>8</v>
      </c>
      <c r="F2229" s="17" t="s">
        <v>23</v>
      </c>
      <c r="G2229" s="17">
        <f>G2225</f>
        <v>0</v>
      </c>
      <c r="H2229" s="13">
        <f t="shared" si="34"/>
        <v>0</v>
      </c>
    </row>
    <row r="2230" spans="2:8" ht="13.5" thickBot="1" x14ac:dyDescent="0.35">
      <c r="B2230" s="9">
        <f>COUNT($B$4:B2229)+1</f>
        <v>684</v>
      </c>
      <c r="C2230" s="10" t="s">
        <v>1148</v>
      </c>
      <c r="D2230" s="10"/>
      <c r="E2230" s="11" t="s">
        <v>8</v>
      </c>
      <c r="F2230" s="12" t="s">
        <v>23</v>
      </c>
      <c r="G2230" s="12"/>
      <c r="H2230" s="13">
        <f t="shared" si="34"/>
        <v>0</v>
      </c>
    </row>
    <row r="2231" spans="2:8" ht="13.5" thickBot="1" x14ac:dyDescent="0.35">
      <c r="B2231" s="9"/>
      <c r="C2231" s="14" t="s">
        <v>1144</v>
      </c>
      <c r="D2231" s="14" t="s">
        <v>27</v>
      </c>
      <c r="E2231" s="18" t="s">
        <v>8</v>
      </c>
      <c r="F2231" s="17" t="s">
        <v>23</v>
      </c>
      <c r="G2231" s="17">
        <f>G2230*2</f>
        <v>0</v>
      </c>
      <c r="H2231" s="13">
        <f t="shared" si="34"/>
        <v>0</v>
      </c>
    </row>
    <row r="2232" spans="2:8" ht="13.5" thickBot="1" x14ac:dyDescent="0.35">
      <c r="B2232" s="9"/>
      <c r="C2232" s="14" t="s">
        <v>1145</v>
      </c>
      <c r="D2232" s="14" t="s">
        <v>29</v>
      </c>
      <c r="E2232" s="18" t="s">
        <v>8</v>
      </c>
      <c r="F2232" s="17" t="s">
        <v>23</v>
      </c>
      <c r="G2232" s="17">
        <f>G2230*2</f>
        <v>0</v>
      </c>
      <c r="H2232" s="13">
        <f t="shared" si="34"/>
        <v>0</v>
      </c>
    </row>
    <row r="2233" spans="2:8" ht="13.5" thickBot="1" x14ac:dyDescent="0.35">
      <c r="B2233" s="9"/>
      <c r="C2233" s="14" t="s">
        <v>1146</v>
      </c>
      <c r="D2233" s="14"/>
      <c r="E2233" s="18" t="s">
        <v>8</v>
      </c>
      <c r="F2233" s="17" t="s">
        <v>23</v>
      </c>
      <c r="G2233" s="17">
        <f>G2230</f>
        <v>0</v>
      </c>
      <c r="H2233" s="13">
        <f t="shared" si="34"/>
        <v>0</v>
      </c>
    </row>
    <row r="2234" spans="2:8" ht="13.5" thickBot="1" x14ac:dyDescent="0.35">
      <c r="B2234" s="9"/>
      <c r="C2234" s="14" t="s">
        <v>1147</v>
      </c>
      <c r="D2234" s="14" t="s">
        <v>29</v>
      </c>
      <c r="E2234" s="18" t="s">
        <v>8</v>
      </c>
      <c r="F2234" s="17" t="s">
        <v>23</v>
      </c>
      <c r="G2234" s="17">
        <f>G2230*2</f>
        <v>0</v>
      </c>
      <c r="H2234" s="13">
        <f t="shared" si="34"/>
        <v>0</v>
      </c>
    </row>
    <row r="2235" spans="2:8" ht="13.5" thickBot="1" x14ac:dyDescent="0.35">
      <c r="B2235" s="9">
        <f>COUNT($B$4:B2234)+1</f>
        <v>685</v>
      </c>
      <c r="C2235" s="10" t="s">
        <v>1149</v>
      </c>
      <c r="D2235" s="10"/>
      <c r="E2235" s="11" t="s">
        <v>8</v>
      </c>
      <c r="F2235" s="12" t="s">
        <v>23</v>
      </c>
      <c r="G2235" s="12"/>
      <c r="H2235" s="13">
        <f t="shared" si="34"/>
        <v>0</v>
      </c>
    </row>
    <row r="2236" spans="2:8" ht="13.5" thickBot="1" x14ac:dyDescent="0.35">
      <c r="B2236" s="9"/>
      <c r="C2236" s="14" t="s">
        <v>1144</v>
      </c>
      <c r="D2236" s="14" t="s">
        <v>27</v>
      </c>
      <c r="E2236" s="18" t="s">
        <v>8</v>
      </c>
      <c r="F2236" s="17" t="s">
        <v>23</v>
      </c>
      <c r="G2236" s="17">
        <f>G2235*3</f>
        <v>0</v>
      </c>
      <c r="H2236" s="13">
        <f t="shared" si="34"/>
        <v>0</v>
      </c>
    </row>
    <row r="2237" spans="2:8" ht="13.5" thickBot="1" x14ac:dyDescent="0.35">
      <c r="B2237" s="9"/>
      <c r="C2237" s="14" t="s">
        <v>1145</v>
      </c>
      <c r="D2237" s="14" t="s">
        <v>29</v>
      </c>
      <c r="E2237" s="18" t="s">
        <v>8</v>
      </c>
      <c r="F2237" s="17" t="s">
        <v>23</v>
      </c>
      <c r="G2237" s="17">
        <f>G2235*3</f>
        <v>0</v>
      </c>
      <c r="H2237" s="13">
        <f t="shared" si="34"/>
        <v>0</v>
      </c>
    </row>
    <row r="2238" spans="2:8" ht="13.5" thickBot="1" x14ac:dyDescent="0.35">
      <c r="B2238" s="9"/>
      <c r="C2238" s="14" t="s">
        <v>1146</v>
      </c>
      <c r="D2238" s="14"/>
      <c r="E2238" s="18" t="s">
        <v>8</v>
      </c>
      <c r="F2238" s="17" t="s">
        <v>23</v>
      </c>
      <c r="G2238" s="17">
        <f>G2235</f>
        <v>0</v>
      </c>
      <c r="H2238" s="13">
        <f t="shared" si="34"/>
        <v>0</v>
      </c>
    </row>
    <row r="2239" spans="2:8" ht="13.5" thickBot="1" x14ac:dyDescent="0.35">
      <c r="B2239" s="9"/>
      <c r="C2239" s="14" t="s">
        <v>1147</v>
      </c>
      <c r="D2239" s="14" t="s">
        <v>29</v>
      </c>
      <c r="E2239" s="18" t="s">
        <v>8</v>
      </c>
      <c r="F2239" s="17" t="s">
        <v>23</v>
      </c>
      <c r="G2239" s="17">
        <f>G2235*3</f>
        <v>0</v>
      </c>
      <c r="H2239" s="13">
        <f t="shared" si="34"/>
        <v>0</v>
      </c>
    </row>
    <row r="2240" spans="2:8" ht="13.5" thickBot="1" x14ac:dyDescent="0.35">
      <c r="B2240" s="9">
        <f>COUNT($B$4:B2239)+1</f>
        <v>686</v>
      </c>
      <c r="C2240" s="10" t="s">
        <v>1150</v>
      </c>
      <c r="D2240" s="10"/>
      <c r="E2240" s="11" t="s">
        <v>8</v>
      </c>
      <c r="F2240" s="12" t="s">
        <v>23</v>
      </c>
      <c r="G2240" s="12"/>
      <c r="H2240" s="13">
        <f t="shared" si="34"/>
        <v>0</v>
      </c>
    </row>
    <row r="2241" spans="2:8" ht="13.5" thickBot="1" x14ac:dyDescent="0.35">
      <c r="B2241" s="9"/>
      <c r="C2241" s="14" t="s">
        <v>1144</v>
      </c>
      <c r="D2241" s="14" t="s">
        <v>27</v>
      </c>
      <c r="E2241" s="18" t="s">
        <v>8</v>
      </c>
      <c r="F2241" s="17" t="s">
        <v>23</v>
      </c>
      <c r="G2241" s="17">
        <f>G2240*4</f>
        <v>0</v>
      </c>
      <c r="H2241" s="13">
        <f t="shared" si="34"/>
        <v>0</v>
      </c>
    </row>
    <row r="2242" spans="2:8" ht="13.5" thickBot="1" x14ac:dyDescent="0.35">
      <c r="B2242" s="9"/>
      <c r="C2242" s="14" t="s">
        <v>1145</v>
      </c>
      <c r="D2242" s="14" t="s">
        <v>29</v>
      </c>
      <c r="E2242" s="18" t="s">
        <v>8</v>
      </c>
      <c r="F2242" s="17" t="s">
        <v>23</v>
      </c>
      <c r="G2242" s="17">
        <f>G2240*4</f>
        <v>0</v>
      </c>
      <c r="H2242" s="13">
        <f t="shared" si="34"/>
        <v>0</v>
      </c>
    </row>
    <row r="2243" spans="2:8" ht="13.5" thickBot="1" x14ac:dyDescent="0.35">
      <c r="B2243" s="9"/>
      <c r="C2243" s="14" t="s">
        <v>1146</v>
      </c>
      <c r="D2243" s="14"/>
      <c r="E2243" s="18" t="s">
        <v>8</v>
      </c>
      <c r="F2243" s="17" t="s">
        <v>23</v>
      </c>
      <c r="G2243" s="17">
        <f>G2240</f>
        <v>0</v>
      </c>
      <c r="H2243" s="13">
        <f t="shared" si="34"/>
        <v>0</v>
      </c>
    </row>
    <row r="2244" spans="2:8" ht="13.5" thickBot="1" x14ac:dyDescent="0.35">
      <c r="B2244" s="9"/>
      <c r="C2244" s="14" t="s">
        <v>1147</v>
      </c>
      <c r="D2244" s="14" t="s">
        <v>29</v>
      </c>
      <c r="E2244" s="18" t="s">
        <v>8</v>
      </c>
      <c r="F2244" s="17" t="s">
        <v>23</v>
      </c>
      <c r="G2244" s="17">
        <f>G2240*4</f>
        <v>0</v>
      </c>
      <c r="H2244" s="13">
        <f t="shared" ref="H2244:H2307" si="35">SUM(G2244:G2244)</f>
        <v>0</v>
      </c>
    </row>
    <row r="2245" spans="2:8" ht="13.5" thickBot="1" x14ac:dyDescent="0.35">
      <c r="B2245" s="9">
        <f>COUNT($B$4:B2244)+1</f>
        <v>687</v>
      </c>
      <c r="C2245" s="10" t="s">
        <v>1151</v>
      </c>
      <c r="D2245" s="10"/>
      <c r="E2245" s="11" t="s">
        <v>8</v>
      </c>
      <c r="F2245" s="12" t="s">
        <v>23</v>
      </c>
      <c r="G2245" s="12"/>
      <c r="H2245" s="13">
        <f t="shared" si="35"/>
        <v>0</v>
      </c>
    </row>
    <row r="2246" spans="2:8" ht="13.5" thickBot="1" x14ac:dyDescent="0.35">
      <c r="B2246" s="9"/>
      <c r="C2246" s="14" t="s">
        <v>1078</v>
      </c>
      <c r="D2246" s="14" t="s">
        <v>27</v>
      </c>
      <c r="E2246" s="18" t="s">
        <v>8</v>
      </c>
      <c r="F2246" s="17" t="s">
        <v>23</v>
      </c>
      <c r="G2246" s="17">
        <f>G2245</f>
        <v>0</v>
      </c>
      <c r="H2246" s="13">
        <f t="shared" si="35"/>
        <v>0</v>
      </c>
    </row>
    <row r="2247" spans="2:8" ht="13.5" thickBot="1" x14ac:dyDescent="0.35">
      <c r="B2247" s="9"/>
      <c r="C2247" s="14" t="s">
        <v>1152</v>
      </c>
      <c r="D2247" s="14" t="s">
        <v>29</v>
      </c>
      <c r="E2247" s="18" t="s">
        <v>8</v>
      </c>
      <c r="F2247" s="17" t="s">
        <v>23</v>
      </c>
      <c r="G2247" s="17">
        <f>G2245</f>
        <v>0</v>
      </c>
      <c r="H2247" s="13">
        <f t="shared" si="35"/>
        <v>0</v>
      </c>
    </row>
    <row r="2248" spans="2:8" ht="13.5" thickBot="1" x14ac:dyDescent="0.35">
      <c r="B2248" s="9"/>
      <c r="C2248" s="14" t="s">
        <v>1146</v>
      </c>
      <c r="D2248" s="14"/>
      <c r="E2248" s="18" t="s">
        <v>8</v>
      </c>
      <c r="F2248" s="17" t="s">
        <v>23</v>
      </c>
      <c r="G2248" s="17">
        <f>G2245</f>
        <v>0</v>
      </c>
      <c r="H2248" s="13">
        <f t="shared" si="35"/>
        <v>0</v>
      </c>
    </row>
    <row r="2249" spans="2:8" ht="13.5" thickBot="1" x14ac:dyDescent="0.35">
      <c r="B2249" s="9"/>
      <c r="C2249" s="14" t="s">
        <v>1079</v>
      </c>
      <c r="D2249" s="14" t="s">
        <v>29</v>
      </c>
      <c r="E2249" s="18" t="s">
        <v>8</v>
      </c>
      <c r="F2249" s="17" t="s">
        <v>23</v>
      </c>
      <c r="G2249" s="17">
        <f>G2245</f>
        <v>0</v>
      </c>
      <c r="H2249" s="13">
        <f t="shared" si="35"/>
        <v>0</v>
      </c>
    </row>
    <row r="2250" spans="2:8" ht="13.5" thickBot="1" x14ac:dyDescent="0.35">
      <c r="B2250" s="9">
        <f>COUNT($B$4:B2249)+1</f>
        <v>688</v>
      </c>
      <c r="C2250" s="10" t="s">
        <v>1153</v>
      </c>
      <c r="D2250" s="10"/>
      <c r="E2250" s="11" t="s">
        <v>8</v>
      </c>
      <c r="F2250" s="12" t="s">
        <v>23</v>
      </c>
      <c r="G2250" s="12"/>
      <c r="H2250" s="13">
        <f t="shared" si="35"/>
        <v>0</v>
      </c>
    </row>
    <row r="2251" spans="2:8" ht="13.5" thickBot="1" x14ac:dyDescent="0.35">
      <c r="B2251" s="9"/>
      <c r="C2251" s="14" t="s">
        <v>1078</v>
      </c>
      <c r="D2251" s="14" t="s">
        <v>27</v>
      </c>
      <c r="E2251" s="18" t="s">
        <v>8</v>
      </c>
      <c r="F2251" s="17" t="s">
        <v>23</v>
      </c>
      <c r="G2251" s="17">
        <f>G2250*2</f>
        <v>0</v>
      </c>
      <c r="H2251" s="13">
        <f t="shared" si="35"/>
        <v>0</v>
      </c>
    </row>
    <row r="2252" spans="2:8" ht="13.5" thickBot="1" x14ac:dyDescent="0.35">
      <c r="B2252" s="9"/>
      <c r="C2252" s="14" t="s">
        <v>1152</v>
      </c>
      <c r="D2252" s="14" t="s">
        <v>29</v>
      </c>
      <c r="E2252" s="18" t="s">
        <v>8</v>
      </c>
      <c r="F2252" s="17" t="s">
        <v>23</v>
      </c>
      <c r="G2252" s="17">
        <f>G2250*2</f>
        <v>0</v>
      </c>
      <c r="H2252" s="13">
        <f t="shared" si="35"/>
        <v>0</v>
      </c>
    </row>
    <row r="2253" spans="2:8" ht="13.5" thickBot="1" x14ac:dyDescent="0.35">
      <c r="B2253" s="9"/>
      <c r="C2253" s="14" t="s">
        <v>1146</v>
      </c>
      <c r="D2253" s="14"/>
      <c r="E2253" s="18" t="s">
        <v>8</v>
      </c>
      <c r="F2253" s="17" t="s">
        <v>23</v>
      </c>
      <c r="G2253" s="17">
        <f>G2250</f>
        <v>0</v>
      </c>
      <c r="H2253" s="13">
        <f t="shared" si="35"/>
        <v>0</v>
      </c>
    </row>
    <row r="2254" spans="2:8" ht="13.5" thickBot="1" x14ac:dyDescent="0.35">
      <c r="B2254" s="9"/>
      <c r="C2254" s="14" t="s">
        <v>1079</v>
      </c>
      <c r="D2254" s="14" t="s">
        <v>29</v>
      </c>
      <c r="E2254" s="18" t="s">
        <v>8</v>
      </c>
      <c r="F2254" s="17" t="s">
        <v>23</v>
      </c>
      <c r="G2254" s="17">
        <f>G2250*2</f>
        <v>0</v>
      </c>
      <c r="H2254" s="13">
        <f t="shared" si="35"/>
        <v>0</v>
      </c>
    </row>
    <row r="2255" spans="2:8" ht="13.5" thickBot="1" x14ac:dyDescent="0.35">
      <c r="B2255" s="9">
        <f>COUNT($B$4:B2254)+1</f>
        <v>689</v>
      </c>
      <c r="C2255" s="10" t="s">
        <v>1154</v>
      </c>
      <c r="D2255" s="10"/>
      <c r="E2255" s="11" t="s">
        <v>8</v>
      </c>
      <c r="F2255" s="12" t="s">
        <v>23</v>
      </c>
      <c r="G2255" s="12"/>
      <c r="H2255" s="13">
        <f t="shared" si="35"/>
        <v>0</v>
      </c>
    </row>
    <row r="2256" spans="2:8" ht="13.5" thickBot="1" x14ac:dyDescent="0.35">
      <c r="B2256" s="9"/>
      <c r="C2256" s="14" t="s">
        <v>1078</v>
      </c>
      <c r="D2256" s="14" t="s">
        <v>27</v>
      </c>
      <c r="E2256" s="18" t="s">
        <v>8</v>
      </c>
      <c r="F2256" s="17" t="s">
        <v>23</v>
      </c>
      <c r="G2256" s="17">
        <f>G2255*3</f>
        <v>0</v>
      </c>
      <c r="H2256" s="13">
        <f t="shared" si="35"/>
        <v>0</v>
      </c>
    </row>
    <row r="2257" spans="2:8" ht="13.5" thickBot="1" x14ac:dyDescent="0.35">
      <c r="B2257" s="9"/>
      <c r="C2257" s="14" t="s">
        <v>1152</v>
      </c>
      <c r="D2257" s="14" t="s">
        <v>29</v>
      </c>
      <c r="E2257" s="18" t="s">
        <v>8</v>
      </c>
      <c r="F2257" s="17" t="s">
        <v>23</v>
      </c>
      <c r="G2257" s="17">
        <f>G2255*3</f>
        <v>0</v>
      </c>
      <c r="H2257" s="13">
        <f t="shared" si="35"/>
        <v>0</v>
      </c>
    </row>
    <row r="2258" spans="2:8" ht="13.5" thickBot="1" x14ac:dyDescent="0.35">
      <c r="B2258" s="9"/>
      <c r="C2258" s="14" t="s">
        <v>1146</v>
      </c>
      <c r="D2258" s="14"/>
      <c r="E2258" s="18" t="s">
        <v>8</v>
      </c>
      <c r="F2258" s="17" t="s">
        <v>23</v>
      </c>
      <c r="G2258" s="17">
        <f>G2255</f>
        <v>0</v>
      </c>
      <c r="H2258" s="13">
        <f t="shared" si="35"/>
        <v>0</v>
      </c>
    </row>
    <row r="2259" spans="2:8" ht="13.5" thickBot="1" x14ac:dyDescent="0.35">
      <c r="B2259" s="9"/>
      <c r="C2259" s="14" t="s">
        <v>1079</v>
      </c>
      <c r="D2259" s="14" t="s">
        <v>29</v>
      </c>
      <c r="E2259" s="18" t="s">
        <v>8</v>
      </c>
      <c r="F2259" s="17" t="s">
        <v>23</v>
      </c>
      <c r="G2259" s="17">
        <f>G2255*3</f>
        <v>0</v>
      </c>
      <c r="H2259" s="13">
        <f t="shared" si="35"/>
        <v>0</v>
      </c>
    </row>
    <row r="2260" spans="2:8" ht="13.5" thickBot="1" x14ac:dyDescent="0.35">
      <c r="B2260" s="9">
        <f>COUNT($B$4:B2259)+1</f>
        <v>690</v>
      </c>
      <c r="C2260" s="10" t="s">
        <v>1155</v>
      </c>
      <c r="D2260" s="10"/>
      <c r="E2260" s="11" t="s">
        <v>8</v>
      </c>
      <c r="F2260" s="12" t="s">
        <v>23</v>
      </c>
      <c r="G2260" s="12"/>
      <c r="H2260" s="13">
        <f t="shared" si="35"/>
        <v>0</v>
      </c>
    </row>
    <row r="2261" spans="2:8" ht="13.5" thickBot="1" x14ac:dyDescent="0.35">
      <c r="B2261" s="9"/>
      <c r="C2261" s="14" t="s">
        <v>1078</v>
      </c>
      <c r="D2261" s="14" t="s">
        <v>27</v>
      </c>
      <c r="E2261" s="18" t="s">
        <v>8</v>
      </c>
      <c r="F2261" s="17" t="s">
        <v>23</v>
      </c>
      <c r="G2261" s="17">
        <f>G2260*4</f>
        <v>0</v>
      </c>
      <c r="H2261" s="13">
        <f t="shared" si="35"/>
        <v>0</v>
      </c>
    </row>
    <row r="2262" spans="2:8" ht="13.5" thickBot="1" x14ac:dyDescent="0.35">
      <c r="B2262" s="9"/>
      <c r="C2262" s="14" t="s">
        <v>1152</v>
      </c>
      <c r="D2262" s="14" t="s">
        <v>29</v>
      </c>
      <c r="E2262" s="18" t="s">
        <v>8</v>
      </c>
      <c r="F2262" s="17" t="s">
        <v>23</v>
      </c>
      <c r="G2262" s="17">
        <f>G2260*4</f>
        <v>0</v>
      </c>
      <c r="H2262" s="13">
        <f t="shared" si="35"/>
        <v>0</v>
      </c>
    </row>
    <row r="2263" spans="2:8" ht="13.5" thickBot="1" x14ac:dyDescent="0.35">
      <c r="B2263" s="9"/>
      <c r="C2263" s="14" t="s">
        <v>1146</v>
      </c>
      <c r="D2263" s="14"/>
      <c r="E2263" s="18" t="s">
        <v>8</v>
      </c>
      <c r="F2263" s="17" t="s">
        <v>23</v>
      </c>
      <c r="G2263" s="17">
        <f>G2260</f>
        <v>0</v>
      </c>
      <c r="H2263" s="13">
        <f t="shared" si="35"/>
        <v>0</v>
      </c>
    </row>
    <row r="2264" spans="2:8" ht="13.5" thickBot="1" x14ac:dyDescent="0.35">
      <c r="B2264" s="9"/>
      <c r="C2264" s="14" t="s">
        <v>1079</v>
      </c>
      <c r="D2264" s="14" t="s">
        <v>29</v>
      </c>
      <c r="E2264" s="18" t="s">
        <v>8</v>
      </c>
      <c r="F2264" s="17" t="s">
        <v>23</v>
      </c>
      <c r="G2264" s="17">
        <f>G2260*4</f>
        <v>0</v>
      </c>
      <c r="H2264" s="13">
        <f t="shared" si="35"/>
        <v>0</v>
      </c>
    </row>
    <row r="2265" spans="2:8" ht="13.5" thickBot="1" x14ac:dyDescent="0.35">
      <c r="B2265" s="9">
        <f>COUNT($B$4:B2264)+1</f>
        <v>691</v>
      </c>
      <c r="C2265" s="10" t="s">
        <v>1156</v>
      </c>
      <c r="D2265" s="10"/>
      <c r="E2265" s="11" t="s">
        <v>8</v>
      </c>
      <c r="F2265" s="12" t="s">
        <v>23</v>
      </c>
      <c r="G2265" s="12"/>
      <c r="H2265" s="13">
        <f t="shared" si="35"/>
        <v>0</v>
      </c>
    </row>
    <row r="2266" spans="2:8" ht="13.5" thickBot="1" x14ac:dyDescent="0.35">
      <c r="B2266" s="9"/>
      <c r="C2266" s="14" t="s">
        <v>1082</v>
      </c>
      <c r="D2266" s="14" t="s">
        <v>27</v>
      </c>
      <c r="E2266" s="18" t="s">
        <v>8</v>
      </c>
      <c r="F2266" s="17" t="s">
        <v>23</v>
      </c>
      <c r="G2266" s="17">
        <f>G2265*3</f>
        <v>0</v>
      </c>
      <c r="H2266" s="13">
        <f t="shared" si="35"/>
        <v>0</v>
      </c>
    </row>
    <row r="2267" spans="2:8" ht="13.5" thickBot="1" x14ac:dyDescent="0.35">
      <c r="B2267" s="9"/>
      <c r="C2267" s="14" t="s">
        <v>1157</v>
      </c>
      <c r="D2267" s="14"/>
      <c r="E2267" s="18" t="s">
        <v>8</v>
      </c>
      <c r="F2267" s="17" t="s">
        <v>23</v>
      </c>
      <c r="G2267" s="17">
        <f>G2265</f>
        <v>0</v>
      </c>
      <c r="H2267" s="13">
        <f t="shared" si="35"/>
        <v>0</v>
      </c>
    </row>
    <row r="2268" spans="2:8" ht="13.5" thickBot="1" x14ac:dyDescent="0.35">
      <c r="B2268" s="9"/>
      <c r="C2268" s="14" t="s">
        <v>1158</v>
      </c>
      <c r="D2268" s="14" t="s">
        <v>29</v>
      </c>
      <c r="E2268" s="18" t="s">
        <v>8</v>
      </c>
      <c r="F2268" s="17" t="s">
        <v>23</v>
      </c>
      <c r="G2268" s="17">
        <f>G2265*3</f>
        <v>0</v>
      </c>
      <c r="H2268" s="13">
        <f t="shared" si="35"/>
        <v>0</v>
      </c>
    </row>
    <row r="2269" spans="2:8" ht="13.5" thickBot="1" x14ac:dyDescent="0.35">
      <c r="B2269" s="9"/>
      <c r="C2269" s="14" t="s">
        <v>1079</v>
      </c>
      <c r="D2269" s="14" t="s">
        <v>29</v>
      </c>
      <c r="E2269" s="18" t="s">
        <v>8</v>
      </c>
      <c r="F2269" s="17" t="s">
        <v>23</v>
      </c>
      <c r="G2269" s="17">
        <f>G2265*3</f>
        <v>0</v>
      </c>
      <c r="H2269" s="13">
        <f t="shared" si="35"/>
        <v>0</v>
      </c>
    </row>
    <row r="2270" spans="2:8" ht="13.5" thickBot="1" x14ac:dyDescent="0.35">
      <c r="B2270" s="9">
        <f>COUNT($B$4:B2269)+1</f>
        <v>692</v>
      </c>
      <c r="C2270" s="10" t="s">
        <v>1159</v>
      </c>
      <c r="D2270" s="10"/>
      <c r="E2270" s="11" t="s">
        <v>8</v>
      </c>
      <c r="F2270" s="12" t="s">
        <v>23</v>
      </c>
      <c r="G2270" s="12"/>
      <c r="H2270" s="13">
        <f t="shared" si="35"/>
        <v>0</v>
      </c>
    </row>
    <row r="2271" spans="2:8" ht="13.5" thickBot="1" x14ac:dyDescent="0.35">
      <c r="B2271" s="9"/>
      <c r="C2271" s="14" t="s">
        <v>1144</v>
      </c>
      <c r="D2271" s="14" t="s">
        <v>27</v>
      </c>
      <c r="E2271" s="18" t="s">
        <v>8</v>
      </c>
      <c r="F2271" s="17" t="s">
        <v>23</v>
      </c>
      <c r="G2271" s="17">
        <f>G2270</f>
        <v>0</v>
      </c>
      <c r="H2271" s="13">
        <f t="shared" si="35"/>
        <v>0</v>
      </c>
    </row>
    <row r="2272" spans="2:8" ht="13.5" thickBot="1" x14ac:dyDescent="0.35">
      <c r="B2272" s="9"/>
      <c r="C2272" s="14" t="s">
        <v>1145</v>
      </c>
      <c r="D2272" s="14" t="s">
        <v>29</v>
      </c>
      <c r="E2272" s="18" t="s">
        <v>8</v>
      </c>
      <c r="F2272" s="17" t="s">
        <v>23</v>
      </c>
      <c r="G2272" s="17">
        <f>G2270</f>
        <v>0</v>
      </c>
      <c r="H2272" s="13">
        <f t="shared" si="35"/>
        <v>0</v>
      </c>
    </row>
    <row r="2273" spans="2:8" ht="13.5" thickBot="1" x14ac:dyDescent="0.35">
      <c r="B2273" s="9"/>
      <c r="C2273" s="14" t="s">
        <v>1160</v>
      </c>
      <c r="D2273" s="14"/>
      <c r="E2273" s="18" t="s">
        <v>8</v>
      </c>
      <c r="F2273" s="17" t="s">
        <v>23</v>
      </c>
      <c r="G2273" s="17">
        <f>G2270</f>
        <v>0</v>
      </c>
      <c r="H2273" s="13">
        <f t="shared" si="35"/>
        <v>0</v>
      </c>
    </row>
    <row r="2274" spans="2:8" ht="13.5" thickBot="1" x14ac:dyDescent="0.35">
      <c r="B2274" s="9"/>
      <c r="C2274" s="14" t="s">
        <v>1147</v>
      </c>
      <c r="D2274" s="14" t="s">
        <v>29</v>
      </c>
      <c r="E2274" s="18" t="s">
        <v>8</v>
      </c>
      <c r="F2274" s="17" t="s">
        <v>23</v>
      </c>
      <c r="G2274" s="17">
        <f>G2270</f>
        <v>0</v>
      </c>
      <c r="H2274" s="13">
        <f t="shared" si="35"/>
        <v>0</v>
      </c>
    </row>
    <row r="2275" spans="2:8" ht="13.5" thickBot="1" x14ac:dyDescent="0.35">
      <c r="B2275" s="9">
        <f>COUNT($B$4:B2274)+1</f>
        <v>693</v>
      </c>
      <c r="C2275" s="10" t="s">
        <v>1161</v>
      </c>
      <c r="D2275" s="10"/>
      <c r="E2275" s="11" t="s">
        <v>8</v>
      </c>
      <c r="F2275" s="12" t="s">
        <v>23</v>
      </c>
      <c r="G2275" s="12"/>
      <c r="H2275" s="13">
        <f t="shared" si="35"/>
        <v>0</v>
      </c>
    </row>
    <row r="2276" spans="2:8" ht="13.5" thickBot="1" x14ac:dyDescent="0.35">
      <c r="B2276" s="9"/>
      <c r="C2276" s="14" t="s">
        <v>1144</v>
      </c>
      <c r="D2276" s="14" t="s">
        <v>27</v>
      </c>
      <c r="E2276" s="18" t="s">
        <v>8</v>
      </c>
      <c r="F2276" s="17" t="s">
        <v>23</v>
      </c>
      <c r="G2276" s="17">
        <f>G2275*2</f>
        <v>0</v>
      </c>
      <c r="H2276" s="13">
        <f t="shared" si="35"/>
        <v>0</v>
      </c>
    </row>
    <row r="2277" spans="2:8" ht="13.5" thickBot="1" x14ac:dyDescent="0.35">
      <c r="B2277" s="9"/>
      <c r="C2277" s="14" t="s">
        <v>1145</v>
      </c>
      <c r="D2277" s="14" t="s">
        <v>29</v>
      </c>
      <c r="E2277" s="18" t="s">
        <v>8</v>
      </c>
      <c r="F2277" s="17" t="s">
        <v>23</v>
      </c>
      <c r="G2277" s="17">
        <f>G2275*2</f>
        <v>0</v>
      </c>
      <c r="H2277" s="13">
        <f t="shared" si="35"/>
        <v>0</v>
      </c>
    </row>
    <row r="2278" spans="2:8" ht="13.5" thickBot="1" x14ac:dyDescent="0.35">
      <c r="B2278" s="9"/>
      <c r="C2278" s="14" t="s">
        <v>1160</v>
      </c>
      <c r="D2278" s="14"/>
      <c r="E2278" s="18" t="s">
        <v>8</v>
      </c>
      <c r="F2278" s="17" t="s">
        <v>23</v>
      </c>
      <c r="G2278" s="17">
        <f>G2275</f>
        <v>0</v>
      </c>
      <c r="H2278" s="13">
        <f t="shared" si="35"/>
        <v>0</v>
      </c>
    </row>
    <row r="2279" spans="2:8" ht="13.5" thickBot="1" x14ac:dyDescent="0.35">
      <c r="B2279" s="9"/>
      <c r="C2279" s="14" t="s">
        <v>1147</v>
      </c>
      <c r="D2279" s="14" t="s">
        <v>29</v>
      </c>
      <c r="E2279" s="18" t="s">
        <v>8</v>
      </c>
      <c r="F2279" s="17" t="s">
        <v>23</v>
      </c>
      <c r="G2279" s="17">
        <f>G2275*2</f>
        <v>0</v>
      </c>
      <c r="H2279" s="13">
        <f t="shared" si="35"/>
        <v>0</v>
      </c>
    </row>
    <row r="2280" spans="2:8" ht="13.5" thickBot="1" x14ac:dyDescent="0.35">
      <c r="B2280" s="9">
        <f>COUNT($B$4:B2279)+1</f>
        <v>694</v>
      </c>
      <c r="C2280" s="10" t="s">
        <v>1162</v>
      </c>
      <c r="D2280" s="10"/>
      <c r="E2280" s="11" t="s">
        <v>8</v>
      </c>
      <c r="F2280" s="12" t="s">
        <v>23</v>
      </c>
      <c r="G2280" s="12"/>
      <c r="H2280" s="13">
        <f t="shared" si="35"/>
        <v>0</v>
      </c>
    </row>
    <row r="2281" spans="2:8" ht="13.5" thickBot="1" x14ac:dyDescent="0.35">
      <c r="B2281" s="9"/>
      <c r="C2281" s="14" t="s">
        <v>1144</v>
      </c>
      <c r="D2281" s="14" t="s">
        <v>27</v>
      </c>
      <c r="E2281" s="18" t="s">
        <v>8</v>
      </c>
      <c r="F2281" s="17" t="s">
        <v>23</v>
      </c>
      <c r="G2281" s="17">
        <f>G2280*3</f>
        <v>0</v>
      </c>
      <c r="H2281" s="13">
        <f t="shared" si="35"/>
        <v>0</v>
      </c>
    </row>
    <row r="2282" spans="2:8" ht="13.5" thickBot="1" x14ac:dyDescent="0.35">
      <c r="B2282" s="9"/>
      <c r="C2282" s="14" t="s">
        <v>1145</v>
      </c>
      <c r="D2282" s="14" t="s">
        <v>29</v>
      </c>
      <c r="E2282" s="18" t="s">
        <v>8</v>
      </c>
      <c r="F2282" s="17" t="s">
        <v>23</v>
      </c>
      <c r="G2282" s="17">
        <f>G2280*3</f>
        <v>0</v>
      </c>
      <c r="H2282" s="13">
        <f t="shared" si="35"/>
        <v>0</v>
      </c>
    </row>
    <row r="2283" spans="2:8" ht="13.5" thickBot="1" x14ac:dyDescent="0.35">
      <c r="B2283" s="9"/>
      <c r="C2283" s="14" t="s">
        <v>1160</v>
      </c>
      <c r="D2283" s="14"/>
      <c r="E2283" s="18" t="s">
        <v>8</v>
      </c>
      <c r="F2283" s="17" t="s">
        <v>23</v>
      </c>
      <c r="G2283" s="17">
        <f>G2280</f>
        <v>0</v>
      </c>
      <c r="H2283" s="13">
        <f t="shared" si="35"/>
        <v>0</v>
      </c>
    </row>
    <row r="2284" spans="2:8" ht="13.5" thickBot="1" x14ac:dyDescent="0.35">
      <c r="B2284" s="9"/>
      <c r="C2284" s="14" t="s">
        <v>1147</v>
      </c>
      <c r="D2284" s="14" t="s">
        <v>29</v>
      </c>
      <c r="E2284" s="18" t="s">
        <v>8</v>
      </c>
      <c r="F2284" s="17" t="s">
        <v>23</v>
      </c>
      <c r="G2284" s="17">
        <f>G2280*3</f>
        <v>0</v>
      </c>
      <c r="H2284" s="13">
        <f t="shared" si="35"/>
        <v>0</v>
      </c>
    </row>
    <row r="2285" spans="2:8" ht="13.5" thickBot="1" x14ac:dyDescent="0.35">
      <c r="B2285" s="9">
        <f>COUNT($B$4:B2284)+1</f>
        <v>695</v>
      </c>
      <c r="C2285" s="10" t="s">
        <v>1163</v>
      </c>
      <c r="D2285" s="10"/>
      <c r="E2285" s="11" t="s">
        <v>8</v>
      </c>
      <c r="F2285" s="12" t="s">
        <v>23</v>
      </c>
      <c r="G2285" s="12">
        <v>0</v>
      </c>
      <c r="H2285" s="13">
        <f t="shared" si="35"/>
        <v>0</v>
      </c>
    </row>
    <row r="2286" spans="2:8" ht="13.5" thickBot="1" x14ac:dyDescent="0.35">
      <c r="B2286" s="9"/>
      <c r="C2286" s="14" t="s">
        <v>1144</v>
      </c>
      <c r="D2286" s="14" t="s">
        <v>27</v>
      </c>
      <c r="E2286" s="18" t="s">
        <v>8</v>
      </c>
      <c r="F2286" s="17" t="s">
        <v>23</v>
      </c>
      <c r="G2286" s="17">
        <v>0</v>
      </c>
      <c r="H2286" s="13">
        <f t="shared" si="35"/>
        <v>0</v>
      </c>
    </row>
    <row r="2287" spans="2:8" ht="13.5" thickBot="1" x14ac:dyDescent="0.35">
      <c r="B2287" s="9"/>
      <c r="C2287" s="14" t="s">
        <v>1145</v>
      </c>
      <c r="D2287" s="14" t="s">
        <v>29</v>
      </c>
      <c r="E2287" s="18" t="s">
        <v>8</v>
      </c>
      <c r="F2287" s="17" t="s">
        <v>23</v>
      </c>
      <c r="G2287" s="17">
        <f>G2285*4</f>
        <v>0</v>
      </c>
      <c r="H2287" s="13">
        <f t="shared" si="35"/>
        <v>0</v>
      </c>
    </row>
    <row r="2288" spans="2:8" ht="13.5" thickBot="1" x14ac:dyDescent="0.35">
      <c r="B2288" s="9"/>
      <c r="C2288" s="14" t="s">
        <v>1160</v>
      </c>
      <c r="D2288" s="14"/>
      <c r="E2288" s="18" t="s">
        <v>8</v>
      </c>
      <c r="F2288" s="17" t="s">
        <v>23</v>
      </c>
      <c r="G2288" s="17">
        <f>G2285</f>
        <v>0</v>
      </c>
      <c r="H2288" s="13">
        <f t="shared" si="35"/>
        <v>0</v>
      </c>
    </row>
    <row r="2289" spans="2:8" ht="13.5" thickBot="1" x14ac:dyDescent="0.35">
      <c r="B2289" s="9"/>
      <c r="C2289" s="14" t="s">
        <v>1147</v>
      </c>
      <c r="D2289" s="14" t="s">
        <v>29</v>
      </c>
      <c r="E2289" s="18" t="s">
        <v>8</v>
      </c>
      <c r="F2289" s="17" t="s">
        <v>23</v>
      </c>
      <c r="G2289" s="17">
        <v>0</v>
      </c>
      <c r="H2289" s="13">
        <f t="shared" si="35"/>
        <v>0</v>
      </c>
    </row>
    <row r="2290" spans="2:8" ht="13.5" thickBot="1" x14ac:dyDescent="0.35">
      <c r="B2290" s="9">
        <f>COUNT($B$4:B2289)+1</f>
        <v>696</v>
      </c>
      <c r="C2290" s="10" t="s">
        <v>1661</v>
      </c>
      <c r="D2290" s="10"/>
      <c r="E2290" s="11" t="s">
        <v>8</v>
      </c>
      <c r="F2290" s="12" t="s">
        <v>23</v>
      </c>
      <c r="G2290" s="12">
        <v>0</v>
      </c>
      <c r="H2290" s="13">
        <f t="shared" si="35"/>
        <v>0</v>
      </c>
    </row>
    <row r="2291" spans="2:8" ht="13.5" thickBot="1" x14ac:dyDescent="0.35">
      <c r="B2291" s="9"/>
      <c r="C2291" s="14" t="s">
        <v>1078</v>
      </c>
      <c r="D2291" s="14" t="s">
        <v>27</v>
      </c>
      <c r="E2291" s="18" t="s">
        <v>8</v>
      </c>
      <c r="F2291" s="17" t="s">
        <v>23</v>
      </c>
      <c r="G2291" s="17">
        <v>0</v>
      </c>
      <c r="H2291" s="13">
        <f t="shared" si="35"/>
        <v>0</v>
      </c>
    </row>
    <row r="2292" spans="2:8" ht="13.5" thickBot="1" x14ac:dyDescent="0.35">
      <c r="B2292" s="9"/>
      <c r="C2292" s="14" t="s">
        <v>1662</v>
      </c>
      <c r="D2292" s="14" t="s">
        <v>29</v>
      </c>
      <c r="E2292" s="18" t="s">
        <v>8</v>
      </c>
      <c r="F2292" s="17" t="s">
        <v>23</v>
      </c>
      <c r="G2292" s="17">
        <f>G2290</f>
        <v>0</v>
      </c>
      <c r="H2292" s="13">
        <f t="shared" si="35"/>
        <v>0</v>
      </c>
    </row>
    <row r="2293" spans="2:8" ht="13.5" thickBot="1" x14ac:dyDescent="0.35">
      <c r="B2293" s="9"/>
      <c r="C2293" s="14" t="s">
        <v>1160</v>
      </c>
      <c r="D2293" s="14"/>
      <c r="E2293" s="18" t="s">
        <v>8</v>
      </c>
      <c r="F2293" s="17" t="s">
        <v>23</v>
      </c>
      <c r="G2293" s="17">
        <f>G2290</f>
        <v>0</v>
      </c>
      <c r="H2293" s="13">
        <f t="shared" si="35"/>
        <v>0</v>
      </c>
    </row>
    <row r="2294" spans="2:8" ht="13.5" thickBot="1" x14ac:dyDescent="0.35">
      <c r="B2294" s="9"/>
      <c r="C2294" s="14" t="s">
        <v>1079</v>
      </c>
      <c r="D2294" s="14" t="s">
        <v>29</v>
      </c>
      <c r="E2294" s="18" t="s">
        <v>8</v>
      </c>
      <c r="F2294" s="17" t="s">
        <v>23</v>
      </c>
      <c r="G2294" s="17">
        <v>0</v>
      </c>
      <c r="H2294" s="13">
        <f t="shared" si="35"/>
        <v>0</v>
      </c>
    </row>
    <row r="2295" spans="2:8" ht="13.5" thickBot="1" x14ac:dyDescent="0.35">
      <c r="B2295" s="9">
        <f>COUNT($B$4:B2294)+1</f>
        <v>697</v>
      </c>
      <c r="C2295" s="10" t="s">
        <v>1663</v>
      </c>
      <c r="D2295" s="10"/>
      <c r="E2295" s="11" t="s">
        <v>8</v>
      </c>
      <c r="F2295" s="12" t="s">
        <v>23</v>
      </c>
      <c r="G2295" s="12">
        <v>0</v>
      </c>
      <c r="H2295" s="13">
        <f t="shared" si="35"/>
        <v>0</v>
      </c>
    </row>
    <row r="2296" spans="2:8" ht="13.5" thickBot="1" x14ac:dyDescent="0.35">
      <c r="B2296" s="9"/>
      <c r="C2296" s="14" t="s">
        <v>1078</v>
      </c>
      <c r="D2296" s="14" t="s">
        <v>27</v>
      </c>
      <c r="E2296" s="18" t="s">
        <v>8</v>
      </c>
      <c r="F2296" s="17" t="s">
        <v>23</v>
      </c>
      <c r="G2296" s="17">
        <v>0</v>
      </c>
      <c r="H2296" s="13">
        <f t="shared" si="35"/>
        <v>0</v>
      </c>
    </row>
    <row r="2297" spans="2:8" ht="13.5" thickBot="1" x14ac:dyDescent="0.35">
      <c r="B2297" s="9"/>
      <c r="C2297" s="14" t="s">
        <v>1664</v>
      </c>
      <c r="D2297" s="14" t="s">
        <v>29</v>
      </c>
      <c r="E2297" s="18" t="s">
        <v>8</v>
      </c>
      <c r="F2297" s="17" t="s">
        <v>23</v>
      </c>
      <c r="G2297" s="17">
        <f>G2295*2</f>
        <v>0</v>
      </c>
      <c r="H2297" s="13">
        <f t="shared" si="35"/>
        <v>0</v>
      </c>
    </row>
    <row r="2298" spans="2:8" ht="13.5" thickBot="1" x14ac:dyDescent="0.35">
      <c r="B2298" s="9"/>
      <c r="C2298" s="14" t="s">
        <v>1160</v>
      </c>
      <c r="D2298" s="14"/>
      <c r="E2298" s="18" t="s">
        <v>8</v>
      </c>
      <c r="F2298" s="17" t="s">
        <v>23</v>
      </c>
      <c r="G2298" s="17">
        <f>G2295</f>
        <v>0</v>
      </c>
      <c r="H2298" s="13">
        <f t="shared" si="35"/>
        <v>0</v>
      </c>
    </row>
    <row r="2299" spans="2:8" ht="13.5" thickBot="1" x14ac:dyDescent="0.35">
      <c r="B2299" s="9"/>
      <c r="C2299" s="14" t="s">
        <v>1079</v>
      </c>
      <c r="D2299" s="14" t="s">
        <v>29</v>
      </c>
      <c r="E2299" s="18" t="s">
        <v>8</v>
      </c>
      <c r="F2299" s="17" t="s">
        <v>23</v>
      </c>
      <c r="G2299" s="17">
        <v>0</v>
      </c>
      <c r="H2299" s="13">
        <f t="shared" si="35"/>
        <v>0</v>
      </c>
    </row>
    <row r="2300" spans="2:8" ht="13.5" thickBot="1" x14ac:dyDescent="0.35">
      <c r="B2300" s="9">
        <f>COUNT($B$4:B2299)+1</f>
        <v>698</v>
      </c>
      <c r="C2300" s="10" t="s">
        <v>1164</v>
      </c>
      <c r="D2300" s="10"/>
      <c r="E2300" s="11" t="s">
        <v>8</v>
      </c>
      <c r="F2300" s="12" t="s">
        <v>23</v>
      </c>
      <c r="G2300" s="12"/>
      <c r="H2300" s="13">
        <f t="shared" si="35"/>
        <v>0</v>
      </c>
    </row>
    <row r="2301" spans="2:8" ht="13.5" thickBot="1" x14ac:dyDescent="0.35">
      <c r="B2301" s="9"/>
      <c r="C2301" s="14" t="s">
        <v>1078</v>
      </c>
      <c r="D2301" s="14" t="s">
        <v>27</v>
      </c>
      <c r="E2301" s="18" t="s">
        <v>8</v>
      </c>
      <c r="F2301" s="17" t="s">
        <v>23</v>
      </c>
      <c r="G2301" s="17">
        <f>G2300*3</f>
        <v>0</v>
      </c>
      <c r="H2301" s="13">
        <f t="shared" si="35"/>
        <v>0</v>
      </c>
    </row>
    <row r="2302" spans="2:8" ht="13.5" thickBot="1" x14ac:dyDescent="0.35">
      <c r="B2302" s="9"/>
      <c r="C2302" s="14" t="s">
        <v>1152</v>
      </c>
      <c r="D2302" s="14" t="s">
        <v>29</v>
      </c>
      <c r="E2302" s="18" t="s">
        <v>8</v>
      </c>
      <c r="F2302" s="17" t="s">
        <v>23</v>
      </c>
      <c r="G2302" s="17">
        <f>G2300*3</f>
        <v>0</v>
      </c>
      <c r="H2302" s="13">
        <f t="shared" si="35"/>
        <v>0</v>
      </c>
    </row>
    <row r="2303" spans="2:8" ht="13.5" thickBot="1" x14ac:dyDescent="0.35">
      <c r="B2303" s="9"/>
      <c r="C2303" s="14" t="s">
        <v>1160</v>
      </c>
      <c r="D2303" s="14"/>
      <c r="E2303" s="18" t="s">
        <v>8</v>
      </c>
      <c r="F2303" s="17" t="s">
        <v>23</v>
      </c>
      <c r="G2303" s="17">
        <f>G2300</f>
        <v>0</v>
      </c>
      <c r="H2303" s="13">
        <f t="shared" si="35"/>
        <v>0</v>
      </c>
    </row>
    <row r="2304" spans="2:8" ht="13.5" thickBot="1" x14ac:dyDescent="0.35">
      <c r="B2304" s="9"/>
      <c r="C2304" s="14" t="s">
        <v>1079</v>
      </c>
      <c r="D2304" s="14" t="s">
        <v>29</v>
      </c>
      <c r="E2304" s="18" t="s">
        <v>8</v>
      </c>
      <c r="F2304" s="17" t="s">
        <v>23</v>
      </c>
      <c r="G2304" s="17">
        <f>G2300*3</f>
        <v>0</v>
      </c>
      <c r="H2304" s="13">
        <f t="shared" si="35"/>
        <v>0</v>
      </c>
    </row>
    <row r="2305" spans="2:8" ht="13.5" thickBot="1" x14ac:dyDescent="0.35">
      <c r="B2305" s="9">
        <f>COUNT($B$4:B2304)+1</f>
        <v>699</v>
      </c>
      <c r="C2305" s="10" t="s">
        <v>1165</v>
      </c>
      <c r="D2305" s="10"/>
      <c r="E2305" s="11" t="s">
        <v>8</v>
      </c>
      <c r="F2305" s="12" t="s">
        <v>23</v>
      </c>
      <c r="G2305" s="12"/>
      <c r="H2305" s="13">
        <f t="shared" si="35"/>
        <v>0</v>
      </c>
    </row>
    <row r="2306" spans="2:8" ht="13.5" thickBot="1" x14ac:dyDescent="0.35">
      <c r="B2306" s="9"/>
      <c r="C2306" s="14" t="s">
        <v>1078</v>
      </c>
      <c r="D2306" s="14" t="s">
        <v>27</v>
      </c>
      <c r="E2306" s="18" t="s">
        <v>8</v>
      </c>
      <c r="F2306" s="17" t="s">
        <v>23</v>
      </c>
      <c r="G2306" s="17">
        <f>G2305*4</f>
        <v>0</v>
      </c>
      <c r="H2306" s="13">
        <f t="shared" si="35"/>
        <v>0</v>
      </c>
    </row>
    <row r="2307" spans="2:8" ht="13.5" thickBot="1" x14ac:dyDescent="0.35">
      <c r="B2307" s="9"/>
      <c r="C2307" s="14" t="s">
        <v>1152</v>
      </c>
      <c r="D2307" s="14" t="s">
        <v>29</v>
      </c>
      <c r="E2307" s="18" t="s">
        <v>8</v>
      </c>
      <c r="F2307" s="17" t="s">
        <v>23</v>
      </c>
      <c r="G2307" s="17">
        <f>G2305*4</f>
        <v>0</v>
      </c>
      <c r="H2307" s="13">
        <f t="shared" si="35"/>
        <v>0</v>
      </c>
    </row>
    <row r="2308" spans="2:8" ht="13.5" thickBot="1" x14ac:dyDescent="0.35">
      <c r="B2308" s="9"/>
      <c r="C2308" s="14" t="s">
        <v>1160</v>
      </c>
      <c r="D2308" s="14"/>
      <c r="E2308" s="18" t="s">
        <v>8</v>
      </c>
      <c r="F2308" s="17" t="s">
        <v>23</v>
      </c>
      <c r="G2308" s="17">
        <f>G2305</f>
        <v>0</v>
      </c>
      <c r="H2308" s="13">
        <f t="shared" ref="H2308:H2371" si="36">SUM(G2308:G2308)</f>
        <v>0</v>
      </c>
    </row>
    <row r="2309" spans="2:8" ht="13.5" thickBot="1" x14ac:dyDescent="0.35">
      <c r="B2309" s="9"/>
      <c r="C2309" s="14" t="s">
        <v>1079</v>
      </c>
      <c r="D2309" s="14" t="s">
        <v>29</v>
      </c>
      <c r="E2309" s="18" t="s">
        <v>8</v>
      </c>
      <c r="F2309" s="17" t="s">
        <v>23</v>
      </c>
      <c r="G2309" s="17">
        <f>G2305*4</f>
        <v>0</v>
      </c>
      <c r="H2309" s="13">
        <f t="shared" si="36"/>
        <v>0</v>
      </c>
    </row>
    <row r="2310" spans="2:8" ht="13.5" thickBot="1" x14ac:dyDescent="0.35">
      <c r="B2310" s="9">
        <f>COUNT($B$4:B2309)+1</f>
        <v>700</v>
      </c>
      <c r="C2310" s="10" t="s">
        <v>1166</v>
      </c>
      <c r="D2310" s="10"/>
      <c r="E2310" s="11" t="s">
        <v>8</v>
      </c>
      <c r="F2310" s="12" t="s">
        <v>23</v>
      </c>
      <c r="G2310" s="12"/>
      <c r="H2310" s="13">
        <f t="shared" si="36"/>
        <v>0</v>
      </c>
    </row>
    <row r="2311" spans="2:8" ht="13.5" thickBot="1" x14ac:dyDescent="0.35">
      <c r="B2311" s="9"/>
      <c r="C2311" s="14" t="s">
        <v>1010</v>
      </c>
      <c r="D2311" s="14" t="s">
        <v>27</v>
      </c>
      <c r="E2311" s="18" t="s">
        <v>8</v>
      </c>
      <c r="F2311" s="17" t="s">
        <v>23</v>
      </c>
      <c r="G2311" s="17">
        <f>G2310</f>
        <v>0</v>
      </c>
      <c r="H2311" s="13">
        <f t="shared" si="36"/>
        <v>0</v>
      </c>
    </row>
    <row r="2312" spans="2:8" ht="13.5" thickBot="1" x14ac:dyDescent="0.35">
      <c r="B2312" s="9"/>
      <c r="C2312" s="14" t="s">
        <v>1167</v>
      </c>
      <c r="D2312" s="14" t="s">
        <v>29</v>
      </c>
      <c r="E2312" s="18" t="s">
        <v>8</v>
      </c>
      <c r="F2312" s="17" t="s">
        <v>23</v>
      </c>
      <c r="G2312" s="17">
        <f>G2310</f>
        <v>0</v>
      </c>
      <c r="H2312" s="13">
        <f t="shared" si="36"/>
        <v>0</v>
      </c>
    </row>
    <row r="2313" spans="2:8" ht="13.5" thickBot="1" x14ac:dyDescent="0.35">
      <c r="B2313" s="9"/>
      <c r="C2313" s="14" t="s">
        <v>1168</v>
      </c>
      <c r="D2313" s="14"/>
      <c r="E2313" s="18" t="s">
        <v>8</v>
      </c>
      <c r="F2313" s="17" t="s">
        <v>23</v>
      </c>
      <c r="G2313" s="17">
        <f>G2310</f>
        <v>0</v>
      </c>
      <c r="H2313" s="13">
        <f t="shared" si="36"/>
        <v>0</v>
      </c>
    </row>
    <row r="2314" spans="2:8" ht="13.5" thickBot="1" x14ac:dyDescent="0.35">
      <c r="B2314" s="9">
        <f>COUNT($B$4:B2313)+1</f>
        <v>701</v>
      </c>
      <c r="C2314" s="10" t="s">
        <v>1169</v>
      </c>
      <c r="D2314" s="10"/>
      <c r="E2314" s="11" t="s">
        <v>8</v>
      </c>
      <c r="F2314" s="12" t="s">
        <v>23</v>
      </c>
      <c r="G2314" s="12"/>
      <c r="H2314" s="13">
        <f t="shared" si="36"/>
        <v>0</v>
      </c>
    </row>
    <row r="2315" spans="2:8" ht="13.5" thickBot="1" x14ac:dyDescent="0.35">
      <c r="B2315" s="9"/>
      <c r="C2315" s="14" t="s">
        <v>1013</v>
      </c>
      <c r="D2315" s="14" t="s">
        <v>27</v>
      </c>
      <c r="E2315" s="18" t="s">
        <v>8</v>
      </c>
      <c r="F2315" s="17" t="s">
        <v>23</v>
      </c>
      <c r="G2315" s="17">
        <f>G2314</f>
        <v>0</v>
      </c>
      <c r="H2315" s="13">
        <f t="shared" si="36"/>
        <v>0</v>
      </c>
    </row>
    <row r="2316" spans="2:8" ht="13.5" thickBot="1" x14ac:dyDescent="0.35">
      <c r="B2316" s="9"/>
      <c r="C2316" s="14" t="s">
        <v>1167</v>
      </c>
      <c r="D2316" s="14" t="s">
        <v>29</v>
      </c>
      <c r="E2316" s="18" t="s">
        <v>8</v>
      </c>
      <c r="F2316" s="17" t="s">
        <v>23</v>
      </c>
      <c r="G2316" s="17">
        <f>G2314</f>
        <v>0</v>
      </c>
      <c r="H2316" s="13">
        <f t="shared" si="36"/>
        <v>0</v>
      </c>
    </row>
    <row r="2317" spans="2:8" ht="13.5" thickBot="1" x14ac:dyDescent="0.35">
      <c r="B2317" s="9"/>
      <c r="C2317" s="14" t="s">
        <v>1168</v>
      </c>
      <c r="D2317" s="14"/>
      <c r="E2317" s="18" t="s">
        <v>8</v>
      </c>
      <c r="F2317" s="17" t="s">
        <v>23</v>
      </c>
      <c r="G2317" s="17">
        <f>G2314</f>
        <v>0</v>
      </c>
      <c r="H2317" s="13">
        <f t="shared" si="36"/>
        <v>0</v>
      </c>
    </row>
    <row r="2318" spans="2:8" ht="13.5" thickBot="1" x14ac:dyDescent="0.35">
      <c r="B2318" s="9">
        <f>COUNT($B$4:B2317)+1</f>
        <v>702</v>
      </c>
      <c r="C2318" s="10" t="s">
        <v>1170</v>
      </c>
      <c r="D2318" s="10"/>
      <c r="E2318" s="11" t="s">
        <v>8</v>
      </c>
      <c r="F2318" s="12" t="s">
        <v>23</v>
      </c>
      <c r="G2318" s="12"/>
      <c r="H2318" s="13">
        <f t="shared" si="36"/>
        <v>0</v>
      </c>
    </row>
    <row r="2319" spans="2:8" ht="13.5" thickBot="1" x14ac:dyDescent="0.35">
      <c r="B2319" s="9"/>
      <c r="C2319" s="14" t="s">
        <v>1010</v>
      </c>
      <c r="D2319" s="14" t="s">
        <v>27</v>
      </c>
      <c r="E2319" s="18" t="s">
        <v>8</v>
      </c>
      <c r="F2319" s="17" t="s">
        <v>23</v>
      </c>
      <c r="G2319" s="17">
        <f>G2318*2</f>
        <v>0</v>
      </c>
      <c r="H2319" s="13">
        <f t="shared" si="36"/>
        <v>0</v>
      </c>
    </row>
    <row r="2320" spans="2:8" ht="13.5" thickBot="1" x14ac:dyDescent="0.35">
      <c r="B2320" s="9"/>
      <c r="C2320" s="14" t="s">
        <v>1167</v>
      </c>
      <c r="D2320" s="14" t="s">
        <v>29</v>
      </c>
      <c r="E2320" s="18" t="s">
        <v>8</v>
      </c>
      <c r="F2320" s="17" t="s">
        <v>23</v>
      </c>
      <c r="G2320" s="17">
        <f>G2318*2</f>
        <v>0</v>
      </c>
      <c r="H2320" s="13">
        <f t="shared" si="36"/>
        <v>0</v>
      </c>
    </row>
    <row r="2321" spans="2:8" ht="13.5" thickBot="1" x14ac:dyDescent="0.35">
      <c r="B2321" s="9"/>
      <c r="C2321" s="14" t="s">
        <v>1168</v>
      </c>
      <c r="D2321" s="14"/>
      <c r="E2321" s="18" t="s">
        <v>8</v>
      </c>
      <c r="F2321" s="17" t="s">
        <v>23</v>
      </c>
      <c r="G2321" s="17">
        <f>G2318</f>
        <v>0</v>
      </c>
      <c r="H2321" s="13">
        <f t="shared" si="36"/>
        <v>0</v>
      </c>
    </row>
    <row r="2322" spans="2:8" ht="13.5" thickBot="1" x14ac:dyDescent="0.35">
      <c r="B2322" s="9">
        <f>COUNT($B$4:B2321)+1</f>
        <v>703</v>
      </c>
      <c r="C2322" s="10" t="s">
        <v>1171</v>
      </c>
      <c r="D2322" s="10"/>
      <c r="E2322" s="11" t="s">
        <v>8</v>
      </c>
      <c r="F2322" s="12" t="s">
        <v>23</v>
      </c>
      <c r="G2322" s="12"/>
      <c r="H2322" s="13">
        <f t="shared" si="36"/>
        <v>0</v>
      </c>
    </row>
    <row r="2323" spans="2:8" ht="13.5" thickBot="1" x14ac:dyDescent="0.35">
      <c r="B2323" s="9"/>
      <c r="C2323" s="14" t="s">
        <v>1013</v>
      </c>
      <c r="D2323" s="14" t="s">
        <v>27</v>
      </c>
      <c r="E2323" s="18" t="s">
        <v>8</v>
      </c>
      <c r="F2323" s="17" t="s">
        <v>23</v>
      </c>
      <c r="G2323" s="17">
        <f>G2322*2</f>
        <v>0</v>
      </c>
      <c r="H2323" s="13">
        <f t="shared" si="36"/>
        <v>0</v>
      </c>
    </row>
    <row r="2324" spans="2:8" ht="13.5" thickBot="1" x14ac:dyDescent="0.35">
      <c r="B2324" s="9"/>
      <c r="C2324" s="14" t="s">
        <v>1167</v>
      </c>
      <c r="D2324" s="14" t="s">
        <v>29</v>
      </c>
      <c r="E2324" s="18" t="s">
        <v>8</v>
      </c>
      <c r="F2324" s="17" t="s">
        <v>23</v>
      </c>
      <c r="G2324" s="17">
        <f>G2322*2</f>
        <v>0</v>
      </c>
      <c r="H2324" s="13">
        <f t="shared" si="36"/>
        <v>0</v>
      </c>
    </row>
    <row r="2325" spans="2:8" ht="13.5" thickBot="1" x14ac:dyDescent="0.35">
      <c r="B2325" s="9"/>
      <c r="C2325" s="14" t="s">
        <v>1168</v>
      </c>
      <c r="D2325" s="14"/>
      <c r="E2325" s="18" t="s">
        <v>8</v>
      </c>
      <c r="F2325" s="17" t="s">
        <v>23</v>
      </c>
      <c r="G2325" s="17">
        <f>G2322</f>
        <v>0</v>
      </c>
      <c r="H2325" s="13">
        <f t="shared" si="36"/>
        <v>0</v>
      </c>
    </row>
    <row r="2326" spans="2:8" ht="13.5" thickBot="1" x14ac:dyDescent="0.35">
      <c r="B2326" s="9">
        <f>COUNT($B$4:B2325)+1</f>
        <v>704</v>
      </c>
      <c r="C2326" s="10" t="s">
        <v>1172</v>
      </c>
      <c r="D2326" s="10"/>
      <c r="E2326" s="11" t="s">
        <v>8</v>
      </c>
      <c r="F2326" s="12" t="s">
        <v>23</v>
      </c>
      <c r="G2326" s="12"/>
      <c r="H2326" s="13">
        <f t="shared" si="36"/>
        <v>0</v>
      </c>
    </row>
    <row r="2327" spans="2:8" ht="13.5" thickBot="1" x14ac:dyDescent="0.35">
      <c r="B2327" s="9"/>
      <c r="C2327" s="14" t="s">
        <v>1010</v>
      </c>
      <c r="D2327" s="14" t="s">
        <v>27</v>
      </c>
      <c r="E2327" s="18" t="s">
        <v>8</v>
      </c>
      <c r="F2327" s="17" t="s">
        <v>23</v>
      </c>
      <c r="G2327" s="17">
        <f>G2326*4</f>
        <v>0</v>
      </c>
      <c r="H2327" s="13">
        <f t="shared" si="36"/>
        <v>0</v>
      </c>
    </row>
    <row r="2328" spans="2:8" ht="13.5" thickBot="1" x14ac:dyDescent="0.35">
      <c r="B2328" s="9"/>
      <c r="C2328" s="14" t="s">
        <v>1167</v>
      </c>
      <c r="D2328" s="14" t="s">
        <v>29</v>
      </c>
      <c r="E2328" s="18" t="s">
        <v>8</v>
      </c>
      <c r="F2328" s="17" t="s">
        <v>23</v>
      </c>
      <c r="G2328" s="17">
        <f>G2326*4</f>
        <v>0</v>
      </c>
      <c r="H2328" s="13">
        <f t="shared" si="36"/>
        <v>0</v>
      </c>
    </row>
    <row r="2329" spans="2:8" ht="13.5" thickBot="1" x14ac:dyDescent="0.35">
      <c r="B2329" s="9"/>
      <c r="C2329" s="14" t="s">
        <v>1168</v>
      </c>
      <c r="D2329" s="14"/>
      <c r="E2329" s="18" t="s">
        <v>8</v>
      </c>
      <c r="F2329" s="17" t="s">
        <v>23</v>
      </c>
      <c r="G2329" s="17">
        <f>G2326</f>
        <v>0</v>
      </c>
      <c r="H2329" s="13">
        <f t="shared" si="36"/>
        <v>0</v>
      </c>
    </row>
    <row r="2330" spans="2:8" ht="13.5" thickBot="1" x14ac:dyDescent="0.35">
      <c r="B2330" s="9">
        <f>COUNT($B$4:B2329)+1</f>
        <v>705</v>
      </c>
      <c r="C2330" s="10" t="s">
        <v>1173</v>
      </c>
      <c r="D2330" s="10"/>
      <c r="E2330" s="11" t="s">
        <v>8</v>
      </c>
      <c r="F2330" s="12" t="s">
        <v>23</v>
      </c>
      <c r="G2330" s="12"/>
      <c r="H2330" s="13">
        <f t="shared" si="36"/>
        <v>0</v>
      </c>
    </row>
    <row r="2331" spans="2:8" ht="13.5" thickBot="1" x14ac:dyDescent="0.35">
      <c r="B2331" s="9"/>
      <c r="C2331" s="14" t="s">
        <v>1013</v>
      </c>
      <c r="D2331" s="14" t="s">
        <v>27</v>
      </c>
      <c r="E2331" s="18" t="s">
        <v>8</v>
      </c>
      <c r="F2331" s="17" t="s">
        <v>23</v>
      </c>
      <c r="G2331" s="17">
        <f>G2330*4</f>
        <v>0</v>
      </c>
      <c r="H2331" s="13">
        <f t="shared" si="36"/>
        <v>0</v>
      </c>
    </row>
    <row r="2332" spans="2:8" ht="13.5" thickBot="1" x14ac:dyDescent="0.35">
      <c r="B2332" s="9"/>
      <c r="C2332" s="14" t="s">
        <v>1167</v>
      </c>
      <c r="D2332" s="14" t="s">
        <v>29</v>
      </c>
      <c r="E2332" s="18" t="s">
        <v>8</v>
      </c>
      <c r="F2332" s="17" t="s">
        <v>23</v>
      </c>
      <c r="G2332" s="17">
        <f>G2330*4</f>
        <v>0</v>
      </c>
      <c r="H2332" s="13">
        <f t="shared" si="36"/>
        <v>0</v>
      </c>
    </row>
    <row r="2333" spans="2:8" ht="13.5" thickBot="1" x14ac:dyDescent="0.35">
      <c r="B2333" s="9"/>
      <c r="C2333" s="14" t="s">
        <v>1168</v>
      </c>
      <c r="D2333" s="14"/>
      <c r="E2333" s="18" t="s">
        <v>8</v>
      </c>
      <c r="F2333" s="17" t="s">
        <v>23</v>
      </c>
      <c r="G2333" s="17">
        <f>G2330</f>
        <v>0</v>
      </c>
      <c r="H2333" s="13">
        <f t="shared" si="36"/>
        <v>0</v>
      </c>
    </row>
    <row r="2334" spans="2:8" ht="13.5" thickBot="1" x14ac:dyDescent="0.35">
      <c r="B2334" s="9">
        <f>COUNT($B$4:B2333)+1</f>
        <v>706</v>
      </c>
      <c r="C2334" s="10" t="s">
        <v>1174</v>
      </c>
      <c r="D2334" s="10"/>
      <c r="E2334" s="11" t="s">
        <v>8</v>
      </c>
      <c r="F2334" s="12" t="s">
        <v>23</v>
      </c>
      <c r="G2334" s="12"/>
      <c r="H2334" s="13">
        <f t="shared" si="36"/>
        <v>0</v>
      </c>
    </row>
    <row r="2335" spans="2:8" ht="13.5" thickBot="1" x14ac:dyDescent="0.35">
      <c r="B2335" s="9"/>
      <c r="C2335" s="14" t="s">
        <v>1144</v>
      </c>
      <c r="D2335" s="14" t="s">
        <v>27</v>
      </c>
      <c r="E2335" s="18" t="s">
        <v>8</v>
      </c>
      <c r="F2335" s="17" t="s">
        <v>23</v>
      </c>
      <c r="G2335" s="17">
        <f>G2334</f>
        <v>0</v>
      </c>
      <c r="H2335" s="13">
        <f t="shared" si="36"/>
        <v>0</v>
      </c>
    </row>
    <row r="2336" spans="2:8" ht="13.5" thickBot="1" x14ac:dyDescent="0.35">
      <c r="B2336" s="9"/>
      <c r="C2336" s="14" t="s">
        <v>1145</v>
      </c>
      <c r="D2336" s="14" t="s">
        <v>29</v>
      </c>
      <c r="E2336" s="18" t="s">
        <v>8</v>
      </c>
      <c r="F2336" s="17" t="s">
        <v>23</v>
      </c>
      <c r="G2336" s="17">
        <f>G2334</f>
        <v>0</v>
      </c>
      <c r="H2336" s="13">
        <f t="shared" si="36"/>
        <v>0</v>
      </c>
    </row>
    <row r="2337" spans="2:8" ht="13.5" thickBot="1" x14ac:dyDescent="0.35">
      <c r="B2337" s="9"/>
      <c r="C2337" s="14" t="s">
        <v>1175</v>
      </c>
      <c r="D2337" s="14"/>
      <c r="E2337" s="18" t="s">
        <v>8</v>
      </c>
      <c r="F2337" s="17" t="s">
        <v>23</v>
      </c>
      <c r="G2337" s="17">
        <f>G2334</f>
        <v>0</v>
      </c>
      <c r="H2337" s="13">
        <f t="shared" si="36"/>
        <v>0</v>
      </c>
    </row>
    <row r="2338" spans="2:8" ht="13.5" thickBot="1" x14ac:dyDescent="0.35">
      <c r="B2338" s="9"/>
      <c r="C2338" s="14" t="s">
        <v>1147</v>
      </c>
      <c r="D2338" s="14" t="s">
        <v>29</v>
      </c>
      <c r="E2338" s="18" t="s">
        <v>8</v>
      </c>
      <c r="F2338" s="17" t="s">
        <v>23</v>
      </c>
      <c r="G2338" s="17">
        <f>G2334</f>
        <v>0</v>
      </c>
      <c r="H2338" s="13">
        <f t="shared" si="36"/>
        <v>0</v>
      </c>
    </row>
    <row r="2339" spans="2:8" ht="13.5" thickBot="1" x14ac:dyDescent="0.35">
      <c r="B2339" s="9">
        <f>COUNT($B$4:B2338)+1</f>
        <v>707</v>
      </c>
      <c r="C2339" s="10" t="s">
        <v>1176</v>
      </c>
      <c r="D2339" s="10"/>
      <c r="E2339" s="11" t="s">
        <v>8</v>
      </c>
      <c r="F2339" s="12" t="s">
        <v>23</v>
      </c>
      <c r="G2339" s="12"/>
      <c r="H2339" s="13">
        <f t="shared" si="36"/>
        <v>0</v>
      </c>
    </row>
    <row r="2340" spans="2:8" ht="13.5" thickBot="1" x14ac:dyDescent="0.35">
      <c r="B2340" s="9"/>
      <c r="C2340" s="14" t="s">
        <v>1144</v>
      </c>
      <c r="D2340" s="14" t="s">
        <v>27</v>
      </c>
      <c r="E2340" s="18" t="s">
        <v>8</v>
      </c>
      <c r="F2340" s="17" t="s">
        <v>23</v>
      </c>
      <c r="G2340" s="17">
        <f>G2339*2</f>
        <v>0</v>
      </c>
      <c r="H2340" s="13">
        <f t="shared" si="36"/>
        <v>0</v>
      </c>
    </row>
    <row r="2341" spans="2:8" ht="13.5" thickBot="1" x14ac:dyDescent="0.35">
      <c r="B2341" s="9"/>
      <c r="C2341" s="14" t="s">
        <v>1145</v>
      </c>
      <c r="D2341" s="14" t="s">
        <v>29</v>
      </c>
      <c r="E2341" s="18" t="s">
        <v>8</v>
      </c>
      <c r="F2341" s="17" t="s">
        <v>23</v>
      </c>
      <c r="G2341" s="17">
        <f>G2339*2</f>
        <v>0</v>
      </c>
      <c r="H2341" s="13">
        <f t="shared" si="36"/>
        <v>0</v>
      </c>
    </row>
    <row r="2342" spans="2:8" ht="13.5" thickBot="1" x14ac:dyDescent="0.35">
      <c r="B2342" s="9"/>
      <c r="C2342" s="14" t="s">
        <v>1175</v>
      </c>
      <c r="D2342" s="14"/>
      <c r="E2342" s="18" t="s">
        <v>8</v>
      </c>
      <c r="F2342" s="17" t="s">
        <v>23</v>
      </c>
      <c r="G2342" s="17">
        <f>G2339</f>
        <v>0</v>
      </c>
      <c r="H2342" s="13">
        <f t="shared" si="36"/>
        <v>0</v>
      </c>
    </row>
    <row r="2343" spans="2:8" ht="13.5" thickBot="1" x14ac:dyDescent="0.35">
      <c r="B2343" s="9"/>
      <c r="C2343" s="14" t="s">
        <v>1147</v>
      </c>
      <c r="D2343" s="14" t="s">
        <v>29</v>
      </c>
      <c r="E2343" s="18" t="s">
        <v>8</v>
      </c>
      <c r="F2343" s="17" t="s">
        <v>23</v>
      </c>
      <c r="G2343" s="17">
        <f>G2339*2</f>
        <v>0</v>
      </c>
      <c r="H2343" s="13">
        <f t="shared" si="36"/>
        <v>0</v>
      </c>
    </row>
    <row r="2344" spans="2:8" ht="13.5" thickBot="1" x14ac:dyDescent="0.35">
      <c r="B2344" s="9">
        <f>COUNT($B$4:B2343)+1</f>
        <v>708</v>
      </c>
      <c r="C2344" s="10" t="s">
        <v>1177</v>
      </c>
      <c r="D2344" s="10"/>
      <c r="E2344" s="11" t="s">
        <v>8</v>
      </c>
      <c r="F2344" s="12" t="s">
        <v>23</v>
      </c>
      <c r="G2344" s="12"/>
      <c r="H2344" s="13">
        <f t="shared" si="36"/>
        <v>0</v>
      </c>
    </row>
    <row r="2345" spans="2:8" ht="13.5" thickBot="1" x14ac:dyDescent="0.35">
      <c r="B2345" s="9"/>
      <c r="C2345" s="14" t="s">
        <v>1144</v>
      </c>
      <c r="D2345" s="14" t="s">
        <v>27</v>
      </c>
      <c r="E2345" s="18" t="s">
        <v>8</v>
      </c>
      <c r="F2345" s="17" t="s">
        <v>23</v>
      </c>
      <c r="G2345" s="17">
        <f>G2344*3</f>
        <v>0</v>
      </c>
      <c r="H2345" s="13">
        <f t="shared" si="36"/>
        <v>0</v>
      </c>
    </row>
    <row r="2346" spans="2:8" ht="13.5" thickBot="1" x14ac:dyDescent="0.35">
      <c r="B2346" s="9"/>
      <c r="C2346" s="14" t="s">
        <v>1145</v>
      </c>
      <c r="D2346" s="14" t="s">
        <v>29</v>
      </c>
      <c r="E2346" s="18" t="s">
        <v>8</v>
      </c>
      <c r="F2346" s="17" t="s">
        <v>23</v>
      </c>
      <c r="G2346" s="17">
        <f>G2344*3</f>
        <v>0</v>
      </c>
      <c r="H2346" s="13">
        <f t="shared" si="36"/>
        <v>0</v>
      </c>
    </row>
    <row r="2347" spans="2:8" ht="13.5" thickBot="1" x14ac:dyDescent="0.35">
      <c r="B2347" s="9"/>
      <c r="C2347" s="14" t="s">
        <v>1175</v>
      </c>
      <c r="D2347" s="14"/>
      <c r="E2347" s="18" t="s">
        <v>8</v>
      </c>
      <c r="F2347" s="17" t="s">
        <v>23</v>
      </c>
      <c r="G2347" s="17">
        <f>G2344</f>
        <v>0</v>
      </c>
      <c r="H2347" s="13">
        <f t="shared" si="36"/>
        <v>0</v>
      </c>
    </row>
    <row r="2348" spans="2:8" ht="13.5" thickBot="1" x14ac:dyDescent="0.35">
      <c r="B2348" s="9"/>
      <c r="C2348" s="14" t="s">
        <v>1147</v>
      </c>
      <c r="D2348" s="14" t="s">
        <v>29</v>
      </c>
      <c r="E2348" s="18" t="s">
        <v>8</v>
      </c>
      <c r="F2348" s="17" t="s">
        <v>23</v>
      </c>
      <c r="G2348" s="17">
        <f>G2344*3</f>
        <v>0</v>
      </c>
      <c r="H2348" s="13">
        <f t="shared" si="36"/>
        <v>0</v>
      </c>
    </row>
    <row r="2349" spans="2:8" ht="13.5" thickBot="1" x14ac:dyDescent="0.35">
      <c r="B2349" s="9">
        <f>COUNT($B$4:B2348)+1</f>
        <v>709</v>
      </c>
      <c r="C2349" s="10" t="s">
        <v>1178</v>
      </c>
      <c r="D2349" s="10"/>
      <c r="E2349" s="11" t="s">
        <v>8</v>
      </c>
      <c r="F2349" s="12" t="s">
        <v>23</v>
      </c>
      <c r="G2349" s="12"/>
      <c r="H2349" s="13">
        <f t="shared" si="36"/>
        <v>0</v>
      </c>
    </row>
    <row r="2350" spans="2:8" ht="13.5" thickBot="1" x14ac:dyDescent="0.35">
      <c r="B2350" s="9"/>
      <c r="C2350" s="14" t="s">
        <v>1144</v>
      </c>
      <c r="D2350" s="14" t="s">
        <v>27</v>
      </c>
      <c r="E2350" s="18" t="s">
        <v>8</v>
      </c>
      <c r="F2350" s="17" t="s">
        <v>23</v>
      </c>
      <c r="G2350" s="17">
        <f>G2349*4</f>
        <v>0</v>
      </c>
      <c r="H2350" s="13">
        <f t="shared" si="36"/>
        <v>0</v>
      </c>
    </row>
    <row r="2351" spans="2:8" ht="13.5" thickBot="1" x14ac:dyDescent="0.35">
      <c r="B2351" s="9"/>
      <c r="C2351" s="14" t="s">
        <v>1145</v>
      </c>
      <c r="D2351" s="14" t="s">
        <v>29</v>
      </c>
      <c r="E2351" s="18" t="s">
        <v>8</v>
      </c>
      <c r="F2351" s="17" t="s">
        <v>23</v>
      </c>
      <c r="G2351" s="17">
        <f>G2349*4</f>
        <v>0</v>
      </c>
      <c r="H2351" s="13">
        <f t="shared" si="36"/>
        <v>0</v>
      </c>
    </row>
    <row r="2352" spans="2:8" ht="13.5" thickBot="1" x14ac:dyDescent="0.35">
      <c r="B2352" s="9"/>
      <c r="C2352" s="14" t="s">
        <v>1175</v>
      </c>
      <c r="D2352" s="14"/>
      <c r="E2352" s="18" t="s">
        <v>8</v>
      </c>
      <c r="F2352" s="17" t="s">
        <v>23</v>
      </c>
      <c r="G2352" s="17">
        <f>G2349</f>
        <v>0</v>
      </c>
      <c r="H2352" s="13">
        <f t="shared" si="36"/>
        <v>0</v>
      </c>
    </row>
    <row r="2353" spans="2:8" ht="13.5" thickBot="1" x14ac:dyDescent="0.35">
      <c r="B2353" s="9"/>
      <c r="C2353" s="14" t="s">
        <v>1147</v>
      </c>
      <c r="D2353" s="14" t="s">
        <v>29</v>
      </c>
      <c r="E2353" s="18" t="s">
        <v>8</v>
      </c>
      <c r="F2353" s="17" t="s">
        <v>23</v>
      </c>
      <c r="G2353" s="17">
        <f>G2349*4</f>
        <v>0</v>
      </c>
      <c r="H2353" s="13">
        <f t="shared" si="36"/>
        <v>0</v>
      </c>
    </row>
    <row r="2354" spans="2:8" ht="13.5" thickBot="1" x14ac:dyDescent="0.35">
      <c r="B2354" s="9">
        <f>COUNT($B$4:B2353)+1</f>
        <v>710</v>
      </c>
      <c r="C2354" s="10" t="s">
        <v>1656</v>
      </c>
      <c r="D2354" s="10"/>
      <c r="E2354" s="11" t="s">
        <v>8</v>
      </c>
      <c r="F2354" s="12" t="s">
        <v>23</v>
      </c>
      <c r="G2354" s="12">
        <v>0</v>
      </c>
      <c r="H2354" s="13">
        <f t="shared" si="36"/>
        <v>0</v>
      </c>
    </row>
    <row r="2355" spans="2:8" ht="13.5" thickBot="1" x14ac:dyDescent="0.35">
      <c r="B2355" s="9"/>
      <c r="C2355" s="14" t="s">
        <v>1078</v>
      </c>
      <c r="D2355" s="14" t="s">
        <v>27</v>
      </c>
      <c r="E2355" s="18" t="s">
        <v>8</v>
      </c>
      <c r="F2355" s="17" t="s">
        <v>23</v>
      </c>
      <c r="G2355" s="17">
        <f>G2354</f>
        <v>0</v>
      </c>
      <c r="H2355" s="13">
        <f t="shared" si="36"/>
        <v>0</v>
      </c>
    </row>
    <row r="2356" spans="2:8" ht="13.5" thickBot="1" x14ac:dyDescent="0.35">
      <c r="B2356" s="9"/>
      <c r="C2356" s="14" t="s">
        <v>1658</v>
      </c>
      <c r="D2356" s="14" t="s">
        <v>29</v>
      </c>
      <c r="E2356" s="18" t="s">
        <v>8</v>
      </c>
      <c r="F2356" s="17" t="s">
        <v>23</v>
      </c>
      <c r="G2356" s="17">
        <f>G2354</f>
        <v>0</v>
      </c>
      <c r="H2356" s="13">
        <f t="shared" si="36"/>
        <v>0</v>
      </c>
    </row>
    <row r="2357" spans="2:8" ht="13.5" thickBot="1" x14ac:dyDescent="0.35">
      <c r="B2357" s="9"/>
      <c r="C2357" s="14" t="s">
        <v>1657</v>
      </c>
      <c r="D2357" s="14"/>
      <c r="E2357" s="18" t="s">
        <v>8</v>
      </c>
      <c r="F2357" s="17" t="s">
        <v>23</v>
      </c>
      <c r="G2357" s="17">
        <f>G2354</f>
        <v>0</v>
      </c>
      <c r="H2357" s="13">
        <f t="shared" si="36"/>
        <v>0</v>
      </c>
    </row>
    <row r="2358" spans="2:8" ht="13.5" thickBot="1" x14ac:dyDescent="0.35">
      <c r="B2358" s="9"/>
      <c r="C2358" s="14" t="s">
        <v>1079</v>
      </c>
      <c r="D2358" s="14" t="s">
        <v>29</v>
      </c>
      <c r="E2358" s="18" t="s">
        <v>8</v>
      </c>
      <c r="F2358" s="17" t="s">
        <v>23</v>
      </c>
      <c r="G2358" s="17">
        <f>G2354</f>
        <v>0</v>
      </c>
      <c r="H2358" s="13">
        <f t="shared" si="36"/>
        <v>0</v>
      </c>
    </row>
    <row r="2359" spans="2:8" ht="13.5" thickBot="1" x14ac:dyDescent="0.35">
      <c r="B2359" s="9">
        <f>COUNT($B$4:B2358)+1</f>
        <v>711</v>
      </c>
      <c r="C2359" s="10" t="s">
        <v>1659</v>
      </c>
      <c r="D2359" s="10"/>
      <c r="E2359" s="11" t="s">
        <v>8</v>
      </c>
      <c r="F2359" s="12" t="s">
        <v>23</v>
      </c>
      <c r="G2359" s="12">
        <v>0</v>
      </c>
      <c r="H2359" s="13">
        <f t="shared" si="36"/>
        <v>0</v>
      </c>
    </row>
    <row r="2360" spans="2:8" ht="13.5" thickBot="1" x14ac:dyDescent="0.35">
      <c r="B2360" s="9"/>
      <c r="C2360" s="14" t="s">
        <v>1078</v>
      </c>
      <c r="D2360" s="14" t="s">
        <v>27</v>
      </c>
      <c r="E2360" s="18" t="s">
        <v>8</v>
      </c>
      <c r="F2360" s="17" t="s">
        <v>23</v>
      </c>
      <c r="G2360" s="17">
        <v>0</v>
      </c>
      <c r="H2360" s="13">
        <f t="shared" si="36"/>
        <v>0</v>
      </c>
    </row>
    <row r="2361" spans="2:8" ht="13.5" thickBot="1" x14ac:dyDescent="0.35">
      <c r="B2361" s="9"/>
      <c r="C2361" s="14" t="s">
        <v>1660</v>
      </c>
      <c r="D2361" s="14" t="s">
        <v>29</v>
      </c>
      <c r="E2361" s="18" t="s">
        <v>8</v>
      </c>
      <c r="F2361" s="17" t="s">
        <v>23</v>
      </c>
      <c r="G2361" s="17">
        <f>G2359*2</f>
        <v>0</v>
      </c>
      <c r="H2361" s="13">
        <f t="shared" si="36"/>
        <v>0</v>
      </c>
    </row>
    <row r="2362" spans="2:8" ht="13.5" thickBot="1" x14ac:dyDescent="0.35">
      <c r="B2362" s="9"/>
      <c r="C2362" s="14" t="s">
        <v>1657</v>
      </c>
      <c r="D2362" s="14"/>
      <c r="E2362" s="18" t="s">
        <v>8</v>
      </c>
      <c r="F2362" s="17" t="s">
        <v>23</v>
      </c>
      <c r="G2362" s="17">
        <f>G2359</f>
        <v>0</v>
      </c>
      <c r="H2362" s="13">
        <f t="shared" si="36"/>
        <v>0</v>
      </c>
    </row>
    <row r="2363" spans="2:8" ht="13.5" thickBot="1" x14ac:dyDescent="0.35">
      <c r="B2363" s="9"/>
      <c r="C2363" s="14" t="s">
        <v>1079</v>
      </c>
      <c r="D2363" s="14" t="s">
        <v>29</v>
      </c>
      <c r="E2363" s="18" t="s">
        <v>8</v>
      </c>
      <c r="F2363" s="17" t="s">
        <v>23</v>
      </c>
      <c r="G2363" s="17">
        <v>0</v>
      </c>
      <c r="H2363" s="13">
        <f t="shared" si="36"/>
        <v>0</v>
      </c>
    </row>
    <row r="2364" spans="2:8" ht="13.5" thickBot="1" x14ac:dyDescent="0.35">
      <c r="B2364" s="9">
        <f>COUNT($B$4:B2363)+1</f>
        <v>712</v>
      </c>
      <c r="C2364" s="10" t="s">
        <v>1179</v>
      </c>
      <c r="D2364" s="10"/>
      <c r="E2364" s="11" t="s">
        <v>8</v>
      </c>
      <c r="F2364" s="12" t="s">
        <v>23</v>
      </c>
      <c r="G2364" s="12"/>
      <c r="H2364" s="13">
        <f t="shared" si="36"/>
        <v>0</v>
      </c>
    </row>
    <row r="2365" spans="2:8" ht="13.5" thickBot="1" x14ac:dyDescent="0.35">
      <c r="B2365" s="9"/>
      <c r="C2365" s="14" t="s">
        <v>1078</v>
      </c>
      <c r="D2365" s="14" t="s">
        <v>27</v>
      </c>
      <c r="E2365" s="18" t="s">
        <v>8</v>
      </c>
      <c r="F2365" s="17" t="s">
        <v>23</v>
      </c>
      <c r="G2365" s="17">
        <f>G2364*3</f>
        <v>0</v>
      </c>
      <c r="H2365" s="13">
        <f t="shared" si="36"/>
        <v>0</v>
      </c>
    </row>
    <row r="2366" spans="2:8" ht="13.5" thickBot="1" x14ac:dyDescent="0.35">
      <c r="B2366" s="9"/>
      <c r="C2366" s="14" t="s">
        <v>1152</v>
      </c>
      <c r="D2366" s="14" t="s">
        <v>29</v>
      </c>
      <c r="E2366" s="18" t="s">
        <v>8</v>
      </c>
      <c r="F2366" s="17" t="s">
        <v>23</v>
      </c>
      <c r="G2366" s="17">
        <f>G2364*3</f>
        <v>0</v>
      </c>
      <c r="H2366" s="13">
        <f t="shared" si="36"/>
        <v>0</v>
      </c>
    </row>
    <row r="2367" spans="2:8" ht="13.5" thickBot="1" x14ac:dyDescent="0.35">
      <c r="B2367" s="9"/>
      <c r="C2367" s="14" t="s">
        <v>1175</v>
      </c>
      <c r="D2367" s="14"/>
      <c r="E2367" s="18" t="s">
        <v>8</v>
      </c>
      <c r="F2367" s="17" t="s">
        <v>23</v>
      </c>
      <c r="G2367" s="17">
        <f>G2364</f>
        <v>0</v>
      </c>
      <c r="H2367" s="13">
        <f t="shared" si="36"/>
        <v>0</v>
      </c>
    </row>
    <row r="2368" spans="2:8" ht="13.5" thickBot="1" x14ac:dyDescent="0.35">
      <c r="B2368" s="9"/>
      <c r="C2368" s="14" t="s">
        <v>1079</v>
      </c>
      <c r="D2368" s="14" t="s">
        <v>29</v>
      </c>
      <c r="E2368" s="18" t="s">
        <v>8</v>
      </c>
      <c r="F2368" s="17" t="s">
        <v>23</v>
      </c>
      <c r="G2368" s="17">
        <f>G2364*3</f>
        <v>0</v>
      </c>
      <c r="H2368" s="13">
        <f t="shared" si="36"/>
        <v>0</v>
      </c>
    </row>
    <row r="2369" spans="2:8" ht="13.5" thickBot="1" x14ac:dyDescent="0.35">
      <c r="B2369" s="9">
        <f>COUNT($B$4:B2368)+1</f>
        <v>713</v>
      </c>
      <c r="C2369" s="10" t="s">
        <v>1180</v>
      </c>
      <c r="D2369" s="10"/>
      <c r="E2369" s="11" t="s">
        <v>8</v>
      </c>
      <c r="F2369" s="12" t="s">
        <v>23</v>
      </c>
      <c r="G2369" s="12"/>
      <c r="H2369" s="13">
        <f t="shared" si="36"/>
        <v>0</v>
      </c>
    </row>
    <row r="2370" spans="2:8" ht="13.5" thickBot="1" x14ac:dyDescent="0.35">
      <c r="B2370" s="9"/>
      <c r="C2370" s="14" t="s">
        <v>1078</v>
      </c>
      <c r="D2370" s="14" t="s">
        <v>27</v>
      </c>
      <c r="E2370" s="18" t="s">
        <v>8</v>
      </c>
      <c r="F2370" s="17" t="s">
        <v>23</v>
      </c>
      <c r="G2370" s="17">
        <f>G2369*4</f>
        <v>0</v>
      </c>
      <c r="H2370" s="13">
        <f t="shared" si="36"/>
        <v>0</v>
      </c>
    </row>
    <row r="2371" spans="2:8" ht="13.5" thickBot="1" x14ac:dyDescent="0.35">
      <c r="B2371" s="9"/>
      <c r="C2371" s="14" t="s">
        <v>1152</v>
      </c>
      <c r="D2371" s="14" t="s">
        <v>29</v>
      </c>
      <c r="E2371" s="18" t="s">
        <v>8</v>
      </c>
      <c r="F2371" s="17" t="s">
        <v>23</v>
      </c>
      <c r="G2371" s="17">
        <f>G2369*4</f>
        <v>0</v>
      </c>
      <c r="H2371" s="13">
        <f t="shared" si="36"/>
        <v>0</v>
      </c>
    </row>
    <row r="2372" spans="2:8" ht="13.5" thickBot="1" x14ac:dyDescent="0.35">
      <c r="B2372" s="9"/>
      <c r="C2372" s="14" t="s">
        <v>1175</v>
      </c>
      <c r="D2372" s="14"/>
      <c r="E2372" s="18" t="s">
        <v>8</v>
      </c>
      <c r="F2372" s="17" t="s">
        <v>23</v>
      </c>
      <c r="G2372" s="17">
        <f>G2369</f>
        <v>0</v>
      </c>
      <c r="H2372" s="13">
        <f t="shared" ref="H2372:H2435" si="37">SUM(G2372:G2372)</f>
        <v>0</v>
      </c>
    </row>
    <row r="2373" spans="2:8" ht="13.5" thickBot="1" x14ac:dyDescent="0.35">
      <c r="B2373" s="9"/>
      <c r="C2373" s="14" t="s">
        <v>1079</v>
      </c>
      <c r="D2373" s="14" t="s">
        <v>29</v>
      </c>
      <c r="E2373" s="18" t="s">
        <v>8</v>
      </c>
      <c r="F2373" s="17" t="s">
        <v>23</v>
      </c>
      <c r="G2373" s="17">
        <f>G2369*4</f>
        <v>0</v>
      </c>
      <c r="H2373" s="13">
        <f t="shared" si="37"/>
        <v>0</v>
      </c>
    </row>
    <row r="2374" spans="2:8" ht="13.5" thickBot="1" x14ac:dyDescent="0.35">
      <c r="B2374" s="9">
        <f>COUNT($B$4:B2373)+1</f>
        <v>714</v>
      </c>
      <c r="C2374" s="10" t="s">
        <v>1181</v>
      </c>
      <c r="D2374" s="10"/>
      <c r="E2374" s="11" t="s">
        <v>11</v>
      </c>
      <c r="F2374" s="12" t="s">
        <v>23</v>
      </c>
      <c r="G2374" s="12"/>
      <c r="H2374" s="13">
        <f t="shared" si="37"/>
        <v>0</v>
      </c>
    </row>
    <row r="2375" spans="2:8" ht="13.5" thickBot="1" x14ac:dyDescent="0.35">
      <c r="B2375" s="9"/>
      <c r="C2375" s="14" t="s">
        <v>1182</v>
      </c>
      <c r="D2375" s="14"/>
      <c r="E2375" s="18" t="s">
        <v>0</v>
      </c>
      <c r="F2375" s="17" t="s">
        <v>23</v>
      </c>
      <c r="G2375" s="17">
        <f>G2374</f>
        <v>0</v>
      </c>
      <c r="H2375" s="13">
        <f t="shared" si="37"/>
        <v>0</v>
      </c>
    </row>
    <row r="2376" spans="2:8" ht="13.5" thickBot="1" x14ac:dyDescent="0.35">
      <c r="B2376" s="9"/>
      <c r="C2376" s="14" t="s">
        <v>1183</v>
      </c>
      <c r="D2376" s="14"/>
      <c r="E2376" s="18" t="s">
        <v>0</v>
      </c>
      <c r="F2376" s="17" t="s">
        <v>23</v>
      </c>
      <c r="G2376" s="17">
        <f>G2374</f>
        <v>0</v>
      </c>
      <c r="H2376" s="13">
        <f t="shared" si="37"/>
        <v>0</v>
      </c>
    </row>
    <row r="2377" spans="2:8" ht="13.5" thickBot="1" x14ac:dyDescent="0.35">
      <c r="B2377" s="9"/>
      <c r="C2377" s="14" t="s">
        <v>1184</v>
      </c>
      <c r="D2377" s="14"/>
      <c r="E2377" s="18" t="s">
        <v>0</v>
      </c>
      <c r="F2377" s="17" t="s">
        <v>23</v>
      </c>
      <c r="G2377" s="17">
        <f>G2374</f>
        <v>0</v>
      </c>
      <c r="H2377" s="13">
        <f t="shared" si="37"/>
        <v>0</v>
      </c>
    </row>
    <row r="2378" spans="2:8" ht="13.5" thickBot="1" x14ac:dyDescent="0.35">
      <c r="B2378" s="9"/>
      <c r="C2378" s="14" t="s">
        <v>1185</v>
      </c>
      <c r="D2378" s="14"/>
      <c r="E2378" s="18" t="s">
        <v>0</v>
      </c>
      <c r="F2378" s="17" t="s">
        <v>23</v>
      </c>
      <c r="G2378" s="17">
        <f>G2374</f>
        <v>0</v>
      </c>
      <c r="H2378" s="13">
        <f t="shared" si="37"/>
        <v>0</v>
      </c>
    </row>
    <row r="2379" spans="2:8" ht="13.5" thickBot="1" x14ac:dyDescent="0.35">
      <c r="B2379" s="9"/>
      <c r="C2379" s="14" t="s">
        <v>1186</v>
      </c>
      <c r="D2379" s="14"/>
      <c r="E2379" s="18" t="s">
        <v>0</v>
      </c>
      <c r="F2379" s="17" t="s">
        <v>23</v>
      </c>
      <c r="G2379" s="17">
        <f>G2374</f>
        <v>0</v>
      </c>
      <c r="H2379" s="13">
        <f t="shared" si="37"/>
        <v>0</v>
      </c>
    </row>
    <row r="2380" spans="2:8" ht="13.5" thickBot="1" x14ac:dyDescent="0.35">
      <c r="B2380" s="9"/>
      <c r="C2380" s="14" t="s">
        <v>1187</v>
      </c>
      <c r="D2380" s="14"/>
      <c r="E2380" s="18" t="s">
        <v>0</v>
      </c>
      <c r="F2380" s="17" t="s">
        <v>23</v>
      </c>
      <c r="G2380" s="17">
        <f>G2374</f>
        <v>0</v>
      </c>
      <c r="H2380" s="13">
        <f t="shared" si="37"/>
        <v>0</v>
      </c>
    </row>
    <row r="2381" spans="2:8" ht="13.5" thickBot="1" x14ac:dyDescent="0.35">
      <c r="B2381" s="9"/>
      <c r="C2381" s="14" t="s">
        <v>1188</v>
      </c>
      <c r="D2381" s="14"/>
      <c r="E2381" s="18" t="s">
        <v>0</v>
      </c>
      <c r="F2381" s="17" t="s">
        <v>23</v>
      </c>
      <c r="G2381" s="17">
        <f>G2374*4</f>
        <v>0</v>
      </c>
      <c r="H2381" s="13">
        <f t="shared" si="37"/>
        <v>0</v>
      </c>
    </row>
    <row r="2382" spans="2:8" ht="13.5" thickBot="1" x14ac:dyDescent="0.35">
      <c r="B2382" s="9"/>
      <c r="C2382" s="14" t="s">
        <v>1189</v>
      </c>
      <c r="D2382" s="14"/>
      <c r="E2382" s="18" t="s">
        <v>0</v>
      </c>
      <c r="F2382" s="17" t="s">
        <v>23</v>
      </c>
      <c r="G2382" s="17">
        <f>G2374</f>
        <v>0</v>
      </c>
      <c r="H2382" s="13">
        <f t="shared" si="37"/>
        <v>0</v>
      </c>
    </row>
    <row r="2383" spans="2:8" ht="13.5" thickBot="1" x14ac:dyDescent="0.35">
      <c r="B2383" s="9"/>
      <c r="C2383" s="14" t="s">
        <v>1190</v>
      </c>
      <c r="D2383" s="14"/>
      <c r="E2383" s="18" t="s">
        <v>0</v>
      </c>
      <c r="F2383" s="17" t="s">
        <v>23</v>
      </c>
      <c r="G2383" s="17">
        <f>G2374*20</f>
        <v>0</v>
      </c>
      <c r="H2383" s="13">
        <f t="shared" si="37"/>
        <v>0</v>
      </c>
    </row>
    <row r="2384" spans="2:8" ht="13.5" thickBot="1" x14ac:dyDescent="0.35">
      <c r="B2384" s="9"/>
      <c r="C2384" s="14" t="s">
        <v>1191</v>
      </c>
      <c r="D2384" s="14"/>
      <c r="E2384" s="18" t="s">
        <v>0</v>
      </c>
      <c r="F2384" s="17" t="s">
        <v>51</v>
      </c>
      <c r="G2384" s="17">
        <f>G2374*0.2</f>
        <v>0</v>
      </c>
      <c r="H2384" s="13">
        <f t="shared" si="37"/>
        <v>0</v>
      </c>
    </row>
    <row r="2385" spans="2:8" ht="13.5" thickBot="1" x14ac:dyDescent="0.35">
      <c r="B2385" s="9"/>
      <c r="C2385" s="14" t="s">
        <v>1192</v>
      </c>
      <c r="D2385" s="14"/>
      <c r="E2385" s="18" t="s">
        <v>0</v>
      </c>
      <c r="F2385" s="17" t="s">
        <v>23</v>
      </c>
      <c r="G2385" s="17">
        <f>G2374*2</f>
        <v>0</v>
      </c>
      <c r="H2385" s="13">
        <f t="shared" si="37"/>
        <v>0</v>
      </c>
    </row>
    <row r="2386" spans="2:8" ht="13.5" thickBot="1" x14ac:dyDescent="0.35">
      <c r="B2386" s="9"/>
      <c r="C2386" s="14" t="s">
        <v>1193</v>
      </c>
      <c r="D2386" s="14"/>
      <c r="E2386" s="18" t="s">
        <v>0</v>
      </c>
      <c r="F2386" s="17" t="s">
        <v>23</v>
      </c>
      <c r="G2386" s="17">
        <f>G2374*2</f>
        <v>0</v>
      </c>
      <c r="H2386" s="13">
        <f t="shared" si="37"/>
        <v>0</v>
      </c>
    </row>
    <row r="2387" spans="2:8" ht="13.5" thickBot="1" x14ac:dyDescent="0.35">
      <c r="B2387" s="9"/>
      <c r="C2387" s="14" t="s">
        <v>1194</v>
      </c>
      <c r="D2387" s="14"/>
      <c r="E2387" s="18" t="s">
        <v>0</v>
      </c>
      <c r="F2387" s="17" t="s">
        <v>23</v>
      </c>
      <c r="G2387" s="17">
        <f>G2374*4</f>
        <v>0</v>
      </c>
      <c r="H2387" s="13">
        <f t="shared" si="37"/>
        <v>0</v>
      </c>
    </row>
    <row r="2388" spans="2:8" ht="13.5" thickBot="1" x14ac:dyDescent="0.35">
      <c r="B2388" s="9"/>
      <c r="C2388" s="14" t="s">
        <v>1195</v>
      </c>
      <c r="D2388" s="14"/>
      <c r="E2388" s="18" t="s">
        <v>0</v>
      </c>
      <c r="F2388" s="17" t="s">
        <v>23</v>
      </c>
      <c r="G2388" s="17">
        <f>G2374*2</f>
        <v>0</v>
      </c>
      <c r="H2388" s="13">
        <f t="shared" si="37"/>
        <v>0</v>
      </c>
    </row>
    <row r="2389" spans="2:8" ht="13.5" thickBot="1" x14ac:dyDescent="0.35">
      <c r="B2389" s="9"/>
      <c r="C2389" s="14" t="s">
        <v>200</v>
      </c>
      <c r="D2389" s="14" t="s">
        <v>93</v>
      </c>
      <c r="E2389" s="18" t="s">
        <v>2</v>
      </c>
      <c r="F2389" s="17" t="s">
        <v>51</v>
      </c>
      <c r="G2389" s="17">
        <f>G2374*36</f>
        <v>0</v>
      </c>
      <c r="H2389" s="13">
        <f t="shared" si="37"/>
        <v>0</v>
      </c>
    </row>
    <row r="2390" spans="2:8" ht="13.5" thickBot="1" x14ac:dyDescent="0.35">
      <c r="B2390" s="9"/>
      <c r="C2390" s="14" t="s">
        <v>201</v>
      </c>
      <c r="D2390" s="14" t="s">
        <v>93</v>
      </c>
      <c r="E2390" s="18" t="s">
        <v>2</v>
      </c>
      <c r="F2390" s="17" t="s">
        <v>51</v>
      </c>
      <c r="G2390" s="17">
        <f>G2374*12</f>
        <v>0</v>
      </c>
      <c r="H2390" s="13">
        <f t="shared" si="37"/>
        <v>0</v>
      </c>
    </row>
    <row r="2391" spans="2:8" ht="13.5" thickBot="1" x14ac:dyDescent="0.35">
      <c r="B2391" s="9"/>
      <c r="C2391" s="14" t="s">
        <v>1196</v>
      </c>
      <c r="D2391" s="14" t="s">
        <v>49</v>
      </c>
      <c r="E2391" s="18" t="s">
        <v>6</v>
      </c>
      <c r="F2391" s="17" t="s">
        <v>51</v>
      </c>
      <c r="G2391" s="17">
        <f>G2374*50</f>
        <v>0</v>
      </c>
      <c r="H2391" s="13">
        <f t="shared" si="37"/>
        <v>0</v>
      </c>
    </row>
    <row r="2392" spans="2:8" ht="13.5" thickBot="1" x14ac:dyDescent="0.35">
      <c r="B2392" s="9"/>
      <c r="C2392" s="14" t="s">
        <v>1197</v>
      </c>
      <c r="D2392" s="14" t="s">
        <v>49</v>
      </c>
      <c r="E2392" s="18" t="s">
        <v>6</v>
      </c>
      <c r="F2392" s="17" t="s">
        <v>51</v>
      </c>
      <c r="G2392" s="17">
        <f>G2374*50</f>
        <v>0</v>
      </c>
      <c r="H2392" s="13">
        <f t="shared" si="37"/>
        <v>0</v>
      </c>
    </row>
    <row r="2393" spans="2:8" ht="13.5" thickBot="1" x14ac:dyDescent="0.35">
      <c r="B2393" s="9"/>
      <c r="C2393" s="14" t="s">
        <v>230</v>
      </c>
      <c r="D2393" s="14" t="s">
        <v>49</v>
      </c>
      <c r="E2393" s="18" t="s">
        <v>6</v>
      </c>
      <c r="F2393" s="17" t="s">
        <v>23</v>
      </c>
      <c r="G2393" s="17">
        <f>G2374</f>
        <v>0</v>
      </c>
      <c r="H2393" s="13">
        <f t="shared" si="37"/>
        <v>0</v>
      </c>
    </row>
    <row r="2394" spans="2:8" ht="13.5" thickBot="1" x14ac:dyDescent="0.35">
      <c r="B2394" s="9"/>
      <c r="C2394" s="14" t="s">
        <v>1198</v>
      </c>
      <c r="D2394" s="14" t="s">
        <v>217</v>
      </c>
      <c r="E2394" s="18" t="s">
        <v>7</v>
      </c>
      <c r="F2394" s="17" t="s">
        <v>23</v>
      </c>
      <c r="G2394" s="17">
        <f>G2374</f>
        <v>0</v>
      </c>
      <c r="H2394" s="13">
        <f t="shared" si="37"/>
        <v>0</v>
      </c>
    </row>
    <row r="2395" spans="2:8" ht="13.5" thickBot="1" x14ac:dyDescent="0.35">
      <c r="B2395" s="9"/>
      <c r="C2395" s="14" t="s">
        <v>1199</v>
      </c>
      <c r="D2395" s="14" t="s">
        <v>217</v>
      </c>
      <c r="E2395" s="18" t="s">
        <v>7</v>
      </c>
      <c r="F2395" s="17" t="s">
        <v>23</v>
      </c>
      <c r="G2395" s="17">
        <f>G2374</f>
        <v>0</v>
      </c>
      <c r="H2395" s="13">
        <f t="shared" si="37"/>
        <v>0</v>
      </c>
    </row>
    <row r="2396" spans="2:8" ht="13.5" thickBot="1" x14ac:dyDescent="0.35">
      <c r="B2396" s="9"/>
      <c r="C2396" s="14" t="s">
        <v>1200</v>
      </c>
      <c r="D2396" s="14" t="s">
        <v>217</v>
      </c>
      <c r="E2396" s="18" t="s">
        <v>7</v>
      </c>
      <c r="F2396" s="17" t="s">
        <v>23</v>
      </c>
      <c r="G2396" s="17">
        <f>G2374*2</f>
        <v>0</v>
      </c>
      <c r="H2396" s="13">
        <f t="shared" si="37"/>
        <v>0</v>
      </c>
    </row>
    <row r="2397" spans="2:8" ht="13.5" thickBot="1" x14ac:dyDescent="0.35">
      <c r="B2397" s="9"/>
      <c r="C2397" s="14" t="s">
        <v>1201</v>
      </c>
      <c r="D2397" s="14" t="s">
        <v>217</v>
      </c>
      <c r="E2397" s="18" t="s">
        <v>7</v>
      </c>
      <c r="F2397" s="17" t="s">
        <v>23</v>
      </c>
      <c r="G2397" s="17">
        <f>G2374</f>
        <v>0</v>
      </c>
      <c r="H2397" s="13">
        <f t="shared" si="37"/>
        <v>0</v>
      </c>
    </row>
    <row r="2398" spans="2:8" ht="13.5" thickBot="1" x14ac:dyDescent="0.35">
      <c r="B2398" s="9"/>
      <c r="C2398" s="14" t="s">
        <v>1202</v>
      </c>
      <c r="D2398" s="14" t="s">
        <v>217</v>
      </c>
      <c r="E2398" s="18" t="s">
        <v>0</v>
      </c>
      <c r="F2398" s="17" t="s">
        <v>23</v>
      </c>
      <c r="G2398" s="17">
        <f>G2374</f>
        <v>0</v>
      </c>
      <c r="H2398" s="13">
        <f t="shared" si="37"/>
        <v>0</v>
      </c>
    </row>
    <row r="2399" spans="2:8" ht="13.5" thickBot="1" x14ac:dyDescent="0.35">
      <c r="B2399" s="9"/>
      <c r="C2399" s="14" t="s">
        <v>1203</v>
      </c>
      <c r="D2399" s="14" t="s">
        <v>217</v>
      </c>
      <c r="E2399" s="18" t="s">
        <v>12</v>
      </c>
      <c r="F2399" s="17" t="s">
        <v>23</v>
      </c>
      <c r="G2399" s="17">
        <f>G2374*3</f>
        <v>0</v>
      </c>
      <c r="H2399" s="13">
        <f t="shared" si="37"/>
        <v>0</v>
      </c>
    </row>
    <row r="2400" spans="2:8" ht="13.5" thickBot="1" x14ac:dyDescent="0.35">
      <c r="B2400" s="9"/>
      <c r="C2400" s="14" t="s">
        <v>1204</v>
      </c>
      <c r="D2400" s="14" t="s">
        <v>93</v>
      </c>
      <c r="E2400" s="18" t="s">
        <v>2</v>
      </c>
      <c r="F2400" s="17" t="s">
        <v>51</v>
      </c>
      <c r="G2400" s="17">
        <f>G2374*15</f>
        <v>0</v>
      </c>
      <c r="H2400" s="13">
        <f t="shared" si="37"/>
        <v>0</v>
      </c>
    </row>
    <row r="2401" spans="2:8" ht="13.5" thickBot="1" x14ac:dyDescent="0.35">
      <c r="B2401" s="9"/>
      <c r="C2401" s="14" t="s">
        <v>401</v>
      </c>
      <c r="D2401" s="14" t="s">
        <v>49</v>
      </c>
      <c r="E2401" s="18" t="s">
        <v>6</v>
      </c>
      <c r="F2401" s="17" t="s">
        <v>23</v>
      </c>
      <c r="G2401" s="17">
        <f>G2374*9</f>
        <v>0</v>
      </c>
      <c r="H2401" s="13">
        <f t="shared" si="37"/>
        <v>0</v>
      </c>
    </row>
    <row r="2402" spans="2:8" ht="13.5" thickBot="1" x14ac:dyDescent="0.35">
      <c r="B2402" s="9"/>
      <c r="C2402" s="14" t="s">
        <v>1205</v>
      </c>
      <c r="D2402" s="14" t="s">
        <v>217</v>
      </c>
      <c r="E2402" s="18" t="s">
        <v>0</v>
      </c>
      <c r="F2402" s="17" t="s">
        <v>23</v>
      </c>
      <c r="G2402" s="17">
        <f>G2374*2</f>
        <v>0</v>
      </c>
      <c r="H2402" s="13">
        <f t="shared" si="37"/>
        <v>0</v>
      </c>
    </row>
    <row r="2403" spans="2:8" ht="13.5" thickBot="1" x14ac:dyDescent="0.35">
      <c r="B2403" s="9"/>
      <c r="C2403" s="14" t="s">
        <v>555</v>
      </c>
      <c r="D2403" s="14" t="s">
        <v>540</v>
      </c>
      <c r="E2403" s="18" t="s">
        <v>9</v>
      </c>
      <c r="F2403" s="17" t="s">
        <v>23</v>
      </c>
      <c r="G2403" s="17">
        <f>G2374</f>
        <v>0</v>
      </c>
      <c r="H2403" s="13">
        <f t="shared" si="37"/>
        <v>0</v>
      </c>
    </row>
    <row r="2404" spans="2:8" ht="13.5" thickBot="1" x14ac:dyDescent="0.35">
      <c r="B2404" s="9"/>
      <c r="C2404" s="14" t="s">
        <v>483</v>
      </c>
      <c r="D2404" s="14" t="s">
        <v>25</v>
      </c>
      <c r="E2404" s="18" t="s">
        <v>9</v>
      </c>
      <c r="F2404" s="17" t="s">
        <v>23</v>
      </c>
      <c r="G2404" s="17">
        <f>G2374*3</f>
        <v>0</v>
      </c>
      <c r="H2404" s="13">
        <f t="shared" si="37"/>
        <v>0</v>
      </c>
    </row>
    <row r="2405" spans="2:8" ht="13.5" thickBot="1" x14ac:dyDescent="0.35">
      <c r="B2405" s="9"/>
      <c r="C2405" s="14" t="s">
        <v>1206</v>
      </c>
      <c r="D2405" s="14" t="s">
        <v>1207</v>
      </c>
      <c r="E2405" s="18" t="s">
        <v>12</v>
      </c>
      <c r="F2405" s="17" t="s">
        <v>23</v>
      </c>
      <c r="G2405" s="17">
        <f>G2374</f>
        <v>0</v>
      </c>
      <c r="H2405" s="13">
        <f t="shared" si="37"/>
        <v>0</v>
      </c>
    </row>
    <row r="2406" spans="2:8" ht="13.5" thickBot="1" x14ac:dyDescent="0.35">
      <c r="B2406" s="9"/>
      <c r="C2406" s="14" t="s">
        <v>830</v>
      </c>
      <c r="D2406" s="14" t="s">
        <v>540</v>
      </c>
      <c r="E2406" s="18" t="s">
        <v>9</v>
      </c>
      <c r="F2406" s="17" t="s">
        <v>23</v>
      </c>
      <c r="G2406" s="17">
        <f>G2374*2</f>
        <v>0</v>
      </c>
      <c r="H2406" s="13">
        <f t="shared" si="37"/>
        <v>0</v>
      </c>
    </row>
    <row r="2407" spans="2:8" ht="13.5" thickBot="1" x14ac:dyDescent="0.35">
      <c r="B2407" s="9"/>
      <c r="C2407" s="14" t="s">
        <v>835</v>
      </c>
      <c r="D2407" s="14" t="s">
        <v>25</v>
      </c>
      <c r="E2407" s="18" t="s">
        <v>9</v>
      </c>
      <c r="F2407" s="17" t="s">
        <v>23</v>
      </c>
      <c r="G2407" s="17">
        <f>G2374</f>
        <v>0</v>
      </c>
      <c r="H2407" s="13">
        <f t="shared" si="37"/>
        <v>0</v>
      </c>
    </row>
    <row r="2408" spans="2:8" ht="13.5" thickBot="1" x14ac:dyDescent="0.35">
      <c r="B2408" s="9"/>
      <c r="C2408" s="14" t="s">
        <v>1208</v>
      </c>
      <c r="D2408" s="14" t="s">
        <v>1209</v>
      </c>
      <c r="E2408" s="18" t="s">
        <v>12</v>
      </c>
      <c r="F2408" s="17" t="s">
        <v>23</v>
      </c>
      <c r="G2408" s="17">
        <f>G2374*3</f>
        <v>0</v>
      </c>
      <c r="H2408" s="13">
        <f t="shared" si="37"/>
        <v>0</v>
      </c>
    </row>
    <row r="2409" spans="2:8" ht="13.5" thickBot="1" x14ac:dyDescent="0.35">
      <c r="B2409" s="9"/>
      <c r="C2409" s="14" t="s">
        <v>1210</v>
      </c>
      <c r="D2409" s="14"/>
      <c r="E2409" s="18" t="s">
        <v>12</v>
      </c>
      <c r="F2409" s="17" t="s">
        <v>23</v>
      </c>
      <c r="G2409" s="17">
        <f>G2374</f>
        <v>0</v>
      </c>
      <c r="H2409" s="13">
        <f t="shared" si="37"/>
        <v>0</v>
      </c>
    </row>
    <row r="2410" spans="2:8" ht="13.5" thickBot="1" x14ac:dyDescent="0.35">
      <c r="B2410" s="9"/>
      <c r="C2410" s="14" t="s">
        <v>233</v>
      </c>
      <c r="D2410" s="14" t="s">
        <v>49</v>
      </c>
      <c r="E2410" s="18" t="s">
        <v>6</v>
      </c>
      <c r="F2410" s="17" t="s">
        <v>23</v>
      </c>
      <c r="G2410" s="17">
        <f>G2374*9</f>
        <v>0</v>
      </c>
      <c r="H2410" s="13">
        <f t="shared" si="37"/>
        <v>0</v>
      </c>
    </row>
    <row r="2411" spans="2:8" ht="13.5" thickBot="1" x14ac:dyDescent="0.35">
      <c r="B2411" s="9"/>
      <c r="C2411" s="14" t="s">
        <v>1211</v>
      </c>
      <c r="D2411" s="14"/>
      <c r="E2411" s="18" t="s">
        <v>0</v>
      </c>
      <c r="F2411" s="17" t="s">
        <v>23</v>
      </c>
      <c r="G2411" s="17">
        <f>G2374*2</f>
        <v>0</v>
      </c>
      <c r="H2411" s="13">
        <f t="shared" si="37"/>
        <v>0</v>
      </c>
    </row>
    <row r="2412" spans="2:8" ht="13.5" thickBot="1" x14ac:dyDescent="0.35">
      <c r="B2412" s="9"/>
      <c r="C2412" s="14" t="s">
        <v>1212</v>
      </c>
      <c r="D2412" s="14"/>
      <c r="E2412" s="18" t="s">
        <v>0</v>
      </c>
      <c r="F2412" s="17" t="s">
        <v>23</v>
      </c>
      <c r="G2412" s="17">
        <f>G2374*9</f>
        <v>0</v>
      </c>
      <c r="H2412" s="13">
        <f t="shared" si="37"/>
        <v>0</v>
      </c>
    </row>
    <row r="2413" spans="2:8" ht="13.5" thickBot="1" x14ac:dyDescent="0.35">
      <c r="B2413" s="9"/>
      <c r="C2413" s="14" t="s">
        <v>1213</v>
      </c>
      <c r="D2413" s="14"/>
      <c r="E2413" s="18" t="s">
        <v>0</v>
      </c>
      <c r="F2413" s="17" t="s">
        <v>23</v>
      </c>
      <c r="G2413" s="17">
        <f>G2374*3</f>
        <v>0</v>
      </c>
      <c r="H2413" s="13">
        <f t="shared" si="37"/>
        <v>0</v>
      </c>
    </row>
    <row r="2414" spans="2:8" ht="13.5" thickBot="1" x14ac:dyDescent="0.35">
      <c r="B2414" s="9"/>
      <c r="C2414" s="14" t="s">
        <v>1214</v>
      </c>
      <c r="D2414" s="14"/>
      <c r="E2414" s="18" t="s">
        <v>0</v>
      </c>
      <c r="F2414" s="17" t="s">
        <v>23</v>
      </c>
      <c r="G2414" s="17">
        <f>G2374</f>
        <v>0</v>
      </c>
      <c r="H2414" s="13">
        <f t="shared" si="37"/>
        <v>0</v>
      </c>
    </row>
    <row r="2415" spans="2:8" ht="13.5" thickBot="1" x14ac:dyDescent="0.35">
      <c r="B2415" s="9"/>
      <c r="C2415" s="14" t="s">
        <v>837</v>
      </c>
      <c r="D2415" s="14" t="s">
        <v>25</v>
      </c>
      <c r="E2415" s="18" t="s">
        <v>9</v>
      </c>
      <c r="F2415" s="17" t="s">
        <v>23</v>
      </c>
      <c r="G2415" s="17">
        <f>G2374*4</f>
        <v>0</v>
      </c>
      <c r="H2415" s="13">
        <f t="shared" si="37"/>
        <v>0</v>
      </c>
    </row>
    <row r="2416" spans="2:8" ht="13.5" thickBot="1" x14ac:dyDescent="0.35">
      <c r="B2416" s="9"/>
      <c r="C2416" s="14" t="s">
        <v>831</v>
      </c>
      <c r="D2416" s="14" t="s">
        <v>540</v>
      </c>
      <c r="E2416" s="18" t="s">
        <v>9</v>
      </c>
      <c r="F2416" s="17" t="s">
        <v>23</v>
      </c>
      <c r="G2416" s="17">
        <f>G2374</f>
        <v>0</v>
      </c>
      <c r="H2416" s="13">
        <f t="shared" si="37"/>
        <v>0</v>
      </c>
    </row>
    <row r="2417" spans="2:8" ht="13.5" thickBot="1" x14ac:dyDescent="0.35">
      <c r="B2417" s="9"/>
      <c r="C2417" s="14" t="s">
        <v>1215</v>
      </c>
      <c r="D2417" s="14"/>
      <c r="E2417" s="18" t="s">
        <v>0</v>
      </c>
      <c r="F2417" s="17" t="s">
        <v>23</v>
      </c>
      <c r="G2417" s="17">
        <f>G2374</f>
        <v>0</v>
      </c>
      <c r="H2417" s="13">
        <f t="shared" si="37"/>
        <v>0</v>
      </c>
    </row>
    <row r="2418" spans="2:8" ht="13.5" thickBot="1" x14ac:dyDescent="0.35">
      <c r="B2418" s="9"/>
      <c r="C2418" s="14" t="s">
        <v>1216</v>
      </c>
      <c r="D2418" s="14"/>
      <c r="E2418" s="18" t="s">
        <v>0</v>
      </c>
      <c r="F2418" s="17" t="s">
        <v>23</v>
      </c>
      <c r="G2418" s="17">
        <f>G2374*3</f>
        <v>0</v>
      </c>
      <c r="H2418" s="13">
        <f t="shared" si="37"/>
        <v>0</v>
      </c>
    </row>
    <row r="2419" spans="2:8" ht="13.5" thickBot="1" x14ac:dyDescent="0.35">
      <c r="B2419" s="9"/>
      <c r="C2419" s="14" t="s">
        <v>1217</v>
      </c>
      <c r="D2419" s="14"/>
      <c r="E2419" s="18" t="s">
        <v>0</v>
      </c>
      <c r="F2419" s="17" t="s">
        <v>23</v>
      </c>
      <c r="G2419" s="17">
        <f>G2374*2</f>
        <v>0</v>
      </c>
      <c r="H2419" s="13">
        <f t="shared" si="37"/>
        <v>0</v>
      </c>
    </row>
    <row r="2420" spans="2:8" ht="13.5" thickBot="1" x14ac:dyDescent="0.35">
      <c r="B2420" s="9"/>
      <c r="C2420" s="14" t="s">
        <v>1218</v>
      </c>
      <c r="D2420" s="14"/>
      <c r="E2420" s="18" t="s">
        <v>12</v>
      </c>
      <c r="F2420" s="17" t="s">
        <v>23</v>
      </c>
      <c r="G2420" s="17">
        <f>G2374</f>
        <v>0</v>
      </c>
      <c r="H2420" s="13">
        <f t="shared" si="37"/>
        <v>0</v>
      </c>
    </row>
    <row r="2421" spans="2:8" ht="13.5" thickBot="1" x14ac:dyDescent="0.35">
      <c r="B2421" s="9"/>
      <c r="C2421" s="14" t="s">
        <v>1219</v>
      </c>
      <c r="D2421" s="14"/>
      <c r="E2421" s="18" t="s">
        <v>12</v>
      </c>
      <c r="F2421" s="17" t="s">
        <v>23</v>
      </c>
      <c r="G2421" s="17">
        <f>G2374</f>
        <v>0</v>
      </c>
      <c r="H2421" s="13">
        <f t="shared" si="37"/>
        <v>0</v>
      </c>
    </row>
    <row r="2422" spans="2:8" ht="13.5" thickBot="1" x14ac:dyDescent="0.35">
      <c r="B2422" s="9"/>
      <c r="C2422" s="14" t="s">
        <v>1220</v>
      </c>
      <c r="D2422" s="14"/>
      <c r="E2422" s="18" t="s">
        <v>0</v>
      </c>
      <c r="F2422" s="17" t="s">
        <v>23</v>
      </c>
      <c r="G2422" s="17">
        <f>G2374*3</f>
        <v>0</v>
      </c>
      <c r="H2422" s="13">
        <f t="shared" si="37"/>
        <v>0</v>
      </c>
    </row>
    <row r="2423" spans="2:8" ht="13.5" thickBot="1" x14ac:dyDescent="0.35">
      <c r="B2423" s="9"/>
      <c r="C2423" s="14" t="s">
        <v>1221</v>
      </c>
      <c r="D2423" s="14"/>
      <c r="E2423" s="18" t="s">
        <v>0</v>
      </c>
      <c r="F2423" s="17" t="s">
        <v>23</v>
      </c>
      <c r="G2423" s="17">
        <f>G2374*6</f>
        <v>0</v>
      </c>
      <c r="H2423" s="13">
        <f t="shared" si="37"/>
        <v>0</v>
      </c>
    </row>
    <row r="2424" spans="2:8" ht="13.5" thickBot="1" x14ac:dyDescent="0.35">
      <c r="B2424" s="9"/>
      <c r="C2424" s="14" t="s">
        <v>1222</v>
      </c>
      <c r="D2424" s="14"/>
      <c r="E2424" s="18" t="s">
        <v>0</v>
      </c>
      <c r="F2424" s="17" t="s">
        <v>23</v>
      </c>
      <c r="G2424" s="17">
        <f>G2374*6</f>
        <v>0</v>
      </c>
      <c r="H2424" s="13">
        <f t="shared" si="37"/>
        <v>0</v>
      </c>
    </row>
    <row r="2425" spans="2:8" ht="13.5" thickBot="1" x14ac:dyDescent="0.35">
      <c r="B2425" s="9"/>
      <c r="C2425" s="14" t="s">
        <v>1223</v>
      </c>
      <c r="D2425" s="14"/>
      <c r="E2425" s="18" t="s">
        <v>0</v>
      </c>
      <c r="F2425" s="17" t="s">
        <v>23</v>
      </c>
      <c r="G2425" s="17">
        <f>G2374*8</f>
        <v>0</v>
      </c>
      <c r="H2425" s="13">
        <f t="shared" si="37"/>
        <v>0</v>
      </c>
    </row>
    <row r="2426" spans="2:8" ht="13.5" thickBot="1" x14ac:dyDescent="0.35">
      <c r="B2426" s="9"/>
      <c r="C2426" s="14" t="s">
        <v>1224</v>
      </c>
      <c r="D2426" s="14"/>
      <c r="E2426" s="18" t="s">
        <v>12</v>
      </c>
      <c r="F2426" s="17" t="s">
        <v>23</v>
      </c>
      <c r="G2426" s="17">
        <f>G2374*3</f>
        <v>0</v>
      </c>
      <c r="H2426" s="13">
        <f t="shared" si="37"/>
        <v>0</v>
      </c>
    </row>
    <row r="2427" spans="2:8" ht="13.5" thickBot="1" x14ac:dyDescent="0.35">
      <c r="B2427" s="9"/>
      <c r="C2427" s="14" t="s">
        <v>1225</v>
      </c>
      <c r="D2427" s="14"/>
      <c r="E2427" s="18" t="s">
        <v>0</v>
      </c>
      <c r="F2427" s="17" t="s">
        <v>23</v>
      </c>
      <c r="G2427" s="17">
        <f>G2374*3</f>
        <v>0</v>
      </c>
      <c r="H2427" s="13">
        <f t="shared" si="37"/>
        <v>0</v>
      </c>
    </row>
    <row r="2428" spans="2:8" ht="13.5" thickBot="1" x14ac:dyDescent="0.35">
      <c r="B2428" s="9"/>
      <c r="C2428" s="14" t="s">
        <v>1226</v>
      </c>
      <c r="D2428" s="14"/>
      <c r="E2428" s="18" t="s">
        <v>0</v>
      </c>
      <c r="F2428" s="17" t="s">
        <v>23</v>
      </c>
      <c r="G2428" s="17">
        <f>G2374</f>
        <v>0</v>
      </c>
      <c r="H2428" s="13">
        <f t="shared" si="37"/>
        <v>0</v>
      </c>
    </row>
    <row r="2429" spans="2:8" ht="13.5" thickBot="1" x14ac:dyDescent="0.35">
      <c r="B2429" s="9"/>
      <c r="C2429" s="14" t="s">
        <v>1227</v>
      </c>
      <c r="D2429" s="14"/>
      <c r="E2429" s="18" t="s">
        <v>0</v>
      </c>
      <c r="F2429" s="17" t="s">
        <v>23</v>
      </c>
      <c r="G2429" s="17">
        <f>G2374</f>
        <v>0</v>
      </c>
      <c r="H2429" s="13">
        <f t="shared" si="37"/>
        <v>0</v>
      </c>
    </row>
    <row r="2430" spans="2:8" ht="13.5" thickBot="1" x14ac:dyDescent="0.35">
      <c r="B2430" s="9"/>
      <c r="C2430" s="14" t="s">
        <v>1228</v>
      </c>
      <c r="D2430" s="14"/>
      <c r="E2430" s="18" t="s">
        <v>0</v>
      </c>
      <c r="F2430" s="17" t="s">
        <v>23</v>
      </c>
      <c r="G2430" s="17">
        <f>G2374*3</f>
        <v>0</v>
      </c>
      <c r="H2430" s="13">
        <f t="shared" si="37"/>
        <v>0</v>
      </c>
    </row>
    <row r="2431" spans="2:8" ht="13.5" thickBot="1" x14ac:dyDescent="0.35">
      <c r="B2431" s="9"/>
      <c r="C2431" s="14" t="s">
        <v>1229</v>
      </c>
      <c r="D2431" s="14"/>
      <c r="E2431" s="18" t="s">
        <v>12</v>
      </c>
      <c r="F2431" s="17" t="s">
        <v>23</v>
      </c>
      <c r="G2431" s="17">
        <f>G2374</f>
        <v>0</v>
      </c>
      <c r="H2431" s="13">
        <f t="shared" si="37"/>
        <v>0</v>
      </c>
    </row>
    <row r="2432" spans="2:8" ht="13.5" thickBot="1" x14ac:dyDescent="0.35">
      <c r="B2432" s="9"/>
      <c r="C2432" s="14" t="s">
        <v>1230</v>
      </c>
      <c r="D2432" s="14" t="s">
        <v>49</v>
      </c>
      <c r="E2432" s="18" t="s">
        <v>6</v>
      </c>
      <c r="F2432" s="17" t="s">
        <v>23</v>
      </c>
      <c r="G2432" s="17">
        <f>G2374*10</f>
        <v>0</v>
      </c>
      <c r="H2432" s="13">
        <f t="shared" si="37"/>
        <v>0</v>
      </c>
    </row>
    <row r="2433" spans="2:8" ht="13.5" thickBot="1" x14ac:dyDescent="0.35">
      <c r="B2433" s="9"/>
      <c r="C2433" s="14" t="s">
        <v>1231</v>
      </c>
      <c r="D2433" s="14"/>
      <c r="E2433" s="18" t="s">
        <v>0</v>
      </c>
      <c r="F2433" s="17" t="s">
        <v>23</v>
      </c>
      <c r="G2433" s="17">
        <f>G2374</f>
        <v>0</v>
      </c>
      <c r="H2433" s="13">
        <f t="shared" si="37"/>
        <v>0</v>
      </c>
    </row>
    <row r="2434" spans="2:8" ht="13.5" thickBot="1" x14ac:dyDescent="0.35">
      <c r="B2434" s="9"/>
      <c r="C2434" s="14" t="s">
        <v>1232</v>
      </c>
      <c r="D2434" s="14"/>
      <c r="E2434" s="18" t="s">
        <v>0</v>
      </c>
      <c r="F2434" s="17" t="s">
        <v>23</v>
      </c>
      <c r="G2434" s="17">
        <f>G2374*3</f>
        <v>0</v>
      </c>
      <c r="H2434" s="13">
        <f t="shared" si="37"/>
        <v>0</v>
      </c>
    </row>
    <row r="2435" spans="2:8" ht="13.5" thickBot="1" x14ac:dyDescent="0.35">
      <c r="B2435" s="9"/>
      <c r="C2435" s="14" t="s">
        <v>1233</v>
      </c>
      <c r="D2435" s="14"/>
      <c r="E2435" s="18" t="s">
        <v>0</v>
      </c>
      <c r="F2435" s="17" t="s">
        <v>23</v>
      </c>
      <c r="G2435" s="17">
        <f>G2374*3</f>
        <v>0</v>
      </c>
      <c r="H2435" s="13">
        <f t="shared" si="37"/>
        <v>0</v>
      </c>
    </row>
    <row r="2436" spans="2:8" ht="13.5" thickBot="1" x14ac:dyDescent="0.35">
      <c r="B2436" s="9"/>
      <c r="C2436" s="14" t="s">
        <v>1234</v>
      </c>
      <c r="D2436" s="14"/>
      <c r="E2436" s="18" t="s">
        <v>0</v>
      </c>
      <c r="F2436" s="17" t="s">
        <v>23</v>
      </c>
      <c r="G2436" s="17">
        <f>G2374*2</f>
        <v>0</v>
      </c>
      <c r="H2436" s="13">
        <f t="shared" ref="H2436:H2499" si="38">SUM(G2436:G2436)</f>
        <v>0</v>
      </c>
    </row>
    <row r="2437" spans="2:8" ht="13.5" thickBot="1" x14ac:dyDescent="0.35">
      <c r="B2437" s="9"/>
      <c r="C2437" s="14" t="s">
        <v>231</v>
      </c>
      <c r="D2437" s="14" t="s">
        <v>49</v>
      </c>
      <c r="E2437" s="18" t="s">
        <v>0</v>
      </c>
      <c r="F2437" s="17" t="s">
        <v>23</v>
      </c>
      <c r="G2437" s="17">
        <f>G2374</f>
        <v>0</v>
      </c>
      <c r="H2437" s="13">
        <f t="shared" si="38"/>
        <v>0</v>
      </c>
    </row>
    <row r="2438" spans="2:8" ht="13.5" thickBot="1" x14ac:dyDescent="0.35">
      <c r="B2438" s="9"/>
      <c r="C2438" s="14" t="s">
        <v>1235</v>
      </c>
      <c r="D2438" s="14"/>
      <c r="E2438" s="18" t="s">
        <v>0</v>
      </c>
      <c r="F2438" s="17" t="s">
        <v>23</v>
      </c>
      <c r="G2438" s="17">
        <f>G2374*14</f>
        <v>0</v>
      </c>
      <c r="H2438" s="13">
        <f t="shared" si="38"/>
        <v>0</v>
      </c>
    </row>
    <row r="2439" spans="2:8" ht="13.5" thickBot="1" x14ac:dyDescent="0.35">
      <c r="B2439" s="9"/>
      <c r="C2439" s="14" t="s">
        <v>1235</v>
      </c>
      <c r="D2439" s="14"/>
      <c r="E2439" s="18" t="s">
        <v>12</v>
      </c>
      <c r="F2439" s="17" t="s">
        <v>23</v>
      </c>
      <c r="G2439" s="17">
        <f>G2374</f>
        <v>0</v>
      </c>
      <c r="H2439" s="13">
        <f t="shared" si="38"/>
        <v>0</v>
      </c>
    </row>
    <row r="2440" spans="2:8" ht="13.5" thickBot="1" x14ac:dyDescent="0.35">
      <c r="B2440" s="9"/>
      <c r="C2440" s="14" t="s">
        <v>1236</v>
      </c>
      <c r="D2440" s="14"/>
      <c r="E2440" s="18" t="s">
        <v>0</v>
      </c>
      <c r="F2440" s="17" t="s">
        <v>23</v>
      </c>
      <c r="G2440" s="17">
        <f>G2374*6</f>
        <v>0</v>
      </c>
      <c r="H2440" s="13">
        <f t="shared" si="38"/>
        <v>0</v>
      </c>
    </row>
    <row r="2441" spans="2:8" ht="13.5" thickBot="1" x14ac:dyDescent="0.35">
      <c r="B2441" s="9"/>
      <c r="C2441" s="14" t="s">
        <v>1237</v>
      </c>
      <c r="D2441" s="14"/>
      <c r="E2441" s="18" t="s">
        <v>0</v>
      </c>
      <c r="F2441" s="17" t="s">
        <v>23</v>
      </c>
      <c r="G2441" s="17">
        <f>G2374</f>
        <v>0</v>
      </c>
      <c r="H2441" s="13">
        <f t="shared" si="38"/>
        <v>0</v>
      </c>
    </row>
    <row r="2442" spans="2:8" ht="13.5" thickBot="1" x14ac:dyDescent="0.35">
      <c r="B2442" s="9">
        <f>COUNT($B$4:B2441)+1</f>
        <v>715</v>
      </c>
      <c r="C2442" s="10" t="s">
        <v>1238</v>
      </c>
      <c r="D2442" s="10"/>
      <c r="E2442" s="11" t="s">
        <v>11</v>
      </c>
      <c r="F2442" s="12" t="s">
        <v>884</v>
      </c>
      <c r="G2442" s="17"/>
      <c r="H2442" s="13">
        <f t="shared" si="38"/>
        <v>0</v>
      </c>
    </row>
    <row r="2443" spans="2:8" ht="13.5" thickBot="1" x14ac:dyDescent="0.35">
      <c r="B2443" s="9">
        <f>COUNT($B$4:B2442)+1</f>
        <v>716</v>
      </c>
      <c r="C2443" s="10" t="s">
        <v>1239</v>
      </c>
      <c r="D2443" s="10"/>
      <c r="E2443" s="11" t="s">
        <v>11</v>
      </c>
      <c r="F2443" s="12" t="s">
        <v>23</v>
      </c>
      <c r="G2443" s="12"/>
      <c r="H2443" s="13">
        <f t="shared" si="38"/>
        <v>0</v>
      </c>
    </row>
    <row r="2444" spans="2:8" ht="13.5" thickBot="1" x14ac:dyDescent="0.35">
      <c r="B2444" s="9"/>
      <c r="C2444" s="14" t="s">
        <v>1182</v>
      </c>
      <c r="D2444" s="14"/>
      <c r="E2444" s="18" t="s">
        <v>0</v>
      </c>
      <c r="F2444" s="17" t="s">
        <v>23</v>
      </c>
      <c r="G2444" s="17">
        <f>G2443</f>
        <v>0</v>
      </c>
      <c r="H2444" s="13">
        <f t="shared" si="38"/>
        <v>0</v>
      </c>
    </row>
    <row r="2445" spans="2:8" ht="13.5" thickBot="1" x14ac:dyDescent="0.35">
      <c r="B2445" s="9"/>
      <c r="C2445" s="14" t="s">
        <v>1183</v>
      </c>
      <c r="D2445" s="14"/>
      <c r="E2445" s="18" t="s">
        <v>0</v>
      </c>
      <c r="F2445" s="17" t="s">
        <v>23</v>
      </c>
      <c r="G2445" s="17">
        <f>G2443</f>
        <v>0</v>
      </c>
      <c r="H2445" s="13">
        <f t="shared" si="38"/>
        <v>0</v>
      </c>
    </row>
    <row r="2446" spans="2:8" ht="13.5" thickBot="1" x14ac:dyDescent="0.35">
      <c r="B2446" s="9"/>
      <c r="C2446" s="14" t="s">
        <v>1184</v>
      </c>
      <c r="D2446" s="14"/>
      <c r="E2446" s="18" t="s">
        <v>0</v>
      </c>
      <c r="F2446" s="17" t="s">
        <v>23</v>
      </c>
      <c r="G2446" s="17">
        <f>G2443</f>
        <v>0</v>
      </c>
      <c r="H2446" s="13">
        <f t="shared" si="38"/>
        <v>0</v>
      </c>
    </row>
    <row r="2447" spans="2:8" ht="13.5" thickBot="1" x14ac:dyDescent="0.35">
      <c r="B2447" s="9"/>
      <c r="C2447" s="14" t="s">
        <v>1185</v>
      </c>
      <c r="D2447" s="14"/>
      <c r="E2447" s="18" t="s">
        <v>0</v>
      </c>
      <c r="F2447" s="17" t="s">
        <v>23</v>
      </c>
      <c r="G2447" s="17">
        <f>G2443</f>
        <v>0</v>
      </c>
      <c r="H2447" s="13">
        <f t="shared" si="38"/>
        <v>0</v>
      </c>
    </row>
    <row r="2448" spans="2:8" ht="13.5" thickBot="1" x14ac:dyDescent="0.35">
      <c r="B2448" s="9"/>
      <c r="C2448" s="14" t="s">
        <v>1186</v>
      </c>
      <c r="D2448" s="14"/>
      <c r="E2448" s="18" t="s">
        <v>0</v>
      </c>
      <c r="F2448" s="17" t="s">
        <v>23</v>
      </c>
      <c r="G2448" s="17">
        <f>G2443</f>
        <v>0</v>
      </c>
      <c r="H2448" s="13">
        <f t="shared" si="38"/>
        <v>0</v>
      </c>
    </row>
    <row r="2449" spans="2:8" ht="13.5" thickBot="1" x14ac:dyDescent="0.35">
      <c r="B2449" s="9"/>
      <c r="C2449" s="14" t="s">
        <v>1187</v>
      </c>
      <c r="D2449" s="14"/>
      <c r="E2449" s="18" t="s">
        <v>0</v>
      </c>
      <c r="F2449" s="17" t="s">
        <v>23</v>
      </c>
      <c r="G2449" s="17">
        <f>G2443</f>
        <v>0</v>
      </c>
      <c r="H2449" s="13">
        <f t="shared" si="38"/>
        <v>0</v>
      </c>
    </row>
    <row r="2450" spans="2:8" ht="13.5" thickBot="1" x14ac:dyDescent="0.35">
      <c r="B2450" s="9"/>
      <c r="C2450" s="14" t="s">
        <v>1188</v>
      </c>
      <c r="D2450" s="14"/>
      <c r="E2450" s="18" t="s">
        <v>0</v>
      </c>
      <c r="F2450" s="17" t="s">
        <v>23</v>
      </c>
      <c r="G2450" s="17">
        <f>G2443*4</f>
        <v>0</v>
      </c>
      <c r="H2450" s="13">
        <f t="shared" si="38"/>
        <v>0</v>
      </c>
    </row>
    <row r="2451" spans="2:8" ht="13.5" thickBot="1" x14ac:dyDescent="0.35">
      <c r="B2451" s="9"/>
      <c r="C2451" s="14" t="s">
        <v>1189</v>
      </c>
      <c r="D2451" s="14"/>
      <c r="E2451" s="18" t="s">
        <v>0</v>
      </c>
      <c r="F2451" s="17" t="s">
        <v>23</v>
      </c>
      <c r="G2451" s="17">
        <f>G2443</f>
        <v>0</v>
      </c>
      <c r="H2451" s="13">
        <f t="shared" si="38"/>
        <v>0</v>
      </c>
    </row>
    <row r="2452" spans="2:8" ht="13.5" thickBot="1" x14ac:dyDescent="0.35">
      <c r="B2452" s="9"/>
      <c r="C2452" s="14" t="s">
        <v>1190</v>
      </c>
      <c r="D2452" s="14"/>
      <c r="E2452" s="18" t="s">
        <v>0</v>
      </c>
      <c r="F2452" s="17" t="s">
        <v>23</v>
      </c>
      <c r="G2452" s="17">
        <f>G2443*20</f>
        <v>0</v>
      </c>
      <c r="H2452" s="13">
        <f t="shared" si="38"/>
        <v>0</v>
      </c>
    </row>
    <row r="2453" spans="2:8" ht="13.5" thickBot="1" x14ac:dyDescent="0.35">
      <c r="B2453" s="9"/>
      <c r="C2453" s="14" t="s">
        <v>1191</v>
      </c>
      <c r="D2453" s="14"/>
      <c r="E2453" s="18" t="s">
        <v>0</v>
      </c>
      <c r="F2453" s="17" t="s">
        <v>51</v>
      </c>
      <c r="G2453" s="17">
        <f>G2443*0.2</f>
        <v>0</v>
      </c>
      <c r="H2453" s="13">
        <f t="shared" si="38"/>
        <v>0</v>
      </c>
    </row>
    <row r="2454" spans="2:8" ht="13.5" thickBot="1" x14ac:dyDescent="0.35">
      <c r="B2454" s="9"/>
      <c r="C2454" s="14" t="s">
        <v>1192</v>
      </c>
      <c r="D2454" s="14"/>
      <c r="E2454" s="18" t="s">
        <v>0</v>
      </c>
      <c r="F2454" s="17" t="s">
        <v>23</v>
      </c>
      <c r="G2454" s="17">
        <f>G2443*2</f>
        <v>0</v>
      </c>
      <c r="H2454" s="13">
        <f t="shared" si="38"/>
        <v>0</v>
      </c>
    </row>
    <row r="2455" spans="2:8" ht="13.5" thickBot="1" x14ac:dyDescent="0.35">
      <c r="B2455" s="9"/>
      <c r="C2455" s="14" t="s">
        <v>1193</v>
      </c>
      <c r="D2455" s="14"/>
      <c r="E2455" s="18" t="s">
        <v>0</v>
      </c>
      <c r="F2455" s="17" t="s">
        <v>23</v>
      </c>
      <c r="G2455" s="17">
        <f>G2443*2</f>
        <v>0</v>
      </c>
      <c r="H2455" s="13">
        <f t="shared" si="38"/>
        <v>0</v>
      </c>
    </row>
    <row r="2456" spans="2:8" ht="13.5" thickBot="1" x14ac:dyDescent="0.35">
      <c r="B2456" s="9"/>
      <c r="C2456" s="14" t="s">
        <v>1194</v>
      </c>
      <c r="D2456" s="14"/>
      <c r="E2456" s="18" t="s">
        <v>0</v>
      </c>
      <c r="F2456" s="17" t="s">
        <v>23</v>
      </c>
      <c r="G2456" s="17">
        <f>G2443*4</f>
        <v>0</v>
      </c>
      <c r="H2456" s="13">
        <f t="shared" si="38"/>
        <v>0</v>
      </c>
    </row>
    <row r="2457" spans="2:8" ht="13.5" thickBot="1" x14ac:dyDescent="0.35">
      <c r="B2457" s="9"/>
      <c r="C2457" s="14" t="s">
        <v>1195</v>
      </c>
      <c r="D2457" s="14"/>
      <c r="E2457" s="18" t="s">
        <v>0</v>
      </c>
      <c r="F2457" s="17" t="s">
        <v>23</v>
      </c>
      <c r="G2457" s="17">
        <f>G2443*2</f>
        <v>0</v>
      </c>
      <c r="H2457" s="13">
        <f t="shared" si="38"/>
        <v>0</v>
      </c>
    </row>
    <row r="2458" spans="2:8" ht="13.5" thickBot="1" x14ac:dyDescent="0.35">
      <c r="B2458" s="9"/>
      <c r="C2458" s="14" t="s">
        <v>208</v>
      </c>
      <c r="D2458" s="14" t="s">
        <v>93</v>
      </c>
      <c r="E2458" s="18" t="s">
        <v>2</v>
      </c>
      <c r="F2458" s="17" t="s">
        <v>51</v>
      </c>
      <c r="G2458" s="17">
        <f>G2443*36</f>
        <v>0</v>
      </c>
      <c r="H2458" s="13">
        <f t="shared" si="38"/>
        <v>0</v>
      </c>
    </row>
    <row r="2459" spans="2:8" ht="13.5" thickBot="1" x14ac:dyDescent="0.35">
      <c r="B2459" s="9"/>
      <c r="C2459" s="14" t="s">
        <v>209</v>
      </c>
      <c r="D2459" s="14" t="s">
        <v>93</v>
      </c>
      <c r="E2459" s="18" t="s">
        <v>2</v>
      </c>
      <c r="F2459" s="17" t="s">
        <v>51</v>
      </c>
      <c r="G2459" s="17">
        <f>G2443*12</f>
        <v>0</v>
      </c>
      <c r="H2459" s="13">
        <f t="shared" si="38"/>
        <v>0</v>
      </c>
    </row>
    <row r="2460" spans="2:8" ht="13.5" thickBot="1" x14ac:dyDescent="0.35">
      <c r="B2460" s="9"/>
      <c r="C2460" s="14" t="s">
        <v>1196</v>
      </c>
      <c r="D2460" s="14" t="s">
        <v>49</v>
      </c>
      <c r="E2460" s="18" t="s">
        <v>6</v>
      </c>
      <c r="F2460" s="17" t="s">
        <v>51</v>
      </c>
      <c r="G2460" s="17">
        <f>G2443*50</f>
        <v>0</v>
      </c>
      <c r="H2460" s="13">
        <f t="shared" si="38"/>
        <v>0</v>
      </c>
    </row>
    <row r="2461" spans="2:8" ht="13.5" thickBot="1" x14ac:dyDescent="0.35">
      <c r="B2461" s="9"/>
      <c r="C2461" s="14" t="s">
        <v>1197</v>
      </c>
      <c r="D2461" s="14" t="s">
        <v>49</v>
      </c>
      <c r="E2461" s="18" t="s">
        <v>6</v>
      </c>
      <c r="F2461" s="17" t="s">
        <v>51</v>
      </c>
      <c r="G2461" s="17">
        <f>G2443*50</f>
        <v>0</v>
      </c>
      <c r="H2461" s="13">
        <f t="shared" si="38"/>
        <v>0</v>
      </c>
    </row>
    <row r="2462" spans="2:8" ht="13.5" thickBot="1" x14ac:dyDescent="0.35">
      <c r="B2462" s="9"/>
      <c r="C2462" s="14" t="s">
        <v>230</v>
      </c>
      <c r="D2462" s="14" t="s">
        <v>49</v>
      </c>
      <c r="E2462" s="18" t="s">
        <v>6</v>
      </c>
      <c r="F2462" s="17" t="s">
        <v>23</v>
      </c>
      <c r="G2462" s="17">
        <f>G2443</f>
        <v>0</v>
      </c>
      <c r="H2462" s="13">
        <f t="shared" si="38"/>
        <v>0</v>
      </c>
    </row>
    <row r="2463" spans="2:8" ht="13.5" thickBot="1" x14ac:dyDescent="0.35">
      <c r="B2463" s="9"/>
      <c r="C2463" s="14" t="s">
        <v>1198</v>
      </c>
      <c r="D2463" s="14" t="s">
        <v>217</v>
      </c>
      <c r="E2463" s="18" t="s">
        <v>7</v>
      </c>
      <c r="F2463" s="17" t="s">
        <v>23</v>
      </c>
      <c r="G2463" s="17">
        <f>G2443</f>
        <v>0</v>
      </c>
      <c r="H2463" s="13">
        <f t="shared" si="38"/>
        <v>0</v>
      </c>
    </row>
    <row r="2464" spans="2:8" ht="13.5" thickBot="1" x14ac:dyDescent="0.35">
      <c r="B2464" s="9"/>
      <c r="C2464" s="14" t="s">
        <v>1199</v>
      </c>
      <c r="D2464" s="14" t="s">
        <v>217</v>
      </c>
      <c r="E2464" s="18" t="s">
        <v>7</v>
      </c>
      <c r="F2464" s="17" t="s">
        <v>23</v>
      </c>
      <c r="G2464" s="17">
        <f>G2443</f>
        <v>0</v>
      </c>
      <c r="H2464" s="13">
        <f t="shared" si="38"/>
        <v>0</v>
      </c>
    </row>
    <row r="2465" spans="2:8" ht="13.5" thickBot="1" x14ac:dyDescent="0.35">
      <c r="B2465" s="9"/>
      <c r="C2465" s="14" t="s">
        <v>1200</v>
      </c>
      <c r="D2465" s="14" t="s">
        <v>217</v>
      </c>
      <c r="E2465" s="18" t="s">
        <v>7</v>
      </c>
      <c r="F2465" s="17" t="s">
        <v>23</v>
      </c>
      <c r="G2465" s="17">
        <f>G2443*2</f>
        <v>0</v>
      </c>
      <c r="H2465" s="13">
        <f t="shared" si="38"/>
        <v>0</v>
      </c>
    </row>
    <row r="2466" spans="2:8" ht="13.5" thickBot="1" x14ac:dyDescent="0.35">
      <c r="B2466" s="9"/>
      <c r="C2466" s="14" t="s">
        <v>1201</v>
      </c>
      <c r="D2466" s="14" t="s">
        <v>217</v>
      </c>
      <c r="E2466" s="18" t="s">
        <v>7</v>
      </c>
      <c r="F2466" s="17" t="s">
        <v>23</v>
      </c>
      <c r="G2466" s="17">
        <f>G2443</f>
        <v>0</v>
      </c>
      <c r="H2466" s="13">
        <f t="shared" si="38"/>
        <v>0</v>
      </c>
    </row>
    <row r="2467" spans="2:8" ht="13.5" thickBot="1" x14ac:dyDescent="0.35">
      <c r="B2467" s="9"/>
      <c r="C2467" s="14" t="s">
        <v>1202</v>
      </c>
      <c r="D2467" s="14" t="s">
        <v>217</v>
      </c>
      <c r="E2467" s="18" t="s">
        <v>0</v>
      </c>
      <c r="F2467" s="17" t="s">
        <v>23</v>
      </c>
      <c r="G2467" s="17">
        <f>G2443</f>
        <v>0</v>
      </c>
      <c r="H2467" s="13">
        <f t="shared" si="38"/>
        <v>0</v>
      </c>
    </row>
    <row r="2468" spans="2:8" ht="13.5" thickBot="1" x14ac:dyDescent="0.35">
      <c r="B2468" s="9"/>
      <c r="C2468" s="14" t="s">
        <v>1203</v>
      </c>
      <c r="D2468" s="14" t="s">
        <v>217</v>
      </c>
      <c r="E2468" s="18" t="s">
        <v>12</v>
      </c>
      <c r="F2468" s="17" t="s">
        <v>23</v>
      </c>
      <c r="G2468" s="17">
        <f>G2443*3</f>
        <v>0</v>
      </c>
      <c r="H2468" s="13">
        <f t="shared" si="38"/>
        <v>0</v>
      </c>
    </row>
    <row r="2469" spans="2:8" ht="13.5" thickBot="1" x14ac:dyDescent="0.35">
      <c r="B2469" s="9"/>
      <c r="C2469" s="14" t="s">
        <v>1204</v>
      </c>
      <c r="D2469" s="14" t="s">
        <v>93</v>
      </c>
      <c r="E2469" s="18" t="s">
        <v>2</v>
      </c>
      <c r="F2469" s="17" t="s">
        <v>51</v>
      </c>
      <c r="G2469" s="17">
        <f>G2443*15</f>
        <v>0</v>
      </c>
      <c r="H2469" s="13">
        <f t="shared" si="38"/>
        <v>0</v>
      </c>
    </row>
    <row r="2470" spans="2:8" ht="13.5" thickBot="1" x14ac:dyDescent="0.35">
      <c r="B2470" s="9"/>
      <c r="C2470" s="14" t="s">
        <v>401</v>
      </c>
      <c r="D2470" s="14" t="s">
        <v>49</v>
      </c>
      <c r="E2470" s="18" t="s">
        <v>6</v>
      </c>
      <c r="F2470" s="17" t="s">
        <v>23</v>
      </c>
      <c r="G2470" s="17">
        <f>G2443*9</f>
        <v>0</v>
      </c>
      <c r="H2470" s="13">
        <f t="shared" si="38"/>
        <v>0</v>
      </c>
    </row>
    <row r="2471" spans="2:8" ht="13.5" thickBot="1" x14ac:dyDescent="0.35">
      <c r="B2471" s="9"/>
      <c r="C2471" s="14" t="s">
        <v>1205</v>
      </c>
      <c r="D2471" s="14" t="s">
        <v>217</v>
      </c>
      <c r="E2471" s="18" t="s">
        <v>0</v>
      </c>
      <c r="F2471" s="17" t="s">
        <v>23</v>
      </c>
      <c r="G2471" s="17">
        <f>G2443*2</f>
        <v>0</v>
      </c>
      <c r="H2471" s="13">
        <f t="shared" si="38"/>
        <v>0</v>
      </c>
    </row>
    <row r="2472" spans="2:8" ht="13.5" thickBot="1" x14ac:dyDescent="0.35">
      <c r="B2472" s="9"/>
      <c r="C2472" s="14" t="s">
        <v>555</v>
      </c>
      <c r="D2472" s="14" t="s">
        <v>540</v>
      </c>
      <c r="E2472" s="18" t="s">
        <v>9</v>
      </c>
      <c r="F2472" s="17" t="s">
        <v>23</v>
      </c>
      <c r="G2472" s="17">
        <f>G2443</f>
        <v>0</v>
      </c>
      <c r="H2472" s="13">
        <f t="shared" si="38"/>
        <v>0</v>
      </c>
    </row>
    <row r="2473" spans="2:8" ht="13.5" thickBot="1" x14ac:dyDescent="0.35">
      <c r="B2473" s="9"/>
      <c r="C2473" s="14" t="s">
        <v>483</v>
      </c>
      <c r="D2473" s="14" t="s">
        <v>25</v>
      </c>
      <c r="E2473" s="18" t="s">
        <v>9</v>
      </c>
      <c r="F2473" s="17" t="s">
        <v>23</v>
      </c>
      <c r="G2473" s="17">
        <f>G2443*3</f>
        <v>0</v>
      </c>
      <c r="H2473" s="13">
        <f t="shared" si="38"/>
        <v>0</v>
      </c>
    </row>
    <row r="2474" spans="2:8" ht="13.5" thickBot="1" x14ac:dyDescent="0.35">
      <c r="B2474" s="9"/>
      <c r="C2474" s="14" t="s">
        <v>1240</v>
      </c>
      <c r="D2474" s="14" t="s">
        <v>1207</v>
      </c>
      <c r="E2474" s="18" t="s">
        <v>12</v>
      </c>
      <c r="F2474" s="17" t="s">
        <v>23</v>
      </c>
      <c r="G2474" s="17">
        <f>G2443</f>
        <v>0</v>
      </c>
      <c r="H2474" s="13">
        <f t="shared" si="38"/>
        <v>0</v>
      </c>
    </row>
    <row r="2475" spans="2:8" ht="13.5" thickBot="1" x14ac:dyDescent="0.35">
      <c r="B2475" s="9"/>
      <c r="C2475" s="14" t="s">
        <v>830</v>
      </c>
      <c r="D2475" s="14" t="s">
        <v>540</v>
      </c>
      <c r="E2475" s="18" t="s">
        <v>9</v>
      </c>
      <c r="F2475" s="17" t="s">
        <v>23</v>
      </c>
      <c r="G2475" s="17">
        <f>G2443*2</f>
        <v>0</v>
      </c>
      <c r="H2475" s="13">
        <f t="shared" si="38"/>
        <v>0</v>
      </c>
    </row>
    <row r="2476" spans="2:8" ht="13.5" thickBot="1" x14ac:dyDescent="0.35">
      <c r="B2476" s="9"/>
      <c r="C2476" s="14" t="s">
        <v>835</v>
      </c>
      <c r="D2476" s="14" t="s">
        <v>25</v>
      </c>
      <c r="E2476" s="18" t="s">
        <v>9</v>
      </c>
      <c r="F2476" s="17" t="s">
        <v>23</v>
      </c>
      <c r="G2476" s="17">
        <f>G2443</f>
        <v>0</v>
      </c>
      <c r="H2476" s="13">
        <f t="shared" si="38"/>
        <v>0</v>
      </c>
    </row>
    <row r="2477" spans="2:8" ht="13.5" thickBot="1" x14ac:dyDescent="0.35">
      <c r="B2477" s="9"/>
      <c r="C2477" s="14" t="s">
        <v>1241</v>
      </c>
      <c r="D2477" s="14" t="s">
        <v>1209</v>
      </c>
      <c r="E2477" s="18" t="s">
        <v>12</v>
      </c>
      <c r="F2477" s="17" t="s">
        <v>23</v>
      </c>
      <c r="G2477" s="17">
        <f>G2443*3</f>
        <v>0</v>
      </c>
      <c r="H2477" s="13">
        <f t="shared" si="38"/>
        <v>0</v>
      </c>
    </row>
    <row r="2478" spans="2:8" ht="13.5" thickBot="1" x14ac:dyDescent="0.35">
      <c r="B2478" s="9"/>
      <c r="C2478" s="14" t="s">
        <v>1210</v>
      </c>
      <c r="D2478" s="14"/>
      <c r="E2478" s="18" t="s">
        <v>12</v>
      </c>
      <c r="F2478" s="17" t="s">
        <v>23</v>
      </c>
      <c r="G2478" s="17">
        <f>G2443</f>
        <v>0</v>
      </c>
      <c r="H2478" s="13">
        <f t="shared" si="38"/>
        <v>0</v>
      </c>
    </row>
    <row r="2479" spans="2:8" ht="13.5" thickBot="1" x14ac:dyDescent="0.35">
      <c r="B2479" s="9"/>
      <c r="C2479" s="14" t="s">
        <v>233</v>
      </c>
      <c r="D2479" s="14" t="s">
        <v>49</v>
      </c>
      <c r="E2479" s="18" t="s">
        <v>6</v>
      </c>
      <c r="F2479" s="17" t="s">
        <v>23</v>
      </c>
      <c r="G2479" s="17">
        <f>G2443*9</f>
        <v>0</v>
      </c>
      <c r="H2479" s="13">
        <f t="shared" si="38"/>
        <v>0</v>
      </c>
    </row>
    <row r="2480" spans="2:8" ht="13.5" thickBot="1" x14ac:dyDescent="0.35">
      <c r="B2480" s="9"/>
      <c r="C2480" s="14" t="s">
        <v>1211</v>
      </c>
      <c r="D2480" s="14"/>
      <c r="E2480" s="18" t="s">
        <v>0</v>
      </c>
      <c r="F2480" s="17" t="s">
        <v>23</v>
      </c>
      <c r="G2480" s="17">
        <f>G2443*2</f>
        <v>0</v>
      </c>
      <c r="H2480" s="13">
        <f t="shared" si="38"/>
        <v>0</v>
      </c>
    </row>
    <row r="2481" spans="2:8" ht="13.5" thickBot="1" x14ac:dyDescent="0.35">
      <c r="B2481" s="9"/>
      <c r="C2481" s="14" t="s">
        <v>1212</v>
      </c>
      <c r="D2481" s="14"/>
      <c r="E2481" s="18" t="s">
        <v>0</v>
      </c>
      <c r="F2481" s="17" t="s">
        <v>23</v>
      </c>
      <c r="G2481" s="17">
        <f>G2443*9</f>
        <v>0</v>
      </c>
      <c r="H2481" s="13">
        <f t="shared" si="38"/>
        <v>0</v>
      </c>
    </row>
    <row r="2482" spans="2:8" ht="13.5" thickBot="1" x14ac:dyDescent="0.35">
      <c r="B2482" s="9"/>
      <c r="C2482" s="14" t="s">
        <v>1213</v>
      </c>
      <c r="D2482" s="14"/>
      <c r="E2482" s="18" t="s">
        <v>0</v>
      </c>
      <c r="F2482" s="17" t="s">
        <v>23</v>
      </c>
      <c r="G2482" s="17">
        <f>G2443*3</f>
        <v>0</v>
      </c>
      <c r="H2482" s="13">
        <f t="shared" si="38"/>
        <v>0</v>
      </c>
    </row>
    <row r="2483" spans="2:8" ht="13.5" thickBot="1" x14ac:dyDescent="0.35">
      <c r="B2483" s="9"/>
      <c r="C2483" s="14" t="s">
        <v>1214</v>
      </c>
      <c r="D2483" s="14"/>
      <c r="E2483" s="18" t="s">
        <v>0</v>
      </c>
      <c r="F2483" s="17" t="s">
        <v>23</v>
      </c>
      <c r="G2483" s="17">
        <f>G2443</f>
        <v>0</v>
      </c>
      <c r="H2483" s="13">
        <f t="shared" si="38"/>
        <v>0</v>
      </c>
    </row>
    <row r="2484" spans="2:8" ht="13.5" thickBot="1" x14ac:dyDescent="0.35">
      <c r="B2484" s="9"/>
      <c r="C2484" s="14" t="s">
        <v>837</v>
      </c>
      <c r="D2484" s="14" t="s">
        <v>25</v>
      </c>
      <c r="E2484" s="18" t="s">
        <v>9</v>
      </c>
      <c r="F2484" s="17" t="s">
        <v>23</v>
      </c>
      <c r="G2484" s="17">
        <f>G2443*4</f>
        <v>0</v>
      </c>
      <c r="H2484" s="13">
        <f t="shared" si="38"/>
        <v>0</v>
      </c>
    </row>
    <row r="2485" spans="2:8" ht="13.5" thickBot="1" x14ac:dyDescent="0.35">
      <c r="B2485" s="9"/>
      <c r="C2485" s="14" t="s">
        <v>831</v>
      </c>
      <c r="D2485" s="14" t="s">
        <v>540</v>
      </c>
      <c r="E2485" s="18" t="s">
        <v>9</v>
      </c>
      <c r="F2485" s="17" t="s">
        <v>23</v>
      </c>
      <c r="G2485" s="17">
        <f>G2443</f>
        <v>0</v>
      </c>
      <c r="H2485" s="13">
        <f t="shared" si="38"/>
        <v>0</v>
      </c>
    </row>
    <row r="2486" spans="2:8" ht="13.5" thickBot="1" x14ac:dyDescent="0.35">
      <c r="B2486" s="9"/>
      <c r="C2486" s="14" t="s">
        <v>1215</v>
      </c>
      <c r="D2486" s="14"/>
      <c r="E2486" s="18" t="s">
        <v>0</v>
      </c>
      <c r="F2486" s="17" t="s">
        <v>23</v>
      </c>
      <c r="G2486" s="17">
        <f>G2443</f>
        <v>0</v>
      </c>
      <c r="H2486" s="13">
        <f t="shared" si="38"/>
        <v>0</v>
      </c>
    </row>
    <row r="2487" spans="2:8" ht="13.5" thickBot="1" x14ac:dyDescent="0.35">
      <c r="B2487" s="9"/>
      <c r="C2487" s="14" t="s">
        <v>1216</v>
      </c>
      <c r="D2487" s="14"/>
      <c r="E2487" s="18" t="s">
        <v>0</v>
      </c>
      <c r="F2487" s="17" t="s">
        <v>23</v>
      </c>
      <c r="G2487" s="17">
        <f>G2443*3</f>
        <v>0</v>
      </c>
      <c r="H2487" s="13">
        <f t="shared" si="38"/>
        <v>0</v>
      </c>
    </row>
    <row r="2488" spans="2:8" ht="13.5" thickBot="1" x14ac:dyDescent="0.35">
      <c r="B2488" s="9"/>
      <c r="C2488" s="14" t="s">
        <v>1217</v>
      </c>
      <c r="D2488" s="14"/>
      <c r="E2488" s="18" t="s">
        <v>0</v>
      </c>
      <c r="F2488" s="17" t="s">
        <v>23</v>
      </c>
      <c r="G2488" s="17">
        <f>G2443*2</f>
        <v>0</v>
      </c>
      <c r="H2488" s="13">
        <f t="shared" si="38"/>
        <v>0</v>
      </c>
    </row>
    <row r="2489" spans="2:8" ht="13.5" thickBot="1" x14ac:dyDescent="0.35">
      <c r="B2489" s="9"/>
      <c r="C2489" s="14" t="s">
        <v>1218</v>
      </c>
      <c r="D2489" s="14"/>
      <c r="E2489" s="18" t="s">
        <v>12</v>
      </c>
      <c r="F2489" s="17" t="s">
        <v>23</v>
      </c>
      <c r="G2489" s="17">
        <f>G2443</f>
        <v>0</v>
      </c>
      <c r="H2489" s="13">
        <f t="shared" si="38"/>
        <v>0</v>
      </c>
    </row>
    <row r="2490" spans="2:8" ht="13.5" thickBot="1" x14ac:dyDescent="0.35">
      <c r="B2490" s="9"/>
      <c r="C2490" s="14" t="s">
        <v>1219</v>
      </c>
      <c r="D2490" s="14"/>
      <c r="E2490" s="18" t="s">
        <v>12</v>
      </c>
      <c r="F2490" s="17" t="s">
        <v>23</v>
      </c>
      <c r="G2490" s="17">
        <f>G2443</f>
        <v>0</v>
      </c>
      <c r="H2490" s="13">
        <f t="shared" si="38"/>
        <v>0</v>
      </c>
    </row>
    <row r="2491" spans="2:8" ht="13.5" thickBot="1" x14ac:dyDescent="0.35">
      <c r="B2491" s="9"/>
      <c r="C2491" s="14" t="s">
        <v>1220</v>
      </c>
      <c r="D2491" s="14"/>
      <c r="E2491" s="18" t="s">
        <v>0</v>
      </c>
      <c r="F2491" s="17" t="s">
        <v>23</v>
      </c>
      <c r="G2491" s="17">
        <f>G2443*3</f>
        <v>0</v>
      </c>
      <c r="H2491" s="13">
        <f t="shared" si="38"/>
        <v>0</v>
      </c>
    </row>
    <row r="2492" spans="2:8" ht="13.5" thickBot="1" x14ac:dyDescent="0.35">
      <c r="B2492" s="9"/>
      <c r="C2492" s="14" t="s">
        <v>1221</v>
      </c>
      <c r="D2492" s="14"/>
      <c r="E2492" s="18" t="s">
        <v>0</v>
      </c>
      <c r="F2492" s="17" t="s">
        <v>23</v>
      </c>
      <c r="G2492" s="17">
        <f>G2443*6</f>
        <v>0</v>
      </c>
      <c r="H2492" s="13">
        <f t="shared" si="38"/>
        <v>0</v>
      </c>
    </row>
    <row r="2493" spans="2:8" ht="13.5" thickBot="1" x14ac:dyDescent="0.35">
      <c r="B2493" s="9"/>
      <c r="C2493" s="14" t="s">
        <v>1222</v>
      </c>
      <c r="D2493" s="14"/>
      <c r="E2493" s="18" t="s">
        <v>0</v>
      </c>
      <c r="F2493" s="17" t="s">
        <v>23</v>
      </c>
      <c r="G2493" s="17">
        <f>G2443*6</f>
        <v>0</v>
      </c>
      <c r="H2493" s="13">
        <f t="shared" si="38"/>
        <v>0</v>
      </c>
    </row>
    <row r="2494" spans="2:8" ht="13.5" thickBot="1" x14ac:dyDescent="0.35">
      <c r="B2494" s="9"/>
      <c r="C2494" s="14" t="s">
        <v>1223</v>
      </c>
      <c r="D2494" s="14"/>
      <c r="E2494" s="18" t="s">
        <v>0</v>
      </c>
      <c r="F2494" s="17" t="s">
        <v>23</v>
      </c>
      <c r="G2494" s="17">
        <f>G2443*8</f>
        <v>0</v>
      </c>
      <c r="H2494" s="13">
        <f t="shared" si="38"/>
        <v>0</v>
      </c>
    </row>
    <row r="2495" spans="2:8" ht="13.5" thickBot="1" x14ac:dyDescent="0.35">
      <c r="B2495" s="9"/>
      <c r="C2495" s="14" t="s">
        <v>1224</v>
      </c>
      <c r="D2495" s="14"/>
      <c r="E2495" s="18" t="s">
        <v>12</v>
      </c>
      <c r="F2495" s="17" t="s">
        <v>23</v>
      </c>
      <c r="G2495" s="17">
        <f>G2443*3</f>
        <v>0</v>
      </c>
      <c r="H2495" s="13">
        <f t="shared" si="38"/>
        <v>0</v>
      </c>
    </row>
    <row r="2496" spans="2:8" ht="13.5" thickBot="1" x14ac:dyDescent="0.35">
      <c r="B2496" s="9"/>
      <c r="C2496" s="14" t="s">
        <v>1225</v>
      </c>
      <c r="D2496" s="14"/>
      <c r="E2496" s="18" t="s">
        <v>0</v>
      </c>
      <c r="F2496" s="17" t="s">
        <v>23</v>
      </c>
      <c r="G2496" s="17">
        <f>G2443*3</f>
        <v>0</v>
      </c>
      <c r="H2496" s="13">
        <f t="shared" si="38"/>
        <v>0</v>
      </c>
    </row>
    <row r="2497" spans="2:8" ht="13.5" thickBot="1" x14ac:dyDescent="0.35">
      <c r="B2497" s="9"/>
      <c r="C2497" s="14" t="s">
        <v>1226</v>
      </c>
      <c r="D2497" s="14"/>
      <c r="E2497" s="18" t="s">
        <v>0</v>
      </c>
      <c r="F2497" s="17" t="s">
        <v>23</v>
      </c>
      <c r="G2497" s="17">
        <f>G2443</f>
        <v>0</v>
      </c>
      <c r="H2497" s="13">
        <f t="shared" si="38"/>
        <v>0</v>
      </c>
    </row>
    <row r="2498" spans="2:8" ht="13.5" thickBot="1" x14ac:dyDescent="0.35">
      <c r="B2498" s="9"/>
      <c r="C2498" s="14" t="s">
        <v>1227</v>
      </c>
      <c r="D2498" s="14"/>
      <c r="E2498" s="18" t="s">
        <v>0</v>
      </c>
      <c r="F2498" s="17" t="s">
        <v>23</v>
      </c>
      <c r="G2498" s="17">
        <f>G2443</f>
        <v>0</v>
      </c>
      <c r="H2498" s="13">
        <f t="shared" si="38"/>
        <v>0</v>
      </c>
    </row>
    <row r="2499" spans="2:8" ht="13.5" thickBot="1" x14ac:dyDescent="0.35">
      <c r="B2499" s="9"/>
      <c r="C2499" s="14" t="s">
        <v>1228</v>
      </c>
      <c r="D2499" s="14"/>
      <c r="E2499" s="18" t="s">
        <v>0</v>
      </c>
      <c r="F2499" s="17" t="s">
        <v>23</v>
      </c>
      <c r="G2499" s="17">
        <f>G2443*3</f>
        <v>0</v>
      </c>
      <c r="H2499" s="13">
        <f t="shared" si="38"/>
        <v>0</v>
      </c>
    </row>
    <row r="2500" spans="2:8" ht="13.5" thickBot="1" x14ac:dyDescent="0.35">
      <c r="B2500" s="9"/>
      <c r="C2500" s="14" t="s">
        <v>1229</v>
      </c>
      <c r="D2500" s="14"/>
      <c r="E2500" s="18" t="s">
        <v>12</v>
      </c>
      <c r="F2500" s="17" t="s">
        <v>23</v>
      </c>
      <c r="G2500" s="17">
        <f>G2443</f>
        <v>0</v>
      </c>
      <c r="H2500" s="13">
        <f t="shared" ref="H2500:H2563" si="39">SUM(G2500:G2500)</f>
        <v>0</v>
      </c>
    </row>
    <row r="2501" spans="2:8" ht="13.5" thickBot="1" x14ac:dyDescent="0.35">
      <c r="B2501" s="9"/>
      <c r="C2501" s="14" t="s">
        <v>1230</v>
      </c>
      <c r="D2501" s="14" t="s">
        <v>49</v>
      </c>
      <c r="E2501" s="18" t="s">
        <v>6</v>
      </c>
      <c r="F2501" s="17" t="s">
        <v>23</v>
      </c>
      <c r="G2501" s="17">
        <f>G2443*10</f>
        <v>0</v>
      </c>
      <c r="H2501" s="13">
        <f t="shared" si="39"/>
        <v>0</v>
      </c>
    </row>
    <row r="2502" spans="2:8" ht="13.5" thickBot="1" x14ac:dyDescent="0.35">
      <c r="B2502" s="9"/>
      <c r="C2502" s="14" t="s">
        <v>1231</v>
      </c>
      <c r="D2502" s="14"/>
      <c r="E2502" s="18" t="s">
        <v>0</v>
      </c>
      <c r="F2502" s="17" t="s">
        <v>23</v>
      </c>
      <c r="G2502" s="17">
        <f>G2443</f>
        <v>0</v>
      </c>
      <c r="H2502" s="13">
        <f t="shared" si="39"/>
        <v>0</v>
      </c>
    </row>
    <row r="2503" spans="2:8" ht="13.5" thickBot="1" x14ac:dyDescent="0.35">
      <c r="B2503" s="9"/>
      <c r="C2503" s="14" t="s">
        <v>1232</v>
      </c>
      <c r="D2503" s="14"/>
      <c r="E2503" s="18" t="s">
        <v>0</v>
      </c>
      <c r="F2503" s="17" t="s">
        <v>23</v>
      </c>
      <c r="G2503" s="17">
        <f>G2443*3</f>
        <v>0</v>
      </c>
      <c r="H2503" s="13">
        <f t="shared" si="39"/>
        <v>0</v>
      </c>
    </row>
    <row r="2504" spans="2:8" ht="13.5" thickBot="1" x14ac:dyDescent="0.35">
      <c r="B2504" s="9"/>
      <c r="C2504" s="14" t="s">
        <v>1233</v>
      </c>
      <c r="D2504" s="14"/>
      <c r="E2504" s="18" t="s">
        <v>0</v>
      </c>
      <c r="F2504" s="17" t="s">
        <v>23</v>
      </c>
      <c r="G2504" s="17">
        <f>G2443*3</f>
        <v>0</v>
      </c>
      <c r="H2504" s="13">
        <f t="shared" si="39"/>
        <v>0</v>
      </c>
    </row>
    <row r="2505" spans="2:8" ht="13.5" thickBot="1" x14ac:dyDescent="0.35">
      <c r="B2505" s="9"/>
      <c r="C2505" s="14" t="s">
        <v>1234</v>
      </c>
      <c r="D2505" s="14"/>
      <c r="E2505" s="18" t="s">
        <v>0</v>
      </c>
      <c r="F2505" s="17" t="s">
        <v>23</v>
      </c>
      <c r="G2505" s="17">
        <f>G2443*2</f>
        <v>0</v>
      </c>
      <c r="H2505" s="13">
        <f t="shared" si="39"/>
        <v>0</v>
      </c>
    </row>
    <row r="2506" spans="2:8" ht="13.5" thickBot="1" x14ac:dyDescent="0.35">
      <c r="B2506" s="9"/>
      <c r="C2506" s="14" t="s">
        <v>231</v>
      </c>
      <c r="D2506" s="14" t="s">
        <v>49</v>
      </c>
      <c r="E2506" s="18" t="s">
        <v>0</v>
      </c>
      <c r="F2506" s="17" t="s">
        <v>23</v>
      </c>
      <c r="G2506" s="17">
        <f>G2443</f>
        <v>0</v>
      </c>
      <c r="H2506" s="13">
        <f t="shared" si="39"/>
        <v>0</v>
      </c>
    </row>
    <row r="2507" spans="2:8" ht="13.5" thickBot="1" x14ac:dyDescent="0.35">
      <c r="B2507" s="9"/>
      <c r="C2507" s="14" t="s">
        <v>1235</v>
      </c>
      <c r="D2507" s="14"/>
      <c r="E2507" s="18" t="s">
        <v>0</v>
      </c>
      <c r="F2507" s="17" t="s">
        <v>23</v>
      </c>
      <c r="G2507" s="17">
        <f>G2443*14</f>
        <v>0</v>
      </c>
      <c r="H2507" s="13">
        <f t="shared" si="39"/>
        <v>0</v>
      </c>
    </row>
    <row r="2508" spans="2:8" ht="13.5" thickBot="1" x14ac:dyDescent="0.35">
      <c r="B2508" s="9"/>
      <c r="C2508" s="14" t="s">
        <v>1242</v>
      </c>
      <c r="D2508" s="14"/>
      <c r="E2508" s="18" t="s">
        <v>12</v>
      </c>
      <c r="F2508" s="17" t="s">
        <v>23</v>
      </c>
      <c r="G2508" s="17">
        <f>G2443</f>
        <v>0</v>
      </c>
      <c r="H2508" s="13">
        <f t="shared" si="39"/>
        <v>0</v>
      </c>
    </row>
    <row r="2509" spans="2:8" ht="13.5" thickBot="1" x14ac:dyDescent="0.35">
      <c r="B2509" s="9"/>
      <c r="C2509" s="14" t="s">
        <v>1236</v>
      </c>
      <c r="D2509" s="14"/>
      <c r="E2509" s="18" t="s">
        <v>0</v>
      </c>
      <c r="F2509" s="17" t="s">
        <v>23</v>
      </c>
      <c r="G2509" s="17">
        <f>G2443*6</f>
        <v>0</v>
      </c>
      <c r="H2509" s="13">
        <f t="shared" si="39"/>
        <v>0</v>
      </c>
    </row>
    <row r="2510" spans="2:8" ht="13.5" thickBot="1" x14ac:dyDescent="0.35">
      <c r="B2510" s="9"/>
      <c r="C2510" s="14" t="s">
        <v>1237</v>
      </c>
      <c r="D2510" s="14"/>
      <c r="E2510" s="18" t="s">
        <v>0</v>
      </c>
      <c r="F2510" s="17" t="s">
        <v>23</v>
      </c>
      <c r="G2510" s="17">
        <f>G2443</f>
        <v>0</v>
      </c>
      <c r="H2510" s="13">
        <f t="shared" si="39"/>
        <v>0</v>
      </c>
    </row>
    <row r="2511" spans="2:8" ht="13.5" thickBot="1" x14ac:dyDescent="0.35">
      <c r="B2511" s="9">
        <f>COUNT($B$4:B2510)+1</f>
        <v>717</v>
      </c>
      <c r="C2511" s="10" t="s">
        <v>1243</v>
      </c>
      <c r="D2511" s="10"/>
      <c r="E2511" s="11" t="s">
        <v>11</v>
      </c>
      <c r="F2511" s="12" t="s">
        <v>884</v>
      </c>
      <c r="G2511" s="17"/>
      <c r="H2511" s="13">
        <f t="shared" si="39"/>
        <v>0</v>
      </c>
    </row>
    <row r="2512" spans="2:8" ht="13.5" thickBot="1" x14ac:dyDescent="0.35">
      <c r="B2512" s="9">
        <f>COUNT($B$4:B2511)+1</f>
        <v>718</v>
      </c>
      <c r="C2512" s="10" t="s">
        <v>1244</v>
      </c>
      <c r="D2512" s="10"/>
      <c r="E2512" s="11" t="s">
        <v>11</v>
      </c>
      <c r="F2512" s="12" t="s">
        <v>23</v>
      </c>
      <c r="G2512" s="12"/>
      <c r="H2512" s="13">
        <f t="shared" si="39"/>
        <v>0</v>
      </c>
    </row>
    <row r="2513" spans="2:8" ht="13.5" thickBot="1" x14ac:dyDescent="0.35">
      <c r="B2513" s="9"/>
      <c r="C2513" s="14" t="s">
        <v>1182</v>
      </c>
      <c r="D2513" s="14"/>
      <c r="E2513" s="18" t="s">
        <v>0</v>
      </c>
      <c r="F2513" s="17" t="s">
        <v>23</v>
      </c>
      <c r="G2513" s="17">
        <f>G2512</f>
        <v>0</v>
      </c>
      <c r="H2513" s="13">
        <f t="shared" si="39"/>
        <v>0</v>
      </c>
    </row>
    <row r="2514" spans="2:8" ht="13.5" thickBot="1" x14ac:dyDescent="0.35">
      <c r="B2514" s="9"/>
      <c r="C2514" s="14" t="s">
        <v>1183</v>
      </c>
      <c r="D2514" s="14"/>
      <c r="E2514" s="18" t="s">
        <v>0</v>
      </c>
      <c r="F2514" s="17" t="s">
        <v>23</v>
      </c>
      <c r="G2514" s="17">
        <f>G2512</f>
        <v>0</v>
      </c>
      <c r="H2514" s="13">
        <f t="shared" si="39"/>
        <v>0</v>
      </c>
    </row>
    <row r="2515" spans="2:8" ht="13.5" thickBot="1" x14ac:dyDescent="0.35">
      <c r="B2515" s="9"/>
      <c r="C2515" s="14" t="s">
        <v>1184</v>
      </c>
      <c r="D2515" s="14"/>
      <c r="E2515" s="18" t="s">
        <v>0</v>
      </c>
      <c r="F2515" s="17" t="s">
        <v>23</v>
      </c>
      <c r="G2515" s="17">
        <f>G2512</f>
        <v>0</v>
      </c>
      <c r="H2515" s="13">
        <f t="shared" si="39"/>
        <v>0</v>
      </c>
    </row>
    <row r="2516" spans="2:8" ht="13.5" thickBot="1" x14ac:dyDescent="0.35">
      <c r="B2516" s="9"/>
      <c r="C2516" s="14" t="s">
        <v>1185</v>
      </c>
      <c r="D2516" s="14"/>
      <c r="E2516" s="18" t="s">
        <v>0</v>
      </c>
      <c r="F2516" s="17" t="s">
        <v>23</v>
      </c>
      <c r="G2516" s="17">
        <f>G2512</f>
        <v>0</v>
      </c>
      <c r="H2516" s="13">
        <f t="shared" si="39"/>
        <v>0</v>
      </c>
    </row>
    <row r="2517" spans="2:8" ht="13.5" thickBot="1" x14ac:dyDescent="0.35">
      <c r="B2517" s="9"/>
      <c r="C2517" s="14" t="s">
        <v>1186</v>
      </c>
      <c r="D2517" s="14"/>
      <c r="E2517" s="18" t="s">
        <v>0</v>
      </c>
      <c r="F2517" s="17" t="s">
        <v>23</v>
      </c>
      <c r="G2517" s="17">
        <f>G2512</f>
        <v>0</v>
      </c>
      <c r="H2517" s="13">
        <f t="shared" si="39"/>
        <v>0</v>
      </c>
    </row>
    <row r="2518" spans="2:8" ht="13.5" thickBot="1" x14ac:dyDescent="0.35">
      <c r="B2518" s="9"/>
      <c r="C2518" s="14" t="s">
        <v>1187</v>
      </c>
      <c r="D2518" s="14"/>
      <c r="E2518" s="18" t="s">
        <v>0</v>
      </c>
      <c r="F2518" s="17" t="s">
        <v>23</v>
      </c>
      <c r="G2518" s="17">
        <f>G2512</f>
        <v>0</v>
      </c>
      <c r="H2518" s="13">
        <f t="shared" si="39"/>
        <v>0</v>
      </c>
    </row>
    <row r="2519" spans="2:8" ht="13.5" thickBot="1" x14ac:dyDescent="0.35">
      <c r="B2519" s="9"/>
      <c r="C2519" s="14" t="s">
        <v>1188</v>
      </c>
      <c r="D2519" s="14"/>
      <c r="E2519" s="18" t="s">
        <v>0</v>
      </c>
      <c r="F2519" s="17" t="s">
        <v>23</v>
      </c>
      <c r="G2519" s="17">
        <f>G2512*4</f>
        <v>0</v>
      </c>
      <c r="H2519" s="13">
        <f t="shared" si="39"/>
        <v>0</v>
      </c>
    </row>
    <row r="2520" spans="2:8" ht="13.5" thickBot="1" x14ac:dyDescent="0.35">
      <c r="B2520" s="9"/>
      <c r="C2520" s="14" t="s">
        <v>1189</v>
      </c>
      <c r="D2520" s="14"/>
      <c r="E2520" s="18" t="s">
        <v>0</v>
      </c>
      <c r="F2520" s="17" t="s">
        <v>23</v>
      </c>
      <c r="G2520" s="17">
        <f>G2512</f>
        <v>0</v>
      </c>
      <c r="H2520" s="13">
        <f t="shared" si="39"/>
        <v>0</v>
      </c>
    </row>
    <row r="2521" spans="2:8" ht="13.5" thickBot="1" x14ac:dyDescent="0.35">
      <c r="B2521" s="9"/>
      <c r="C2521" s="14" t="s">
        <v>1190</v>
      </c>
      <c r="D2521" s="14"/>
      <c r="E2521" s="18" t="s">
        <v>0</v>
      </c>
      <c r="F2521" s="17" t="s">
        <v>23</v>
      </c>
      <c r="G2521" s="17">
        <f>G2512*20</f>
        <v>0</v>
      </c>
      <c r="H2521" s="13">
        <f t="shared" si="39"/>
        <v>0</v>
      </c>
    </row>
    <row r="2522" spans="2:8" ht="13.5" thickBot="1" x14ac:dyDescent="0.35">
      <c r="B2522" s="9"/>
      <c r="C2522" s="14" t="s">
        <v>1191</v>
      </c>
      <c r="D2522" s="14"/>
      <c r="E2522" s="18" t="s">
        <v>0</v>
      </c>
      <c r="F2522" s="17" t="s">
        <v>51</v>
      </c>
      <c r="G2522" s="17">
        <f>G2512*0.2</f>
        <v>0</v>
      </c>
      <c r="H2522" s="13">
        <f t="shared" si="39"/>
        <v>0</v>
      </c>
    </row>
    <row r="2523" spans="2:8" ht="13.5" thickBot="1" x14ac:dyDescent="0.35">
      <c r="B2523" s="9"/>
      <c r="C2523" s="14" t="s">
        <v>1192</v>
      </c>
      <c r="D2523" s="14"/>
      <c r="E2523" s="18" t="s">
        <v>0</v>
      </c>
      <c r="F2523" s="17" t="s">
        <v>23</v>
      </c>
      <c r="G2523" s="17">
        <f>G2512*2</f>
        <v>0</v>
      </c>
      <c r="H2523" s="13">
        <f t="shared" si="39"/>
        <v>0</v>
      </c>
    </row>
    <row r="2524" spans="2:8" ht="13.5" thickBot="1" x14ac:dyDescent="0.35">
      <c r="B2524" s="9"/>
      <c r="C2524" s="14" t="s">
        <v>1193</v>
      </c>
      <c r="D2524" s="14"/>
      <c r="E2524" s="18" t="s">
        <v>0</v>
      </c>
      <c r="F2524" s="17" t="s">
        <v>23</v>
      </c>
      <c r="G2524" s="17">
        <f>G2512*2</f>
        <v>0</v>
      </c>
      <c r="H2524" s="13">
        <f t="shared" si="39"/>
        <v>0</v>
      </c>
    </row>
    <row r="2525" spans="2:8" ht="13.5" thickBot="1" x14ac:dyDescent="0.35">
      <c r="B2525" s="9"/>
      <c r="C2525" s="14" t="s">
        <v>1194</v>
      </c>
      <c r="D2525" s="14"/>
      <c r="E2525" s="18" t="s">
        <v>0</v>
      </c>
      <c r="F2525" s="17" t="s">
        <v>23</v>
      </c>
      <c r="G2525" s="17">
        <f>G2512*4</f>
        <v>0</v>
      </c>
      <c r="H2525" s="13">
        <f t="shared" si="39"/>
        <v>0</v>
      </c>
    </row>
    <row r="2526" spans="2:8" ht="13.5" thickBot="1" x14ac:dyDescent="0.35">
      <c r="B2526" s="9"/>
      <c r="C2526" s="14" t="s">
        <v>1195</v>
      </c>
      <c r="D2526" s="14"/>
      <c r="E2526" s="18" t="s">
        <v>0</v>
      </c>
      <c r="F2526" s="17" t="s">
        <v>23</v>
      </c>
      <c r="G2526" s="17">
        <f>G2512*4</f>
        <v>0</v>
      </c>
      <c r="H2526" s="13">
        <f t="shared" si="39"/>
        <v>0</v>
      </c>
    </row>
    <row r="2527" spans="2:8" ht="13.5" thickBot="1" x14ac:dyDescent="0.35">
      <c r="B2527" s="9"/>
      <c r="C2527" s="14" t="s">
        <v>208</v>
      </c>
      <c r="D2527" s="14" t="s">
        <v>93</v>
      </c>
      <c r="E2527" s="18" t="s">
        <v>2</v>
      </c>
      <c r="F2527" s="17" t="s">
        <v>51</v>
      </c>
      <c r="G2527" s="17">
        <f>G2512*72</f>
        <v>0</v>
      </c>
      <c r="H2527" s="13">
        <f t="shared" si="39"/>
        <v>0</v>
      </c>
    </row>
    <row r="2528" spans="2:8" ht="13.5" thickBot="1" x14ac:dyDescent="0.35">
      <c r="B2528" s="9"/>
      <c r="C2528" s="14" t="s">
        <v>209</v>
      </c>
      <c r="D2528" s="14" t="s">
        <v>93</v>
      </c>
      <c r="E2528" s="18" t="s">
        <v>2</v>
      </c>
      <c r="F2528" s="17" t="s">
        <v>51</v>
      </c>
      <c r="G2528" s="17">
        <f>G2512*24</f>
        <v>0</v>
      </c>
      <c r="H2528" s="13">
        <f t="shared" si="39"/>
        <v>0</v>
      </c>
    </row>
    <row r="2529" spans="2:8" ht="13.5" thickBot="1" x14ac:dyDescent="0.35">
      <c r="B2529" s="9"/>
      <c r="C2529" s="14" t="s">
        <v>1196</v>
      </c>
      <c r="D2529" s="14" t="s">
        <v>49</v>
      </c>
      <c r="E2529" s="18" t="s">
        <v>6</v>
      </c>
      <c r="F2529" s="17" t="s">
        <v>51</v>
      </c>
      <c r="G2529" s="17">
        <f>G2512*50</f>
        <v>0</v>
      </c>
      <c r="H2529" s="13">
        <f t="shared" si="39"/>
        <v>0</v>
      </c>
    </row>
    <row r="2530" spans="2:8" ht="13.5" thickBot="1" x14ac:dyDescent="0.35">
      <c r="B2530" s="9"/>
      <c r="C2530" s="14" t="s">
        <v>1197</v>
      </c>
      <c r="D2530" s="14" t="s">
        <v>49</v>
      </c>
      <c r="E2530" s="18" t="s">
        <v>6</v>
      </c>
      <c r="F2530" s="17" t="s">
        <v>51</v>
      </c>
      <c r="G2530" s="17">
        <f>G2512*50</f>
        <v>0</v>
      </c>
      <c r="H2530" s="13">
        <f t="shared" si="39"/>
        <v>0</v>
      </c>
    </row>
    <row r="2531" spans="2:8" ht="13.5" thickBot="1" x14ac:dyDescent="0.35">
      <c r="B2531" s="9"/>
      <c r="C2531" s="14" t="s">
        <v>230</v>
      </c>
      <c r="D2531" s="14" t="s">
        <v>49</v>
      </c>
      <c r="E2531" s="18" t="s">
        <v>6</v>
      </c>
      <c r="F2531" s="17" t="s">
        <v>23</v>
      </c>
      <c r="G2531" s="17">
        <f>G2512</f>
        <v>0</v>
      </c>
      <c r="H2531" s="13">
        <f t="shared" si="39"/>
        <v>0</v>
      </c>
    </row>
    <row r="2532" spans="2:8" ht="13.5" thickBot="1" x14ac:dyDescent="0.35">
      <c r="B2532" s="9"/>
      <c r="C2532" s="14" t="s">
        <v>1198</v>
      </c>
      <c r="D2532" s="14" t="s">
        <v>217</v>
      </c>
      <c r="E2532" s="18" t="s">
        <v>7</v>
      </c>
      <c r="F2532" s="17" t="s">
        <v>23</v>
      </c>
      <c r="G2532" s="17">
        <f>G2512</f>
        <v>0</v>
      </c>
      <c r="H2532" s="13">
        <f t="shared" si="39"/>
        <v>0</v>
      </c>
    </row>
    <row r="2533" spans="2:8" ht="13.5" thickBot="1" x14ac:dyDescent="0.35">
      <c r="B2533" s="9"/>
      <c r="C2533" s="14" t="s">
        <v>1199</v>
      </c>
      <c r="D2533" s="14" t="s">
        <v>217</v>
      </c>
      <c r="E2533" s="18" t="s">
        <v>7</v>
      </c>
      <c r="F2533" s="17" t="s">
        <v>23</v>
      </c>
      <c r="G2533" s="17">
        <f>G2512</f>
        <v>0</v>
      </c>
      <c r="H2533" s="13">
        <f t="shared" si="39"/>
        <v>0</v>
      </c>
    </row>
    <row r="2534" spans="2:8" ht="13.5" thickBot="1" x14ac:dyDescent="0.35">
      <c r="B2534" s="9"/>
      <c r="C2534" s="14" t="s">
        <v>1200</v>
      </c>
      <c r="D2534" s="14" t="s">
        <v>217</v>
      </c>
      <c r="E2534" s="18" t="s">
        <v>7</v>
      </c>
      <c r="F2534" s="17" t="s">
        <v>23</v>
      </c>
      <c r="G2534" s="17">
        <f>G2512*2</f>
        <v>0</v>
      </c>
      <c r="H2534" s="13">
        <f t="shared" si="39"/>
        <v>0</v>
      </c>
    </row>
    <row r="2535" spans="2:8" ht="13.5" thickBot="1" x14ac:dyDescent="0.35">
      <c r="B2535" s="9"/>
      <c r="C2535" s="14" t="s">
        <v>1201</v>
      </c>
      <c r="D2535" s="14" t="s">
        <v>217</v>
      </c>
      <c r="E2535" s="18" t="s">
        <v>7</v>
      </c>
      <c r="F2535" s="17" t="s">
        <v>23</v>
      </c>
      <c r="G2535" s="17">
        <f>G2512</f>
        <v>0</v>
      </c>
      <c r="H2535" s="13">
        <f t="shared" si="39"/>
        <v>0</v>
      </c>
    </row>
    <row r="2536" spans="2:8" ht="13.5" thickBot="1" x14ac:dyDescent="0.35">
      <c r="B2536" s="9"/>
      <c r="C2536" s="14" t="s">
        <v>1202</v>
      </c>
      <c r="D2536" s="14" t="s">
        <v>217</v>
      </c>
      <c r="E2536" s="18" t="s">
        <v>0</v>
      </c>
      <c r="F2536" s="17" t="s">
        <v>23</v>
      </c>
      <c r="G2536" s="17">
        <f>G2512</f>
        <v>0</v>
      </c>
      <c r="H2536" s="13">
        <f t="shared" si="39"/>
        <v>0</v>
      </c>
    </row>
    <row r="2537" spans="2:8" ht="13.5" thickBot="1" x14ac:dyDescent="0.35">
      <c r="B2537" s="9"/>
      <c r="C2537" s="14" t="s">
        <v>1203</v>
      </c>
      <c r="D2537" s="14" t="s">
        <v>217</v>
      </c>
      <c r="E2537" s="18" t="s">
        <v>12</v>
      </c>
      <c r="F2537" s="17" t="s">
        <v>23</v>
      </c>
      <c r="G2537" s="17">
        <f>G2512*3</f>
        <v>0</v>
      </c>
      <c r="H2537" s="13">
        <f t="shared" si="39"/>
        <v>0</v>
      </c>
    </row>
    <row r="2538" spans="2:8" ht="13.5" thickBot="1" x14ac:dyDescent="0.35">
      <c r="B2538" s="9"/>
      <c r="C2538" s="14" t="s">
        <v>1204</v>
      </c>
      <c r="D2538" s="14" t="s">
        <v>93</v>
      </c>
      <c r="E2538" s="18" t="s">
        <v>2</v>
      </c>
      <c r="F2538" s="17" t="s">
        <v>51</v>
      </c>
      <c r="G2538" s="17">
        <f>G2512*15</f>
        <v>0</v>
      </c>
      <c r="H2538" s="13">
        <f t="shared" si="39"/>
        <v>0</v>
      </c>
    </row>
    <row r="2539" spans="2:8" ht="13.5" thickBot="1" x14ac:dyDescent="0.35">
      <c r="B2539" s="9"/>
      <c r="C2539" s="14" t="s">
        <v>401</v>
      </c>
      <c r="D2539" s="14" t="s">
        <v>49</v>
      </c>
      <c r="E2539" s="18" t="s">
        <v>6</v>
      </c>
      <c r="F2539" s="17" t="s">
        <v>23</v>
      </c>
      <c r="G2539" s="17">
        <f>G2512*9</f>
        <v>0</v>
      </c>
      <c r="H2539" s="13">
        <f t="shared" si="39"/>
        <v>0</v>
      </c>
    </row>
    <row r="2540" spans="2:8" ht="13.5" thickBot="1" x14ac:dyDescent="0.35">
      <c r="B2540" s="9"/>
      <c r="C2540" s="14" t="s">
        <v>1205</v>
      </c>
      <c r="D2540" s="14" t="s">
        <v>217</v>
      </c>
      <c r="E2540" s="18" t="s">
        <v>0</v>
      </c>
      <c r="F2540" s="17" t="s">
        <v>23</v>
      </c>
      <c r="G2540" s="17">
        <f>G2512*2</f>
        <v>0</v>
      </c>
      <c r="H2540" s="13">
        <f t="shared" si="39"/>
        <v>0</v>
      </c>
    </row>
    <row r="2541" spans="2:8" ht="13.5" thickBot="1" x14ac:dyDescent="0.35">
      <c r="B2541" s="9"/>
      <c r="C2541" s="14" t="s">
        <v>555</v>
      </c>
      <c r="D2541" s="14" t="s">
        <v>540</v>
      </c>
      <c r="E2541" s="18" t="s">
        <v>9</v>
      </c>
      <c r="F2541" s="17" t="s">
        <v>23</v>
      </c>
      <c r="G2541" s="17">
        <f>G2512*2</f>
        <v>0</v>
      </c>
      <c r="H2541" s="13">
        <f t="shared" si="39"/>
        <v>0</v>
      </c>
    </row>
    <row r="2542" spans="2:8" ht="13.5" thickBot="1" x14ac:dyDescent="0.35">
      <c r="B2542" s="9"/>
      <c r="C2542" s="14" t="s">
        <v>483</v>
      </c>
      <c r="D2542" s="14" t="s">
        <v>25</v>
      </c>
      <c r="E2542" s="18" t="s">
        <v>9</v>
      </c>
      <c r="F2542" s="17" t="s">
        <v>23</v>
      </c>
      <c r="G2542" s="17">
        <f>G2512*3</f>
        <v>0</v>
      </c>
      <c r="H2542" s="13">
        <f t="shared" si="39"/>
        <v>0</v>
      </c>
    </row>
    <row r="2543" spans="2:8" ht="13.5" thickBot="1" x14ac:dyDescent="0.35">
      <c r="B2543" s="9"/>
      <c r="C2543" s="14" t="s">
        <v>1245</v>
      </c>
      <c r="D2543" s="14" t="s">
        <v>1207</v>
      </c>
      <c r="E2543" s="18" t="s">
        <v>12</v>
      </c>
      <c r="F2543" s="17" t="s">
        <v>23</v>
      </c>
      <c r="G2543" s="17">
        <f>G2512</f>
        <v>0</v>
      </c>
      <c r="H2543" s="13">
        <f t="shared" si="39"/>
        <v>0</v>
      </c>
    </row>
    <row r="2544" spans="2:8" ht="13.5" thickBot="1" x14ac:dyDescent="0.35">
      <c r="B2544" s="9"/>
      <c r="C2544" s="14" t="s">
        <v>830</v>
      </c>
      <c r="D2544" s="14" t="s">
        <v>540</v>
      </c>
      <c r="E2544" s="18" t="s">
        <v>9</v>
      </c>
      <c r="F2544" s="17" t="s">
        <v>23</v>
      </c>
      <c r="G2544" s="17">
        <f>G2512*2</f>
        <v>0</v>
      </c>
      <c r="H2544" s="13">
        <f t="shared" si="39"/>
        <v>0</v>
      </c>
    </row>
    <row r="2545" spans="2:8" ht="13.5" thickBot="1" x14ac:dyDescent="0.35">
      <c r="B2545" s="9"/>
      <c r="C2545" s="14" t="s">
        <v>835</v>
      </c>
      <c r="D2545" s="14" t="s">
        <v>25</v>
      </c>
      <c r="E2545" s="18" t="s">
        <v>9</v>
      </c>
      <c r="F2545" s="17" t="s">
        <v>23</v>
      </c>
      <c r="G2545" s="17">
        <f>G2512</f>
        <v>0</v>
      </c>
      <c r="H2545" s="13">
        <f t="shared" si="39"/>
        <v>0</v>
      </c>
    </row>
    <row r="2546" spans="2:8" ht="13.5" thickBot="1" x14ac:dyDescent="0.35">
      <c r="B2546" s="9"/>
      <c r="C2546" s="14" t="s">
        <v>1246</v>
      </c>
      <c r="D2546" s="14" t="s">
        <v>1209</v>
      </c>
      <c r="E2546" s="18" t="s">
        <v>12</v>
      </c>
      <c r="F2546" s="17" t="s">
        <v>23</v>
      </c>
      <c r="G2546" s="17">
        <f>G2512*3</f>
        <v>0</v>
      </c>
      <c r="H2546" s="13">
        <f t="shared" si="39"/>
        <v>0</v>
      </c>
    </row>
    <row r="2547" spans="2:8" ht="13.5" thickBot="1" x14ac:dyDescent="0.35">
      <c r="B2547" s="9"/>
      <c r="C2547" s="14" t="s">
        <v>1210</v>
      </c>
      <c r="D2547" s="14"/>
      <c r="E2547" s="18" t="s">
        <v>12</v>
      </c>
      <c r="F2547" s="17" t="s">
        <v>23</v>
      </c>
      <c r="G2547" s="17">
        <f>G2512</f>
        <v>0</v>
      </c>
      <c r="H2547" s="13">
        <f t="shared" si="39"/>
        <v>0</v>
      </c>
    </row>
    <row r="2548" spans="2:8" ht="13.5" thickBot="1" x14ac:dyDescent="0.35">
      <c r="B2548" s="9"/>
      <c r="C2548" s="14" t="s">
        <v>233</v>
      </c>
      <c r="D2548" s="14" t="s">
        <v>49</v>
      </c>
      <c r="E2548" s="18" t="s">
        <v>6</v>
      </c>
      <c r="F2548" s="17" t="s">
        <v>23</v>
      </c>
      <c r="G2548" s="17">
        <f>G2512*9</f>
        <v>0</v>
      </c>
      <c r="H2548" s="13">
        <f t="shared" si="39"/>
        <v>0</v>
      </c>
    </row>
    <row r="2549" spans="2:8" ht="13.5" thickBot="1" x14ac:dyDescent="0.35">
      <c r="B2549" s="9"/>
      <c r="C2549" s="14" t="s">
        <v>1211</v>
      </c>
      <c r="D2549" s="14"/>
      <c r="E2549" s="18" t="s">
        <v>0</v>
      </c>
      <c r="F2549" s="17" t="s">
        <v>23</v>
      </c>
      <c r="G2549" s="17">
        <f>G2512*2</f>
        <v>0</v>
      </c>
      <c r="H2549" s="13">
        <f t="shared" si="39"/>
        <v>0</v>
      </c>
    </row>
    <row r="2550" spans="2:8" ht="13.5" thickBot="1" x14ac:dyDescent="0.35">
      <c r="B2550" s="9"/>
      <c r="C2550" s="14" t="s">
        <v>1212</v>
      </c>
      <c r="D2550" s="14"/>
      <c r="E2550" s="18" t="s">
        <v>0</v>
      </c>
      <c r="F2550" s="17" t="s">
        <v>23</v>
      </c>
      <c r="G2550" s="17">
        <f>G2512*9</f>
        <v>0</v>
      </c>
      <c r="H2550" s="13">
        <f t="shared" si="39"/>
        <v>0</v>
      </c>
    </row>
    <row r="2551" spans="2:8" ht="13.5" thickBot="1" x14ac:dyDescent="0.35">
      <c r="B2551" s="9"/>
      <c r="C2551" s="14" t="s">
        <v>1213</v>
      </c>
      <c r="D2551" s="14"/>
      <c r="E2551" s="18" t="s">
        <v>0</v>
      </c>
      <c r="F2551" s="17" t="s">
        <v>23</v>
      </c>
      <c r="G2551" s="17">
        <f>G2512*3</f>
        <v>0</v>
      </c>
      <c r="H2551" s="13">
        <f t="shared" si="39"/>
        <v>0</v>
      </c>
    </row>
    <row r="2552" spans="2:8" ht="13.5" thickBot="1" x14ac:dyDescent="0.35">
      <c r="B2552" s="9"/>
      <c r="C2552" s="14" t="s">
        <v>1214</v>
      </c>
      <c r="D2552" s="14"/>
      <c r="E2552" s="18" t="s">
        <v>0</v>
      </c>
      <c r="F2552" s="17" t="s">
        <v>23</v>
      </c>
      <c r="G2552" s="17">
        <f>G2512</f>
        <v>0</v>
      </c>
      <c r="H2552" s="13">
        <f t="shared" si="39"/>
        <v>0</v>
      </c>
    </row>
    <row r="2553" spans="2:8" ht="13.5" thickBot="1" x14ac:dyDescent="0.35">
      <c r="B2553" s="9"/>
      <c r="C2553" s="14" t="s">
        <v>837</v>
      </c>
      <c r="D2553" s="14" t="s">
        <v>25</v>
      </c>
      <c r="E2553" s="18" t="s">
        <v>9</v>
      </c>
      <c r="F2553" s="17" t="s">
        <v>23</v>
      </c>
      <c r="G2553" s="17">
        <f>G2512*4</f>
        <v>0</v>
      </c>
      <c r="H2553" s="13">
        <f t="shared" si="39"/>
        <v>0</v>
      </c>
    </row>
    <row r="2554" spans="2:8" ht="13.5" thickBot="1" x14ac:dyDescent="0.35">
      <c r="B2554" s="9"/>
      <c r="C2554" s="14" t="s">
        <v>831</v>
      </c>
      <c r="D2554" s="14" t="s">
        <v>540</v>
      </c>
      <c r="E2554" s="18" t="s">
        <v>9</v>
      </c>
      <c r="F2554" s="17" t="s">
        <v>23</v>
      </c>
      <c r="G2554" s="17">
        <f>G2512</f>
        <v>0</v>
      </c>
      <c r="H2554" s="13">
        <f t="shared" si="39"/>
        <v>0</v>
      </c>
    </row>
    <row r="2555" spans="2:8" ht="13.5" thickBot="1" x14ac:dyDescent="0.35">
      <c r="B2555" s="9"/>
      <c r="C2555" s="14" t="s">
        <v>1215</v>
      </c>
      <c r="D2555" s="14"/>
      <c r="E2555" s="18" t="s">
        <v>0</v>
      </c>
      <c r="F2555" s="17" t="s">
        <v>23</v>
      </c>
      <c r="G2555" s="17">
        <f>G2512</f>
        <v>0</v>
      </c>
      <c r="H2555" s="13">
        <f t="shared" si="39"/>
        <v>0</v>
      </c>
    </row>
    <row r="2556" spans="2:8" ht="13.5" thickBot="1" x14ac:dyDescent="0.35">
      <c r="B2556" s="9"/>
      <c r="C2556" s="14" t="s">
        <v>1216</v>
      </c>
      <c r="D2556" s="14"/>
      <c r="E2556" s="18" t="s">
        <v>0</v>
      </c>
      <c r="F2556" s="17" t="s">
        <v>23</v>
      </c>
      <c r="G2556" s="17">
        <f>G2512*3</f>
        <v>0</v>
      </c>
      <c r="H2556" s="13">
        <f t="shared" si="39"/>
        <v>0</v>
      </c>
    </row>
    <row r="2557" spans="2:8" ht="13.5" thickBot="1" x14ac:dyDescent="0.35">
      <c r="B2557" s="9"/>
      <c r="C2557" s="14" t="s">
        <v>1217</v>
      </c>
      <c r="D2557" s="14"/>
      <c r="E2557" s="18" t="s">
        <v>0</v>
      </c>
      <c r="F2557" s="17" t="s">
        <v>23</v>
      </c>
      <c r="G2557" s="17">
        <f>G2512*2</f>
        <v>0</v>
      </c>
      <c r="H2557" s="13">
        <f t="shared" si="39"/>
        <v>0</v>
      </c>
    </row>
    <row r="2558" spans="2:8" ht="13.5" thickBot="1" x14ac:dyDescent="0.35">
      <c r="B2558" s="9"/>
      <c r="C2558" s="14" t="s">
        <v>1218</v>
      </c>
      <c r="D2558" s="14"/>
      <c r="E2558" s="18" t="s">
        <v>12</v>
      </c>
      <c r="F2558" s="17" t="s">
        <v>23</v>
      </c>
      <c r="G2558" s="17">
        <f>G2512</f>
        <v>0</v>
      </c>
      <c r="H2558" s="13">
        <f t="shared" si="39"/>
        <v>0</v>
      </c>
    </row>
    <row r="2559" spans="2:8" ht="13.5" thickBot="1" x14ac:dyDescent="0.35">
      <c r="B2559" s="9"/>
      <c r="C2559" s="14" t="s">
        <v>1219</v>
      </c>
      <c r="D2559" s="14"/>
      <c r="E2559" s="18" t="s">
        <v>12</v>
      </c>
      <c r="F2559" s="17" t="s">
        <v>23</v>
      </c>
      <c r="G2559" s="17">
        <f>G2512</f>
        <v>0</v>
      </c>
      <c r="H2559" s="13">
        <f t="shared" si="39"/>
        <v>0</v>
      </c>
    </row>
    <row r="2560" spans="2:8" ht="13.5" thickBot="1" x14ac:dyDescent="0.35">
      <c r="B2560" s="9"/>
      <c r="C2560" s="14" t="s">
        <v>1220</v>
      </c>
      <c r="D2560" s="14"/>
      <c r="E2560" s="18" t="s">
        <v>0</v>
      </c>
      <c r="F2560" s="17" t="s">
        <v>23</v>
      </c>
      <c r="G2560" s="17">
        <f>G2512*3</f>
        <v>0</v>
      </c>
      <c r="H2560" s="13">
        <f t="shared" si="39"/>
        <v>0</v>
      </c>
    </row>
    <row r="2561" spans="2:8" ht="13.5" thickBot="1" x14ac:dyDescent="0.35">
      <c r="B2561" s="9"/>
      <c r="C2561" s="14" t="s">
        <v>1221</v>
      </c>
      <c r="D2561" s="14"/>
      <c r="E2561" s="18" t="s">
        <v>0</v>
      </c>
      <c r="F2561" s="17" t="s">
        <v>23</v>
      </c>
      <c r="G2561" s="17">
        <f>G2512*6</f>
        <v>0</v>
      </c>
      <c r="H2561" s="13">
        <f t="shared" si="39"/>
        <v>0</v>
      </c>
    </row>
    <row r="2562" spans="2:8" ht="13.5" thickBot="1" x14ac:dyDescent="0.35">
      <c r="B2562" s="9"/>
      <c r="C2562" s="14" t="s">
        <v>1222</v>
      </c>
      <c r="D2562" s="14"/>
      <c r="E2562" s="18" t="s">
        <v>0</v>
      </c>
      <c r="F2562" s="17" t="s">
        <v>23</v>
      </c>
      <c r="G2562" s="17">
        <f>G2512*6</f>
        <v>0</v>
      </c>
      <c r="H2562" s="13">
        <f t="shared" si="39"/>
        <v>0</v>
      </c>
    </row>
    <row r="2563" spans="2:8" ht="13.5" thickBot="1" x14ac:dyDescent="0.35">
      <c r="B2563" s="9"/>
      <c r="C2563" s="14" t="s">
        <v>1223</v>
      </c>
      <c r="D2563" s="14"/>
      <c r="E2563" s="18" t="s">
        <v>0</v>
      </c>
      <c r="F2563" s="17" t="s">
        <v>23</v>
      </c>
      <c r="G2563" s="17">
        <f>G2512*8</f>
        <v>0</v>
      </c>
      <c r="H2563" s="13">
        <f t="shared" si="39"/>
        <v>0</v>
      </c>
    </row>
    <row r="2564" spans="2:8" ht="13.5" thickBot="1" x14ac:dyDescent="0.35">
      <c r="B2564" s="9"/>
      <c r="C2564" s="14" t="s">
        <v>1224</v>
      </c>
      <c r="D2564" s="14"/>
      <c r="E2564" s="18" t="s">
        <v>12</v>
      </c>
      <c r="F2564" s="17" t="s">
        <v>23</v>
      </c>
      <c r="G2564" s="17">
        <f>G2512*3</f>
        <v>0</v>
      </c>
      <c r="H2564" s="13">
        <f t="shared" ref="H2564:H2627" si="40">SUM(G2564:G2564)</f>
        <v>0</v>
      </c>
    </row>
    <row r="2565" spans="2:8" ht="13.5" thickBot="1" x14ac:dyDescent="0.35">
      <c r="B2565" s="9"/>
      <c r="C2565" s="14" t="s">
        <v>1225</v>
      </c>
      <c r="D2565" s="14"/>
      <c r="E2565" s="18" t="s">
        <v>0</v>
      </c>
      <c r="F2565" s="17" t="s">
        <v>23</v>
      </c>
      <c r="G2565" s="17">
        <f>G2512*3</f>
        <v>0</v>
      </c>
      <c r="H2565" s="13">
        <f t="shared" si="40"/>
        <v>0</v>
      </c>
    </row>
    <row r="2566" spans="2:8" ht="13.5" thickBot="1" x14ac:dyDescent="0.35">
      <c r="B2566" s="9"/>
      <c r="C2566" s="14" t="s">
        <v>1226</v>
      </c>
      <c r="D2566" s="14"/>
      <c r="E2566" s="18" t="s">
        <v>0</v>
      </c>
      <c r="F2566" s="17" t="s">
        <v>23</v>
      </c>
      <c r="G2566" s="17">
        <f>G2512</f>
        <v>0</v>
      </c>
      <c r="H2566" s="13">
        <f t="shared" si="40"/>
        <v>0</v>
      </c>
    </row>
    <row r="2567" spans="2:8" ht="13.5" thickBot="1" x14ac:dyDescent="0.35">
      <c r="B2567" s="9"/>
      <c r="C2567" s="14" t="s">
        <v>1227</v>
      </c>
      <c r="D2567" s="14"/>
      <c r="E2567" s="18" t="s">
        <v>0</v>
      </c>
      <c r="F2567" s="17" t="s">
        <v>23</v>
      </c>
      <c r="G2567" s="17">
        <f>G2512</f>
        <v>0</v>
      </c>
      <c r="H2567" s="13">
        <f t="shared" si="40"/>
        <v>0</v>
      </c>
    </row>
    <row r="2568" spans="2:8" ht="13.5" thickBot="1" x14ac:dyDescent="0.35">
      <c r="B2568" s="9"/>
      <c r="C2568" s="14" t="s">
        <v>1228</v>
      </c>
      <c r="D2568" s="14"/>
      <c r="E2568" s="18" t="s">
        <v>0</v>
      </c>
      <c r="F2568" s="17" t="s">
        <v>23</v>
      </c>
      <c r="G2568" s="17">
        <f>G2512*3</f>
        <v>0</v>
      </c>
      <c r="H2568" s="13">
        <f t="shared" si="40"/>
        <v>0</v>
      </c>
    </row>
    <row r="2569" spans="2:8" ht="13.5" thickBot="1" x14ac:dyDescent="0.35">
      <c r="B2569" s="9"/>
      <c r="C2569" s="14" t="s">
        <v>1229</v>
      </c>
      <c r="D2569" s="14"/>
      <c r="E2569" s="18" t="s">
        <v>12</v>
      </c>
      <c r="F2569" s="17" t="s">
        <v>23</v>
      </c>
      <c r="G2569" s="17">
        <f>G2512</f>
        <v>0</v>
      </c>
      <c r="H2569" s="13">
        <f t="shared" si="40"/>
        <v>0</v>
      </c>
    </row>
    <row r="2570" spans="2:8" ht="13.5" thickBot="1" x14ac:dyDescent="0.35">
      <c r="B2570" s="9"/>
      <c r="C2570" s="14" t="s">
        <v>1230</v>
      </c>
      <c r="D2570" s="14" t="s">
        <v>49</v>
      </c>
      <c r="E2570" s="18" t="s">
        <v>6</v>
      </c>
      <c r="F2570" s="17" t="s">
        <v>23</v>
      </c>
      <c r="G2570" s="17">
        <f>G2512*10</f>
        <v>0</v>
      </c>
      <c r="H2570" s="13">
        <f t="shared" si="40"/>
        <v>0</v>
      </c>
    </row>
    <row r="2571" spans="2:8" ht="13.5" thickBot="1" x14ac:dyDescent="0.35">
      <c r="B2571" s="9"/>
      <c r="C2571" s="14" t="s">
        <v>1231</v>
      </c>
      <c r="D2571" s="14"/>
      <c r="E2571" s="18" t="s">
        <v>0</v>
      </c>
      <c r="F2571" s="17" t="s">
        <v>23</v>
      </c>
      <c r="G2571" s="17">
        <f>G2512</f>
        <v>0</v>
      </c>
      <c r="H2571" s="13">
        <f t="shared" si="40"/>
        <v>0</v>
      </c>
    </row>
    <row r="2572" spans="2:8" ht="13.5" thickBot="1" x14ac:dyDescent="0.35">
      <c r="B2572" s="9"/>
      <c r="C2572" s="14" t="s">
        <v>1232</v>
      </c>
      <c r="D2572" s="14"/>
      <c r="E2572" s="18" t="s">
        <v>0</v>
      </c>
      <c r="F2572" s="17" t="s">
        <v>23</v>
      </c>
      <c r="G2572" s="17">
        <f>G2512*3</f>
        <v>0</v>
      </c>
      <c r="H2572" s="13">
        <f t="shared" si="40"/>
        <v>0</v>
      </c>
    </row>
    <row r="2573" spans="2:8" ht="13.5" thickBot="1" x14ac:dyDescent="0.35">
      <c r="B2573" s="9"/>
      <c r="C2573" s="14" t="s">
        <v>1233</v>
      </c>
      <c r="D2573" s="14"/>
      <c r="E2573" s="18" t="s">
        <v>0</v>
      </c>
      <c r="F2573" s="17" t="s">
        <v>23</v>
      </c>
      <c r="G2573" s="17">
        <f>G2512*3</f>
        <v>0</v>
      </c>
      <c r="H2573" s="13">
        <f t="shared" si="40"/>
        <v>0</v>
      </c>
    </row>
    <row r="2574" spans="2:8" ht="13.5" thickBot="1" x14ac:dyDescent="0.35">
      <c r="B2574" s="9"/>
      <c r="C2574" s="14" t="s">
        <v>1234</v>
      </c>
      <c r="D2574" s="14"/>
      <c r="E2574" s="18" t="s">
        <v>0</v>
      </c>
      <c r="F2574" s="17" t="s">
        <v>23</v>
      </c>
      <c r="G2574" s="17">
        <f>G2512*2</f>
        <v>0</v>
      </c>
      <c r="H2574" s="13">
        <f t="shared" si="40"/>
        <v>0</v>
      </c>
    </row>
    <row r="2575" spans="2:8" ht="13.5" thickBot="1" x14ac:dyDescent="0.35">
      <c r="B2575" s="9"/>
      <c r="C2575" s="14" t="s">
        <v>231</v>
      </c>
      <c r="D2575" s="14" t="s">
        <v>49</v>
      </c>
      <c r="E2575" s="18" t="s">
        <v>0</v>
      </c>
      <c r="F2575" s="17" t="s">
        <v>23</v>
      </c>
      <c r="G2575" s="17">
        <f>G2512</f>
        <v>0</v>
      </c>
      <c r="H2575" s="13">
        <f t="shared" si="40"/>
        <v>0</v>
      </c>
    </row>
    <row r="2576" spans="2:8" ht="13.5" thickBot="1" x14ac:dyDescent="0.35">
      <c r="B2576" s="9"/>
      <c r="C2576" s="14" t="s">
        <v>1235</v>
      </c>
      <c r="D2576" s="14"/>
      <c r="E2576" s="18" t="s">
        <v>0</v>
      </c>
      <c r="F2576" s="17" t="s">
        <v>23</v>
      </c>
      <c r="G2576" s="17">
        <f>G2512*27</f>
        <v>0</v>
      </c>
      <c r="H2576" s="13">
        <f t="shared" si="40"/>
        <v>0</v>
      </c>
    </row>
    <row r="2577" spans="2:8" ht="13.5" thickBot="1" x14ac:dyDescent="0.35">
      <c r="B2577" s="9"/>
      <c r="C2577" s="14" t="s">
        <v>1247</v>
      </c>
      <c r="D2577" s="14"/>
      <c r="E2577" s="18" t="s">
        <v>12</v>
      </c>
      <c r="F2577" s="17" t="s">
        <v>23</v>
      </c>
      <c r="G2577" s="17">
        <f>G2512</f>
        <v>0</v>
      </c>
      <c r="H2577" s="13">
        <f t="shared" si="40"/>
        <v>0</v>
      </c>
    </row>
    <row r="2578" spans="2:8" ht="13.5" thickBot="1" x14ac:dyDescent="0.35">
      <c r="B2578" s="9"/>
      <c r="C2578" s="14" t="s">
        <v>1236</v>
      </c>
      <c r="D2578" s="14"/>
      <c r="E2578" s="18" t="s">
        <v>0</v>
      </c>
      <c r="F2578" s="17" t="s">
        <v>23</v>
      </c>
      <c r="G2578" s="17">
        <f>G2512*6</f>
        <v>0</v>
      </c>
      <c r="H2578" s="13">
        <f t="shared" si="40"/>
        <v>0</v>
      </c>
    </row>
    <row r="2579" spans="2:8" ht="13.5" thickBot="1" x14ac:dyDescent="0.35">
      <c r="B2579" s="9"/>
      <c r="C2579" s="14" t="s">
        <v>1237</v>
      </c>
      <c r="D2579" s="14"/>
      <c r="E2579" s="18" t="s">
        <v>0</v>
      </c>
      <c r="F2579" s="17" t="s">
        <v>23</v>
      </c>
      <c r="G2579" s="17">
        <f>G2512</f>
        <v>0</v>
      </c>
      <c r="H2579" s="13">
        <f t="shared" si="40"/>
        <v>0</v>
      </c>
    </row>
    <row r="2580" spans="2:8" ht="13.5" thickBot="1" x14ac:dyDescent="0.35">
      <c r="B2580" s="9">
        <f>COUNT($B$4:B2579)+1</f>
        <v>719</v>
      </c>
      <c r="C2580" s="10" t="s">
        <v>1248</v>
      </c>
      <c r="D2580" s="10"/>
      <c r="E2580" s="11" t="s">
        <v>11</v>
      </c>
      <c r="F2580" s="12" t="s">
        <v>884</v>
      </c>
      <c r="G2580" s="17"/>
      <c r="H2580" s="13">
        <f t="shared" si="40"/>
        <v>0</v>
      </c>
    </row>
    <row r="2581" spans="2:8" ht="13.5" thickBot="1" x14ac:dyDescent="0.35">
      <c r="B2581" s="9">
        <f>COUNT($B$4:B2580)+1</f>
        <v>720</v>
      </c>
      <c r="C2581" s="10" t="s">
        <v>1249</v>
      </c>
      <c r="D2581" s="10"/>
      <c r="E2581" s="11" t="s">
        <v>11</v>
      </c>
      <c r="F2581" s="12" t="s">
        <v>23</v>
      </c>
      <c r="G2581" s="12"/>
      <c r="H2581" s="13">
        <f t="shared" si="40"/>
        <v>0</v>
      </c>
    </row>
    <row r="2582" spans="2:8" ht="13.5" thickBot="1" x14ac:dyDescent="0.35">
      <c r="B2582" s="9"/>
      <c r="C2582" s="14" t="s">
        <v>1182</v>
      </c>
      <c r="D2582" s="14"/>
      <c r="E2582" s="18" t="s">
        <v>0</v>
      </c>
      <c r="F2582" s="17" t="s">
        <v>23</v>
      </c>
      <c r="G2582" s="17">
        <f>G2581</f>
        <v>0</v>
      </c>
      <c r="H2582" s="13">
        <f t="shared" si="40"/>
        <v>0</v>
      </c>
    </row>
    <row r="2583" spans="2:8" ht="13.5" thickBot="1" x14ac:dyDescent="0.35">
      <c r="B2583" s="9"/>
      <c r="C2583" s="14" t="s">
        <v>1183</v>
      </c>
      <c r="D2583" s="14"/>
      <c r="E2583" s="18" t="s">
        <v>0</v>
      </c>
      <c r="F2583" s="17" t="s">
        <v>23</v>
      </c>
      <c r="G2583" s="17">
        <f>G2581</f>
        <v>0</v>
      </c>
      <c r="H2583" s="13">
        <f t="shared" si="40"/>
        <v>0</v>
      </c>
    </row>
    <row r="2584" spans="2:8" ht="13.5" thickBot="1" x14ac:dyDescent="0.35">
      <c r="B2584" s="9"/>
      <c r="C2584" s="14" t="s">
        <v>1184</v>
      </c>
      <c r="D2584" s="14"/>
      <c r="E2584" s="18" t="s">
        <v>0</v>
      </c>
      <c r="F2584" s="17" t="s">
        <v>23</v>
      </c>
      <c r="G2584" s="17">
        <f>G2581</f>
        <v>0</v>
      </c>
      <c r="H2584" s="13">
        <f t="shared" si="40"/>
        <v>0</v>
      </c>
    </row>
    <row r="2585" spans="2:8" ht="13.5" thickBot="1" x14ac:dyDescent="0.35">
      <c r="B2585" s="9"/>
      <c r="C2585" s="14" t="s">
        <v>1185</v>
      </c>
      <c r="D2585" s="14"/>
      <c r="E2585" s="18" t="s">
        <v>0</v>
      </c>
      <c r="F2585" s="17" t="s">
        <v>23</v>
      </c>
      <c r="G2585" s="17">
        <f>G2581</f>
        <v>0</v>
      </c>
      <c r="H2585" s="13">
        <f t="shared" si="40"/>
        <v>0</v>
      </c>
    </row>
    <row r="2586" spans="2:8" ht="13.5" thickBot="1" x14ac:dyDescent="0.35">
      <c r="B2586" s="9"/>
      <c r="C2586" s="14" t="s">
        <v>1186</v>
      </c>
      <c r="D2586" s="14"/>
      <c r="E2586" s="18" t="s">
        <v>0</v>
      </c>
      <c r="F2586" s="17" t="s">
        <v>23</v>
      </c>
      <c r="G2586" s="17">
        <f>G2581</f>
        <v>0</v>
      </c>
      <c r="H2586" s="13">
        <f t="shared" si="40"/>
        <v>0</v>
      </c>
    </row>
    <row r="2587" spans="2:8" ht="13.5" thickBot="1" x14ac:dyDescent="0.35">
      <c r="B2587" s="9"/>
      <c r="C2587" s="14" t="s">
        <v>1187</v>
      </c>
      <c r="D2587" s="14"/>
      <c r="E2587" s="18" t="s">
        <v>0</v>
      </c>
      <c r="F2587" s="17" t="s">
        <v>23</v>
      </c>
      <c r="G2587" s="17">
        <f>G2581</f>
        <v>0</v>
      </c>
      <c r="H2587" s="13">
        <f t="shared" si="40"/>
        <v>0</v>
      </c>
    </row>
    <row r="2588" spans="2:8" ht="13.5" thickBot="1" x14ac:dyDescent="0.35">
      <c r="B2588" s="9"/>
      <c r="C2588" s="14" t="s">
        <v>1188</v>
      </c>
      <c r="D2588" s="14"/>
      <c r="E2588" s="18" t="s">
        <v>0</v>
      </c>
      <c r="F2588" s="17" t="s">
        <v>23</v>
      </c>
      <c r="G2588" s="17">
        <f>G2581*4</f>
        <v>0</v>
      </c>
      <c r="H2588" s="13">
        <f t="shared" si="40"/>
        <v>0</v>
      </c>
    </row>
    <row r="2589" spans="2:8" ht="13.5" thickBot="1" x14ac:dyDescent="0.35">
      <c r="B2589" s="9"/>
      <c r="C2589" s="14" t="s">
        <v>1189</v>
      </c>
      <c r="D2589" s="14"/>
      <c r="E2589" s="18" t="s">
        <v>0</v>
      </c>
      <c r="F2589" s="17" t="s">
        <v>23</v>
      </c>
      <c r="G2589" s="17">
        <f>G2581</f>
        <v>0</v>
      </c>
      <c r="H2589" s="13">
        <f t="shared" si="40"/>
        <v>0</v>
      </c>
    </row>
    <row r="2590" spans="2:8" ht="13.5" thickBot="1" x14ac:dyDescent="0.35">
      <c r="B2590" s="9"/>
      <c r="C2590" s="14" t="s">
        <v>1190</v>
      </c>
      <c r="D2590" s="14"/>
      <c r="E2590" s="18" t="s">
        <v>0</v>
      </c>
      <c r="F2590" s="17" t="s">
        <v>23</v>
      </c>
      <c r="G2590" s="17">
        <f>G2581*20</f>
        <v>0</v>
      </c>
      <c r="H2590" s="13">
        <f t="shared" si="40"/>
        <v>0</v>
      </c>
    </row>
    <row r="2591" spans="2:8" ht="13.5" thickBot="1" x14ac:dyDescent="0.35">
      <c r="B2591" s="9"/>
      <c r="C2591" s="14" t="s">
        <v>1191</v>
      </c>
      <c r="D2591" s="14"/>
      <c r="E2591" s="18" t="s">
        <v>0</v>
      </c>
      <c r="F2591" s="17" t="s">
        <v>51</v>
      </c>
      <c r="G2591" s="17">
        <f>G2581*0.2</f>
        <v>0</v>
      </c>
      <c r="H2591" s="13">
        <f t="shared" si="40"/>
        <v>0</v>
      </c>
    </row>
    <row r="2592" spans="2:8" ht="13.5" thickBot="1" x14ac:dyDescent="0.35">
      <c r="B2592" s="9"/>
      <c r="C2592" s="14" t="s">
        <v>1192</v>
      </c>
      <c r="D2592" s="14"/>
      <c r="E2592" s="18" t="s">
        <v>0</v>
      </c>
      <c r="F2592" s="17" t="s">
        <v>23</v>
      </c>
      <c r="G2592" s="17">
        <f>G2581*2</f>
        <v>0</v>
      </c>
      <c r="H2592" s="13">
        <f t="shared" si="40"/>
        <v>0</v>
      </c>
    </row>
    <row r="2593" spans="2:8" ht="13.5" thickBot="1" x14ac:dyDescent="0.35">
      <c r="B2593" s="9"/>
      <c r="C2593" s="14" t="s">
        <v>1193</v>
      </c>
      <c r="D2593" s="14"/>
      <c r="E2593" s="18" t="s">
        <v>0</v>
      </c>
      <c r="F2593" s="17" t="s">
        <v>23</v>
      </c>
      <c r="G2593" s="17">
        <f>G2581*2</f>
        <v>0</v>
      </c>
      <c r="H2593" s="13">
        <f t="shared" si="40"/>
        <v>0</v>
      </c>
    </row>
    <row r="2594" spans="2:8" ht="13.5" thickBot="1" x14ac:dyDescent="0.35">
      <c r="B2594" s="9"/>
      <c r="C2594" s="14" t="s">
        <v>1194</v>
      </c>
      <c r="D2594" s="14"/>
      <c r="E2594" s="18" t="s">
        <v>0</v>
      </c>
      <c r="F2594" s="17" t="s">
        <v>23</v>
      </c>
      <c r="G2594" s="17">
        <f>G2581*4</f>
        <v>0</v>
      </c>
      <c r="H2594" s="13">
        <f t="shared" si="40"/>
        <v>0</v>
      </c>
    </row>
    <row r="2595" spans="2:8" ht="13.5" thickBot="1" x14ac:dyDescent="0.35">
      <c r="B2595" s="9"/>
      <c r="C2595" s="14" t="s">
        <v>1195</v>
      </c>
      <c r="D2595" s="14"/>
      <c r="E2595" s="18" t="s">
        <v>0</v>
      </c>
      <c r="F2595" s="17" t="s">
        <v>23</v>
      </c>
      <c r="G2595" s="17">
        <f>G2581*4</f>
        <v>0</v>
      </c>
      <c r="H2595" s="13">
        <f t="shared" si="40"/>
        <v>0</v>
      </c>
    </row>
    <row r="2596" spans="2:8" ht="13.5" thickBot="1" x14ac:dyDescent="0.35">
      <c r="B2596" s="9"/>
      <c r="C2596" s="14" t="s">
        <v>208</v>
      </c>
      <c r="D2596" s="14" t="s">
        <v>93</v>
      </c>
      <c r="E2596" s="18" t="s">
        <v>2</v>
      </c>
      <c r="F2596" s="17" t="s">
        <v>51</v>
      </c>
      <c r="G2596" s="17">
        <f>G2581*72</f>
        <v>0</v>
      </c>
      <c r="H2596" s="13">
        <f t="shared" si="40"/>
        <v>0</v>
      </c>
    </row>
    <row r="2597" spans="2:8" ht="13.5" thickBot="1" x14ac:dyDescent="0.35">
      <c r="B2597" s="9"/>
      <c r="C2597" s="14" t="s">
        <v>209</v>
      </c>
      <c r="D2597" s="14" t="s">
        <v>93</v>
      </c>
      <c r="E2597" s="18" t="s">
        <v>2</v>
      </c>
      <c r="F2597" s="17" t="s">
        <v>51</v>
      </c>
      <c r="G2597" s="17">
        <f>G2581*24</f>
        <v>0</v>
      </c>
      <c r="H2597" s="13">
        <f t="shared" si="40"/>
        <v>0</v>
      </c>
    </row>
    <row r="2598" spans="2:8" ht="13.5" thickBot="1" x14ac:dyDescent="0.35">
      <c r="B2598" s="9"/>
      <c r="C2598" s="14" t="s">
        <v>1196</v>
      </c>
      <c r="D2598" s="14" t="s">
        <v>49</v>
      </c>
      <c r="E2598" s="18" t="s">
        <v>6</v>
      </c>
      <c r="F2598" s="17" t="s">
        <v>51</v>
      </c>
      <c r="G2598" s="17">
        <f>G2581*50</f>
        <v>0</v>
      </c>
      <c r="H2598" s="13">
        <f t="shared" si="40"/>
        <v>0</v>
      </c>
    </row>
    <row r="2599" spans="2:8" ht="13.5" thickBot="1" x14ac:dyDescent="0.35">
      <c r="B2599" s="9"/>
      <c r="C2599" s="14" t="s">
        <v>1197</v>
      </c>
      <c r="D2599" s="14" t="s">
        <v>49</v>
      </c>
      <c r="E2599" s="18" t="s">
        <v>6</v>
      </c>
      <c r="F2599" s="17" t="s">
        <v>51</v>
      </c>
      <c r="G2599" s="17">
        <f>G2581*50</f>
        <v>0</v>
      </c>
      <c r="H2599" s="13">
        <f t="shared" si="40"/>
        <v>0</v>
      </c>
    </row>
    <row r="2600" spans="2:8" ht="13.5" thickBot="1" x14ac:dyDescent="0.35">
      <c r="B2600" s="9"/>
      <c r="C2600" s="14" t="s">
        <v>230</v>
      </c>
      <c r="D2600" s="14" t="s">
        <v>49</v>
      </c>
      <c r="E2600" s="18" t="s">
        <v>6</v>
      </c>
      <c r="F2600" s="17" t="s">
        <v>23</v>
      </c>
      <c r="G2600" s="17">
        <f>G2581</f>
        <v>0</v>
      </c>
      <c r="H2600" s="13">
        <f t="shared" si="40"/>
        <v>0</v>
      </c>
    </row>
    <row r="2601" spans="2:8" ht="13.5" thickBot="1" x14ac:dyDescent="0.35">
      <c r="B2601" s="9"/>
      <c r="C2601" s="14" t="s">
        <v>1198</v>
      </c>
      <c r="D2601" s="14" t="s">
        <v>217</v>
      </c>
      <c r="E2601" s="18" t="s">
        <v>7</v>
      </c>
      <c r="F2601" s="17" t="s">
        <v>23</v>
      </c>
      <c r="G2601" s="17">
        <f>G2581</f>
        <v>0</v>
      </c>
      <c r="H2601" s="13">
        <f t="shared" si="40"/>
        <v>0</v>
      </c>
    </row>
    <row r="2602" spans="2:8" ht="13.5" thickBot="1" x14ac:dyDescent="0.35">
      <c r="B2602" s="9"/>
      <c r="C2602" s="14" t="s">
        <v>1199</v>
      </c>
      <c r="D2602" s="14" t="s">
        <v>217</v>
      </c>
      <c r="E2602" s="18" t="s">
        <v>7</v>
      </c>
      <c r="F2602" s="17" t="s">
        <v>23</v>
      </c>
      <c r="G2602" s="17">
        <f>G2581</f>
        <v>0</v>
      </c>
      <c r="H2602" s="13">
        <f t="shared" si="40"/>
        <v>0</v>
      </c>
    </row>
    <row r="2603" spans="2:8" ht="13.5" thickBot="1" x14ac:dyDescent="0.35">
      <c r="B2603" s="9"/>
      <c r="C2603" s="14" t="s">
        <v>1200</v>
      </c>
      <c r="D2603" s="14" t="s">
        <v>217</v>
      </c>
      <c r="E2603" s="18" t="s">
        <v>7</v>
      </c>
      <c r="F2603" s="17" t="s">
        <v>23</v>
      </c>
      <c r="G2603" s="17">
        <f>G2581*2</f>
        <v>0</v>
      </c>
      <c r="H2603" s="13">
        <f t="shared" si="40"/>
        <v>0</v>
      </c>
    </row>
    <row r="2604" spans="2:8" ht="13.5" thickBot="1" x14ac:dyDescent="0.35">
      <c r="B2604" s="9"/>
      <c r="C2604" s="14" t="s">
        <v>1201</v>
      </c>
      <c r="D2604" s="14" t="s">
        <v>217</v>
      </c>
      <c r="E2604" s="18" t="s">
        <v>7</v>
      </c>
      <c r="F2604" s="17" t="s">
        <v>23</v>
      </c>
      <c r="G2604" s="17">
        <f>G2581</f>
        <v>0</v>
      </c>
      <c r="H2604" s="13">
        <f t="shared" si="40"/>
        <v>0</v>
      </c>
    </row>
    <row r="2605" spans="2:8" ht="13.5" thickBot="1" x14ac:dyDescent="0.35">
      <c r="B2605" s="9"/>
      <c r="C2605" s="14" t="s">
        <v>1202</v>
      </c>
      <c r="D2605" s="14" t="s">
        <v>217</v>
      </c>
      <c r="E2605" s="18" t="s">
        <v>0</v>
      </c>
      <c r="F2605" s="17" t="s">
        <v>23</v>
      </c>
      <c r="G2605" s="17">
        <f>G2581</f>
        <v>0</v>
      </c>
      <c r="H2605" s="13">
        <f t="shared" si="40"/>
        <v>0</v>
      </c>
    </row>
    <row r="2606" spans="2:8" ht="13.5" thickBot="1" x14ac:dyDescent="0.35">
      <c r="B2606" s="9"/>
      <c r="C2606" s="14" t="s">
        <v>1203</v>
      </c>
      <c r="D2606" s="14" t="s">
        <v>217</v>
      </c>
      <c r="E2606" s="18" t="s">
        <v>12</v>
      </c>
      <c r="F2606" s="17" t="s">
        <v>23</v>
      </c>
      <c r="G2606" s="17">
        <f>G2581*3</f>
        <v>0</v>
      </c>
      <c r="H2606" s="13">
        <f t="shared" si="40"/>
        <v>0</v>
      </c>
    </row>
    <row r="2607" spans="2:8" ht="13.5" thickBot="1" x14ac:dyDescent="0.35">
      <c r="B2607" s="9"/>
      <c r="C2607" s="14" t="s">
        <v>1204</v>
      </c>
      <c r="D2607" s="14" t="s">
        <v>93</v>
      </c>
      <c r="E2607" s="18" t="s">
        <v>2</v>
      </c>
      <c r="F2607" s="17" t="s">
        <v>51</v>
      </c>
      <c r="G2607" s="17">
        <f>G2581*15</f>
        <v>0</v>
      </c>
      <c r="H2607" s="13">
        <f t="shared" si="40"/>
        <v>0</v>
      </c>
    </row>
    <row r="2608" spans="2:8" ht="13.5" thickBot="1" x14ac:dyDescent="0.35">
      <c r="B2608" s="9"/>
      <c r="C2608" s="14" t="s">
        <v>401</v>
      </c>
      <c r="D2608" s="14" t="s">
        <v>49</v>
      </c>
      <c r="E2608" s="18" t="s">
        <v>6</v>
      </c>
      <c r="F2608" s="17" t="s">
        <v>23</v>
      </c>
      <c r="G2608" s="17">
        <f>G2581*9</f>
        <v>0</v>
      </c>
      <c r="H2608" s="13">
        <f t="shared" si="40"/>
        <v>0</v>
      </c>
    </row>
    <row r="2609" spans="2:8" ht="13.5" thickBot="1" x14ac:dyDescent="0.35">
      <c r="B2609" s="9"/>
      <c r="C2609" s="14" t="s">
        <v>1205</v>
      </c>
      <c r="D2609" s="14" t="s">
        <v>217</v>
      </c>
      <c r="E2609" s="18" t="s">
        <v>0</v>
      </c>
      <c r="F2609" s="17" t="s">
        <v>23</v>
      </c>
      <c r="G2609" s="17">
        <f>G2581*2</f>
        <v>0</v>
      </c>
      <c r="H2609" s="13">
        <f t="shared" si="40"/>
        <v>0</v>
      </c>
    </row>
    <row r="2610" spans="2:8" ht="13.5" thickBot="1" x14ac:dyDescent="0.35">
      <c r="B2610" s="9"/>
      <c r="C2610" s="14" t="s">
        <v>555</v>
      </c>
      <c r="D2610" s="14" t="s">
        <v>540</v>
      </c>
      <c r="E2610" s="18" t="s">
        <v>9</v>
      </c>
      <c r="F2610" s="17" t="s">
        <v>23</v>
      </c>
      <c r="G2610" s="17">
        <f>G2581*2</f>
        <v>0</v>
      </c>
      <c r="H2610" s="13">
        <f t="shared" si="40"/>
        <v>0</v>
      </c>
    </row>
    <row r="2611" spans="2:8" ht="13.5" thickBot="1" x14ac:dyDescent="0.35">
      <c r="B2611" s="9"/>
      <c r="C2611" s="14" t="s">
        <v>483</v>
      </c>
      <c r="D2611" s="14" t="s">
        <v>25</v>
      </c>
      <c r="E2611" s="18" t="s">
        <v>9</v>
      </c>
      <c r="F2611" s="17" t="s">
        <v>23</v>
      </c>
      <c r="G2611" s="17">
        <f>G2581*3</f>
        <v>0</v>
      </c>
      <c r="H2611" s="13">
        <f t="shared" si="40"/>
        <v>0</v>
      </c>
    </row>
    <row r="2612" spans="2:8" ht="13.5" thickBot="1" x14ac:dyDescent="0.35">
      <c r="B2612" s="9"/>
      <c r="C2612" s="14" t="s">
        <v>1250</v>
      </c>
      <c r="D2612" s="14" t="s">
        <v>1207</v>
      </c>
      <c r="E2612" s="18" t="s">
        <v>12</v>
      </c>
      <c r="F2612" s="17" t="s">
        <v>23</v>
      </c>
      <c r="G2612" s="17">
        <f>G2581</f>
        <v>0</v>
      </c>
      <c r="H2612" s="13">
        <f t="shared" si="40"/>
        <v>0</v>
      </c>
    </row>
    <row r="2613" spans="2:8" ht="13.5" thickBot="1" x14ac:dyDescent="0.35">
      <c r="B2613" s="9"/>
      <c r="C2613" s="14" t="s">
        <v>830</v>
      </c>
      <c r="D2613" s="14" t="s">
        <v>540</v>
      </c>
      <c r="E2613" s="18" t="s">
        <v>9</v>
      </c>
      <c r="F2613" s="17" t="s">
        <v>23</v>
      </c>
      <c r="G2613" s="17">
        <f>G2581*2</f>
        <v>0</v>
      </c>
      <c r="H2613" s="13">
        <f t="shared" si="40"/>
        <v>0</v>
      </c>
    </row>
    <row r="2614" spans="2:8" ht="13.5" thickBot="1" x14ac:dyDescent="0.35">
      <c r="B2614" s="9"/>
      <c r="C2614" s="14" t="s">
        <v>835</v>
      </c>
      <c r="D2614" s="14" t="s">
        <v>25</v>
      </c>
      <c r="E2614" s="18" t="s">
        <v>9</v>
      </c>
      <c r="F2614" s="17" t="s">
        <v>23</v>
      </c>
      <c r="G2614" s="17">
        <f>G2581</f>
        <v>0</v>
      </c>
      <c r="H2614" s="13">
        <f t="shared" si="40"/>
        <v>0</v>
      </c>
    </row>
    <row r="2615" spans="2:8" ht="13.5" thickBot="1" x14ac:dyDescent="0.35">
      <c r="B2615" s="9"/>
      <c r="C2615" s="14" t="s">
        <v>1251</v>
      </c>
      <c r="D2615" s="14" t="s">
        <v>1209</v>
      </c>
      <c r="E2615" s="18" t="s">
        <v>12</v>
      </c>
      <c r="F2615" s="17" t="s">
        <v>23</v>
      </c>
      <c r="G2615" s="17">
        <f>G2581*3</f>
        <v>0</v>
      </c>
      <c r="H2615" s="13">
        <f t="shared" si="40"/>
        <v>0</v>
      </c>
    </row>
    <row r="2616" spans="2:8" ht="13.5" thickBot="1" x14ac:dyDescent="0.35">
      <c r="B2616" s="9"/>
      <c r="C2616" s="14" t="s">
        <v>1210</v>
      </c>
      <c r="D2616" s="14"/>
      <c r="E2616" s="18" t="s">
        <v>12</v>
      </c>
      <c r="F2616" s="17" t="s">
        <v>23</v>
      </c>
      <c r="G2616" s="17">
        <f>G2581</f>
        <v>0</v>
      </c>
      <c r="H2616" s="13">
        <f t="shared" si="40"/>
        <v>0</v>
      </c>
    </row>
    <row r="2617" spans="2:8" ht="13.5" thickBot="1" x14ac:dyDescent="0.35">
      <c r="B2617" s="9"/>
      <c r="C2617" s="14" t="s">
        <v>233</v>
      </c>
      <c r="D2617" s="14" t="s">
        <v>49</v>
      </c>
      <c r="E2617" s="18" t="s">
        <v>6</v>
      </c>
      <c r="F2617" s="17" t="s">
        <v>23</v>
      </c>
      <c r="G2617" s="17">
        <f>G2581*9</f>
        <v>0</v>
      </c>
      <c r="H2617" s="13">
        <f t="shared" si="40"/>
        <v>0</v>
      </c>
    </row>
    <row r="2618" spans="2:8" ht="13.5" thickBot="1" x14ac:dyDescent="0.35">
      <c r="B2618" s="9"/>
      <c r="C2618" s="14" t="s">
        <v>1211</v>
      </c>
      <c r="D2618" s="14"/>
      <c r="E2618" s="18" t="s">
        <v>0</v>
      </c>
      <c r="F2618" s="17" t="s">
        <v>23</v>
      </c>
      <c r="G2618" s="17">
        <f>G2581*2</f>
        <v>0</v>
      </c>
      <c r="H2618" s="13">
        <f t="shared" si="40"/>
        <v>0</v>
      </c>
    </row>
    <row r="2619" spans="2:8" ht="13.5" thickBot="1" x14ac:dyDescent="0.35">
      <c r="B2619" s="9"/>
      <c r="C2619" s="14" t="s">
        <v>1212</v>
      </c>
      <c r="D2619" s="14"/>
      <c r="E2619" s="18" t="s">
        <v>0</v>
      </c>
      <c r="F2619" s="17" t="s">
        <v>23</v>
      </c>
      <c r="G2619" s="17">
        <f>G2581*9</f>
        <v>0</v>
      </c>
      <c r="H2619" s="13">
        <f t="shared" si="40"/>
        <v>0</v>
      </c>
    </row>
    <row r="2620" spans="2:8" ht="13.5" thickBot="1" x14ac:dyDescent="0.35">
      <c r="B2620" s="9"/>
      <c r="C2620" s="14" t="s">
        <v>1213</v>
      </c>
      <c r="D2620" s="14"/>
      <c r="E2620" s="18" t="s">
        <v>0</v>
      </c>
      <c r="F2620" s="17" t="s">
        <v>23</v>
      </c>
      <c r="G2620" s="17">
        <f>G2581*3</f>
        <v>0</v>
      </c>
      <c r="H2620" s="13">
        <f t="shared" si="40"/>
        <v>0</v>
      </c>
    </row>
    <row r="2621" spans="2:8" ht="13.5" thickBot="1" x14ac:dyDescent="0.35">
      <c r="B2621" s="9"/>
      <c r="C2621" s="14" t="s">
        <v>1214</v>
      </c>
      <c r="D2621" s="14"/>
      <c r="E2621" s="18" t="s">
        <v>0</v>
      </c>
      <c r="F2621" s="17" t="s">
        <v>23</v>
      </c>
      <c r="G2621" s="17">
        <f>G2581</f>
        <v>0</v>
      </c>
      <c r="H2621" s="13">
        <f t="shared" si="40"/>
        <v>0</v>
      </c>
    </row>
    <row r="2622" spans="2:8" ht="13.5" thickBot="1" x14ac:dyDescent="0.35">
      <c r="B2622" s="9"/>
      <c r="C2622" s="14" t="s">
        <v>837</v>
      </c>
      <c r="D2622" s="14" t="s">
        <v>25</v>
      </c>
      <c r="E2622" s="18" t="s">
        <v>9</v>
      </c>
      <c r="F2622" s="17" t="s">
        <v>23</v>
      </c>
      <c r="G2622" s="17">
        <f>G2581*4</f>
        <v>0</v>
      </c>
      <c r="H2622" s="13">
        <f t="shared" si="40"/>
        <v>0</v>
      </c>
    </row>
    <row r="2623" spans="2:8" ht="13.5" thickBot="1" x14ac:dyDescent="0.35">
      <c r="B2623" s="9"/>
      <c r="C2623" s="14" t="s">
        <v>831</v>
      </c>
      <c r="D2623" s="14" t="s">
        <v>540</v>
      </c>
      <c r="E2623" s="18" t="s">
        <v>9</v>
      </c>
      <c r="F2623" s="17" t="s">
        <v>23</v>
      </c>
      <c r="G2623" s="17">
        <f>G2581</f>
        <v>0</v>
      </c>
      <c r="H2623" s="13">
        <f t="shared" si="40"/>
        <v>0</v>
      </c>
    </row>
    <row r="2624" spans="2:8" ht="13.5" thickBot="1" x14ac:dyDescent="0.35">
      <c r="B2624" s="9"/>
      <c r="C2624" s="14" t="s">
        <v>1215</v>
      </c>
      <c r="D2624" s="14"/>
      <c r="E2624" s="18" t="s">
        <v>0</v>
      </c>
      <c r="F2624" s="17" t="s">
        <v>23</v>
      </c>
      <c r="G2624" s="17">
        <f>G2581</f>
        <v>0</v>
      </c>
      <c r="H2624" s="13">
        <f t="shared" si="40"/>
        <v>0</v>
      </c>
    </row>
    <row r="2625" spans="2:8" ht="13.5" thickBot="1" x14ac:dyDescent="0.35">
      <c r="B2625" s="9"/>
      <c r="C2625" s="14" t="s">
        <v>1216</v>
      </c>
      <c r="D2625" s="14"/>
      <c r="E2625" s="18" t="s">
        <v>0</v>
      </c>
      <c r="F2625" s="17" t="s">
        <v>23</v>
      </c>
      <c r="G2625" s="17">
        <f>G2581*3</f>
        <v>0</v>
      </c>
      <c r="H2625" s="13">
        <f t="shared" si="40"/>
        <v>0</v>
      </c>
    </row>
    <row r="2626" spans="2:8" ht="13.5" thickBot="1" x14ac:dyDescent="0.35">
      <c r="B2626" s="9"/>
      <c r="C2626" s="14" t="s">
        <v>1217</v>
      </c>
      <c r="D2626" s="14"/>
      <c r="E2626" s="18" t="s">
        <v>0</v>
      </c>
      <c r="F2626" s="17" t="s">
        <v>23</v>
      </c>
      <c r="G2626" s="17">
        <f>G2581*2</f>
        <v>0</v>
      </c>
      <c r="H2626" s="13">
        <f t="shared" si="40"/>
        <v>0</v>
      </c>
    </row>
    <row r="2627" spans="2:8" ht="13.5" thickBot="1" x14ac:dyDescent="0.35">
      <c r="B2627" s="9"/>
      <c r="C2627" s="14" t="s">
        <v>1218</v>
      </c>
      <c r="D2627" s="14"/>
      <c r="E2627" s="18" t="s">
        <v>12</v>
      </c>
      <c r="F2627" s="17" t="s">
        <v>23</v>
      </c>
      <c r="G2627" s="17">
        <f>G2581</f>
        <v>0</v>
      </c>
      <c r="H2627" s="13">
        <f t="shared" si="40"/>
        <v>0</v>
      </c>
    </row>
    <row r="2628" spans="2:8" ht="13.5" thickBot="1" x14ac:dyDescent="0.35">
      <c r="B2628" s="9"/>
      <c r="C2628" s="14" t="s">
        <v>1219</v>
      </c>
      <c r="D2628" s="14"/>
      <c r="E2628" s="18" t="s">
        <v>12</v>
      </c>
      <c r="F2628" s="17" t="s">
        <v>23</v>
      </c>
      <c r="G2628" s="17">
        <f>G2581</f>
        <v>0</v>
      </c>
      <c r="H2628" s="13">
        <f t="shared" ref="H2628:H2691" si="41">SUM(G2628:G2628)</f>
        <v>0</v>
      </c>
    </row>
    <row r="2629" spans="2:8" ht="13.5" thickBot="1" x14ac:dyDescent="0.35">
      <c r="B2629" s="9"/>
      <c r="C2629" s="14" t="s">
        <v>1220</v>
      </c>
      <c r="D2629" s="14"/>
      <c r="E2629" s="18" t="s">
        <v>0</v>
      </c>
      <c r="F2629" s="17" t="s">
        <v>23</v>
      </c>
      <c r="G2629" s="17">
        <f>G2581*3</f>
        <v>0</v>
      </c>
      <c r="H2629" s="13">
        <f t="shared" si="41"/>
        <v>0</v>
      </c>
    </row>
    <row r="2630" spans="2:8" ht="13.5" thickBot="1" x14ac:dyDescent="0.35">
      <c r="B2630" s="9"/>
      <c r="C2630" s="14" t="s">
        <v>1221</v>
      </c>
      <c r="D2630" s="14"/>
      <c r="E2630" s="18" t="s">
        <v>0</v>
      </c>
      <c r="F2630" s="17" t="s">
        <v>23</v>
      </c>
      <c r="G2630" s="17">
        <f>G2581*6</f>
        <v>0</v>
      </c>
      <c r="H2630" s="13">
        <f t="shared" si="41"/>
        <v>0</v>
      </c>
    </row>
    <row r="2631" spans="2:8" ht="13.5" thickBot="1" x14ac:dyDescent="0.35">
      <c r="B2631" s="9"/>
      <c r="C2631" s="14" t="s">
        <v>1222</v>
      </c>
      <c r="D2631" s="14"/>
      <c r="E2631" s="18" t="s">
        <v>0</v>
      </c>
      <c r="F2631" s="17" t="s">
        <v>23</v>
      </c>
      <c r="G2631" s="17">
        <f>G2581*6</f>
        <v>0</v>
      </c>
      <c r="H2631" s="13">
        <f t="shared" si="41"/>
        <v>0</v>
      </c>
    </row>
    <row r="2632" spans="2:8" ht="13.5" thickBot="1" x14ac:dyDescent="0.35">
      <c r="B2632" s="9"/>
      <c r="C2632" s="14" t="s">
        <v>1223</v>
      </c>
      <c r="D2632" s="14"/>
      <c r="E2632" s="18" t="s">
        <v>0</v>
      </c>
      <c r="F2632" s="17" t="s">
        <v>23</v>
      </c>
      <c r="G2632" s="17">
        <f>G2581*8</f>
        <v>0</v>
      </c>
      <c r="H2632" s="13">
        <f t="shared" si="41"/>
        <v>0</v>
      </c>
    </row>
    <row r="2633" spans="2:8" ht="13.5" thickBot="1" x14ac:dyDescent="0.35">
      <c r="B2633" s="9"/>
      <c r="C2633" s="14" t="s">
        <v>1224</v>
      </c>
      <c r="D2633" s="14"/>
      <c r="E2633" s="18" t="s">
        <v>12</v>
      </c>
      <c r="F2633" s="17" t="s">
        <v>23</v>
      </c>
      <c r="G2633" s="17">
        <f>G2581*3</f>
        <v>0</v>
      </c>
      <c r="H2633" s="13">
        <f t="shared" si="41"/>
        <v>0</v>
      </c>
    </row>
    <row r="2634" spans="2:8" ht="13.5" thickBot="1" x14ac:dyDescent="0.35">
      <c r="B2634" s="9"/>
      <c r="C2634" s="14" t="s">
        <v>1225</v>
      </c>
      <c r="D2634" s="14"/>
      <c r="E2634" s="18" t="s">
        <v>0</v>
      </c>
      <c r="F2634" s="17" t="s">
        <v>23</v>
      </c>
      <c r="G2634" s="17">
        <f>G2581*3</f>
        <v>0</v>
      </c>
      <c r="H2634" s="13">
        <f t="shared" si="41"/>
        <v>0</v>
      </c>
    </row>
    <row r="2635" spans="2:8" ht="13.5" thickBot="1" x14ac:dyDescent="0.35">
      <c r="B2635" s="9"/>
      <c r="C2635" s="14" t="s">
        <v>1226</v>
      </c>
      <c r="D2635" s="14"/>
      <c r="E2635" s="18" t="s">
        <v>0</v>
      </c>
      <c r="F2635" s="17" t="s">
        <v>23</v>
      </c>
      <c r="G2635" s="17">
        <f>G2581</f>
        <v>0</v>
      </c>
      <c r="H2635" s="13">
        <f t="shared" si="41"/>
        <v>0</v>
      </c>
    </row>
    <row r="2636" spans="2:8" ht="13.5" thickBot="1" x14ac:dyDescent="0.35">
      <c r="B2636" s="9"/>
      <c r="C2636" s="14" t="s">
        <v>1227</v>
      </c>
      <c r="D2636" s="14"/>
      <c r="E2636" s="18" t="s">
        <v>0</v>
      </c>
      <c r="F2636" s="17" t="s">
        <v>23</v>
      </c>
      <c r="G2636" s="17">
        <f>G2581</f>
        <v>0</v>
      </c>
      <c r="H2636" s="13">
        <f t="shared" si="41"/>
        <v>0</v>
      </c>
    </row>
    <row r="2637" spans="2:8" ht="13.5" thickBot="1" x14ac:dyDescent="0.35">
      <c r="B2637" s="9"/>
      <c r="C2637" s="14" t="s">
        <v>1228</v>
      </c>
      <c r="D2637" s="14"/>
      <c r="E2637" s="18" t="s">
        <v>0</v>
      </c>
      <c r="F2637" s="17" t="s">
        <v>23</v>
      </c>
      <c r="G2637" s="17">
        <f>G2581*3</f>
        <v>0</v>
      </c>
      <c r="H2637" s="13">
        <f t="shared" si="41"/>
        <v>0</v>
      </c>
    </row>
    <row r="2638" spans="2:8" ht="13.5" thickBot="1" x14ac:dyDescent="0.35">
      <c r="B2638" s="9"/>
      <c r="C2638" s="14" t="s">
        <v>1229</v>
      </c>
      <c r="D2638" s="14"/>
      <c r="E2638" s="18" t="s">
        <v>12</v>
      </c>
      <c r="F2638" s="17" t="s">
        <v>23</v>
      </c>
      <c r="G2638" s="17">
        <f>G2581</f>
        <v>0</v>
      </c>
      <c r="H2638" s="13">
        <f t="shared" si="41"/>
        <v>0</v>
      </c>
    </row>
    <row r="2639" spans="2:8" ht="13.5" thickBot="1" x14ac:dyDescent="0.35">
      <c r="B2639" s="9"/>
      <c r="C2639" s="14" t="s">
        <v>1230</v>
      </c>
      <c r="D2639" s="14" t="s">
        <v>49</v>
      </c>
      <c r="E2639" s="18" t="s">
        <v>6</v>
      </c>
      <c r="F2639" s="17" t="s">
        <v>23</v>
      </c>
      <c r="G2639" s="17">
        <f>G2581*10</f>
        <v>0</v>
      </c>
      <c r="H2639" s="13">
        <f t="shared" si="41"/>
        <v>0</v>
      </c>
    </row>
    <row r="2640" spans="2:8" ht="13.5" thickBot="1" x14ac:dyDescent="0.35">
      <c r="B2640" s="9"/>
      <c r="C2640" s="14" t="s">
        <v>1231</v>
      </c>
      <c r="D2640" s="14"/>
      <c r="E2640" s="18" t="s">
        <v>0</v>
      </c>
      <c r="F2640" s="17" t="s">
        <v>23</v>
      </c>
      <c r="G2640" s="17">
        <f>G2581</f>
        <v>0</v>
      </c>
      <c r="H2640" s="13">
        <f t="shared" si="41"/>
        <v>0</v>
      </c>
    </row>
    <row r="2641" spans="2:8" ht="13.5" thickBot="1" x14ac:dyDescent="0.35">
      <c r="B2641" s="9"/>
      <c r="C2641" s="14" t="s">
        <v>1232</v>
      </c>
      <c r="D2641" s="14"/>
      <c r="E2641" s="18" t="s">
        <v>0</v>
      </c>
      <c r="F2641" s="17" t="s">
        <v>23</v>
      </c>
      <c r="G2641" s="17">
        <f>G2581*3</f>
        <v>0</v>
      </c>
      <c r="H2641" s="13">
        <f t="shared" si="41"/>
        <v>0</v>
      </c>
    </row>
    <row r="2642" spans="2:8" ht="13.5" thickBot="1" x14ac:dyDescent="0.35">
      <c r="B2642" s="9"/>
      <c r="C2642" s="14" t="s">
        <v>1233</v>
      </c>
      <c r="D2642" s="14"/>
      <c r="E2642" s="18" t="s">
        <v>0</v>
      </c>
      <c r="F2642" s="17" t="s">
        <v>23</v>
      </c>
      <c r="G2642" s="17">
        <f>G2581*3</f>
        <v>0</v>
      </c>
      <c r="H2642" s="13">
        <f t="shared" si="41"/>
        <v>0</v>
      </c>
    </row>
    <row r="2643" spans="2:8" ht="13.5" thickBot="1" x14ac:dyDescent="0.35">
      <c r="B2643" s="9"/>
      <c r="C2643" s="14" t="s">
        <v>1234</v>
      </c>
      <c r="D2643" s="14"/>
      <c r="E2643" s="18" t="s">
        <v>0</v>
      </c>
      <c r="F2643" s="17" t="s">
        <v>23</v>
      </c>
      <c r="G2643" s="17">
        <f>G2581*2</f>
        <v>0</v>
      </c>
      <c r="H2643" s="13">
        <f t="shared" si="41"/>
        <v>0</v>
      </c>
    </row>
    <row r="2644" spans="2:8" ht="13.5" thickBot="1" x14ac:dyDescent="0.35">
      <c r="B2644" s="9"/>
      <c r="C2644" s="14" t="s">
        <v>231</v>
      </c>
      <c r="D2644" s="14" t="s">
        <v>49</v>
      </c>
      <c r="E2644" s="18" t="s">
        <v>0</v>
      </c>
      <c r="F2644" s="17" t="s">
        <v>23</v>
      </c>
      <c r="G2644" s="17">
        <f>G2581</f>
        <v>0</v>
      </c>
      <c r="H2644" s="13">
        <f t="shared" si="41"/>
        <v>0</v>
      </c>
    </row>
    <row r="2645" spans="2:8" ht="13.5" thickBot="1" x14ac:dyDescent="0.35">
      <c r="B2645" s="9"/>
      <c r="C2645" s="14" t="s">
        <v>1252</v>
      </c>
      <c r="D2645" s="14"/>
      <c r="E2645" s="18" t="s">
        <v>0</v>
      </c>
      <c r="F2645" s="17" t="s">
        <v>23</v>
      </c>
      <c r="G2645" s="17">
        <f>G2581*27</f>
        <v>0</v>
      </c>
      <c r="H2645" s="13">
        <f t="shared" si="41"/>
        <v>0</v>
      </c>
    </row>
    <row r="2646" spans="2:8" ht="13.5" thickBot="1" x14ac:dyDescent="0.35">
      <c r="B2646" s="9"/>
      <c r="C2646" s="14" t="s">
        <v>1253</v>
      </c>
      <c r="D2646" s="14"/>
      <c r="E2646" s="18" t="s">
        <v>12</v>
      </c>
      <c r="F2646" s="17" t="s">
        <v>23</v>
      </c>
      <c r="G2646" s="17">
        <f>G2581</f>
        <v>0</v>
      </c>
      <c r="H2646" s="13">
        <f t="shared" si="41"/>
        <v>0</v>
      </c>
    </row>
    <row r="2647" spans="2:8" ht="13.5" thickBot="1" x14ac:dyDescent="0.35">
      <c r="B2647" s="9"/>
      <c r="C2647" s="14" t="s">
        <v>1236</v>
      </c>
      <c r="D2647" s="14"/>
      <c r="E2647" s="18" t="s">
        <v>0</v>
      </c>
      <c r="F2647" s="17" t="s">
        <v>23</v>
      </c>
      <c r="G2647" s="17">
        <f>G2581*6</f>
        <v>0</v>
      </c>
      <c r="H2647" s="13">
        <f t="shared" si="41"/>
        <v>0</v>
      </c>
    </row>
    <row r="2648" spans="2:8" ht="13.5" thickBot="1" x14ac:dyDescent="0.35">
      <c r="B2648" s="9"/>
      <c r="C2648" s="14" t="s">
        <v>1237</v>
      </c>
      <c r="D2648" s="14"/>
      <c r="E2648" s="18" t="s">
        <v>0</v>
      </c>
      <c r="F2648" s="17" t="s">
        <v>23</v>
      </c>
      <c r="G2648" s="17">
        <f>G2581</f>
        <v>0</v>
      </c>
      <c r="H2648" s="13">
        <f t="shared" si="41"/>
        <v>0</v>
      </c>
    </row>
    <row r="2649" spans="2:8" ht="13.5" thickBot="1" x14ac:dyDescent="0.35">
      <c r="B2649" s="9">
        <f>COUNT($B$4:B2648)+1</f>
        <v>721</v>
      </c>
      <c r="C2649" s="10" t="s">
        <v>1254</v>
      </c>
      <c r="D2649" s="10"/>
      <c r="E2649" s="11" t="s">
        <v>11</v>
      </c>
      <c r="F2649" s="12" t="s">
        <v>884</v>
      </c>
      <c r="G2649" s="17"/>
      <c r="H2649" s="13">
        <f t="shared" si="41"/>
        <v>0</v>
      </c>
    </row>
    <row r="2650" spans="2:8" ht="13.5" thickBot="1" x14ac:dyDescent="0.35">
      <c r="B2650" s="9">
        <f>COUNT($B$4:B2649)+1</f>
        <v>722</v>
      </c>
      <c r="C2650" s="10" t="s">
        <v>1255</v>
      </c>
      <c r="D2650" s="10"/>
      <c r="E2650" s="11" t="s">
        <v>6</v>
      </c>
      <c r="F2650" s="12" t="s">
        <v>23</v>
      </c>
      <c r="G2650" s="12"/>
      <c r="H2650" s="13">
        <f t="shared" si="41"/>
        <v>0</v>
      </c>
    </row>
    <row r="2651" spans="2:8" ht="13.5" thickBot="1" x14ac:dyDescent="0.35">
      <c r="B2651" s="9"/>
      <c r="C2651" s="14" t="s">
        <v>1256</v>
      </c>
      <c r="D2651" s="14" t="s">
        <v>49</v>
      </c>
      <c r="E2651" s="18" t="s">
        <v>0</v>
      </c>
      <c r="F2651" s="17" t="s">
        <v>23</v>
      </c>
      <c r="G2651" s="17">
        <f>G2650</f>
        <v>0</v>
      </c>
      <c r="H2651" s="13">
        <f t="shared" si="41"/>
        <v>0</v>
      </c>
    </row>
    <row r="2652" spans="2:8" ht="13.5" thickBot="1" x14ac:dyDescent="0.35">
      <c r="B2652" s="9"/>
      <c r="C2652" s="14" t="s">
        <v>1257</v>
      </c>
      <c r="D2652" s="14" t="s">
        <v>49</v>
      </c>
      <c r="E2652" s="18" t="s">
        <v>6</v>
      </c>
      <c r="F2652" s="17" t="s">
        <v>23</v>
      </c>
      <c r="G2652" s="17">
        <f>G2650</f>
        <v>0</v>
      </c>
      <c r="H2652" s="13">
        <f t="shared" si="41"/>
        <v>0</v>
      </c>
    </row>
    <row r="2653" spans="2:8" ht="13.5" thickBot="1" x14ac:dyDescent="0.35">
      <c r="B2653" s="9">
        <f>COUNT($B$4:B2652)+1</f>
        <v>723</v>
      </c>
      <c r="C2653" s="10" t="s">
        <v>1258</v>
      </c>
      <c r="D2653" s="10"/>
      <c r="E2653" s="11" t="s">
        <v>8</v>
      </c>
      <c r="F2653" s="12" t="s">
        <v>23</v>
      </c>
      <c r="G2653" s="12"/>
      <c r="H2653" s="13">
        <f t="shared" si="41"/>
        <v>0</v>
      </c>
    </row>
    <row r="2654" spans="2:8" ht="13.5" thickBot="1" x14ac:dyDescent="0.35">
      <c r="B2654" s="9"/>
      <c r="C2654" s="14" t="s">
        <v>24</v>
      </c>
      <c r="D2654" s="15" t="s">
        <v>25</v>
      </c>
      <c r="E2654" s="16" t="s">
        <v>9</v>
      </c>
      <c r="F2654" s="17" t="s">
        <v>23</v>
      </c>
      <c r="G2654" s="19">
        <f>G2653</f>
        <v>0</v>
      </c>
      <c r="H2654" s="13">
        <f t="shared" si="41"/>
        <v>0</v>
      </c>
    </row>
    <row r="2655" spans="2:8" ht="13.5" thickBot="1" x14ac:dyDescent="0.35">
      <c r="B2655" s="9"/>
      <c r="C2655" s="14" t="s">
        <v>1082</v>
      </c>
      <c r="D2655" s="14" t="s">
        <v>27</v>
      </c>
      <c r="E2655" s="18" t="s">
        <v>8</v>
      </c>
      <c r="F2655" s="17" t="s">
        <v>23</v>
      </c>
      <c r="G2655" s="17">
        <f>G2654*3</f>
        <v>0</v>
      </c>
      <c r="H2655" s="13">
        <f t="shared" si="41"/>
        <v>0</v>
      </c>
    </row>
    <row r="2656" spans="2:8" ht="13.5" thickBot="1" x14ac:dyDescent="0.35">
      <c r="B2656" s="9"/>
      <c r="C2656" s="14" t="s">
        <v>1259</v>
      </c>
      <c r="D2656" s="14" t="s">
        <v>29</v>
      </c>
      <c r="E2656" s="18" t="s">
        <v>8</v>
      </c>
      <c r="F2656" s="17" t="s">
        <v>23</v>
      </c>
      <c r="G2656" s="17">
        <f>G2653</f>
        <v>0</v>
      </c>
      <c r="H2656" s="13">
        <f t="shared" si="41"/>
        <v>0</v>
      </c>
    </row>
    <row r="2657" spans="2:8" ht="13.5" thickBot="1" x14ac:dyDescent="0.35">
      <c r="B2657" s="9"/>
      <c r="C2657" s="14" t="s">
        <v>1083</v>
      </c>
      <c r="D2657" s="14" t="s">
        <v>29</v>
      </c>
      <c r="E2657" s="18" t="s">
        <v>8</v>
      </c>
      <c r="F2657" s="17" t="s">
        <v>23</v>
      </c>
      <c r="G2657" s="17">
        <f>G2653*3</f>
        <v>0</v>
      </c>
      <c r="H2657" s="13">
        <f t="shared" si="41"/>
        <v>0</v>
      </c>
    </row>
    <row r="2658" spans="2:8" ht="13.5" thickBot="1" x14ac:dyDescent="0.35">
      <c r="B2658" s="9">
        <f>COUNT($B$4:B2657)+1</f>
        <v>724</v>
      </c>
      <c r="C2658" s="10" t="s">
        <v>1665</v>
      </c>
      <c r="D2658" s="10"/>
      <c r="E2658" s="11" t="s">
        <v>8</v>
      </c>
      <c r="F2658" s="12" t="s">
        <v>23</v>
      </c>
      <c r="G2658" s="12">
        <v>22</v>
      </c>
      <c r="H2658" s="13">
        <f t="shared" si="41"/>
        <v>22</v>
      </c>
    </row>
    <row r="2659" spans="2:8" ht="13.5" thickBot="1" x14ac:dyDescent="0.35">
      <c r="B2659" s="9"/>
      <c r="C2659" s="14" t="s">
        <v>41</v>
      </c>
      <c r="D2659" s="15" t="s">
        <v>42</v>
      </c>
      <c r="E2659" s="16" t="s">
        <v>9</v>
      </c>
      <c r="F2659" s="17" t="s">
        <v>23</v>
      </c>
      <c r="G2659" s="19">
        <f>G2658</f>
        <v>22</v>
      </c>
      <c r="H2659" s="13">
        <f t="shared" si="41"/>
        <v>22</v>
      </c>
    </row>
    <row r="2660" spans="2:8" ht="13.5" thickBot="1" x14ac:dyDescent="0.35">
      <c r="B2660" s="9"/>
      <c r="C2660" s="14" t="s">
        <v>1082</v>
      </c>
      <c r="D2660" s="14" t="s">
        <v>27</v>
      </c>
      <c r="E2660" s="18" t="s">
        <v>8</v>
      </c>
      <c r="F2660" s="17" t="s">
        <v>23</v>
      </c>
      <c r="G2660" s="17">
        <v>0</v>
      </c>
      <c r="H2660" s="13">
        <f t="shared" si="41"/>
        <v>0</v>
      </c>
    </row>
    <row r="2661" spans="2:8" ht="13.5" thickBot="1" x14ac:dyDescent="0.35">
      <c r="B2661" s="9"/>
      <c r="C2661" s="14" t="s">
        <v>1666</v>
      </c>
      <c r="D2661" s="14" t="s">
        <v>29</v>
      </c>
      <c r="E2661" s="18" t="s">
        <v>8</v>
      </c>
      <c r="F2661" s="17" t="s">
        <v>23</v>
      </c>
      <c r="G2661" s="17">
        <f>G2658</f>
        <v>22</v>
      </c>
      <c r="H2661" s="13">
        <f t="shared" si="41"/>
        <v>22</v>
      </c>
    </row>
    <row r="2662" spans="2:8" ht="13.5" thickBot="1" x14ac:dyDescent="0.35">
      <c r="B2662" s="9"/>
      <c r="C2662" s="14" t="s">
        <v>1083</v>
      </c>
      <c r="D2662" s="14" t="s">
        <v>29</v>
      </c>
      <c r="E2662" s="18" t="s">
        <v>8</v>
      </c>
      <c r="F2662" s="17" t="s">
        <v>23</v>
      </c>
      <c r="G2662" s="17">
        <v>0</v>
      </c>
      <c r="H2662" s="13">
        <f t="shared" si="41"/>
        <v>0</v>
      </c>
    </row>
    <row r="2663" spans="2:8" ht="13.5" thickBot="1" x14ac:dyDescent="0.35">
      <c r="B2663" s="9">
        <f>COUNT($B$4:B2662)+1</f>
        <v>725</v>
      </c>
      <c r="C2663" s="10" t="s">
        <v>1260</v>
      </c>
      <c r="D2663" s="10"/>
      <c r="E2663" s="11" t="s">
        <v>8</v>
      </c>
      <c r="F2663" s="12" t="s">
        <v>23</v>
      </c>
      <c r="G2663" s="12"/>
      <c r="H2663" s="13">
        <f t="shared" si="41"/>
        <v>0</v>
      </c>
    </row>
    <row r="2664" spans="2:8" ht="13.5" thickBot="1" x14ac:dyDescent="0.35">
      <c r="B2664" s="9"/>
      <c r="C2664" s="14" t="s">
        <v>24</v>
      </c>
      <c r="D2664" s="15" t="s">
        <v>25</v>
      </c>
      <c r="E2664" s="16" t="s">
        <v>9</v>
      </c>
      <c r="F2664" s="17" t="s">
        <v>23</v>
      </c>
      <c r="G2664" s="19">
        <f>G2663</f>
        <v>0</v>
      </c>
      <c r="H2664" s="13">
        <f t="shared" si="41"/>
        <v>0</v>
      </c>
    </row>
    <row r="2665" spans="2:8" ht="13.5" thickBot="1" x14ac:dyDescent="0.35">
      <c r="B2665" s="9"/>
      <c r="C2665" s="14" t="s">
        <v>1082</v>
      </c>
      <c r="D2665" s="14" t="s">
        <v>27</v>
      </c>
      <c r="E2665" s="18" t="s">
        <v>8</v>
      </c>
      <c r="F2665" s="17" t="s">
        <v>23</v>
      </c>
      <c r="G2665" s="17">
        <f>G2664*3</f>
        <v>0</v>
      </c>
      <c r="H2665" s="13">
        <f t="shared" si="41"/>
        <v>0</v>
      </c>
    </row>
    <row r="2666" spans="2:8" ht="13.5" thickBot="1" x14ac:dyDescent="0.35">
      <c r="B2666" s="9"/>
      <c r="C2666" s="14" t="s">
        <v>1259</v>
      </c>
      <c r="D2666" s="14" t="s">
        <v>29</v>
      </c>
      <c r="E2666" s="18" t="s">
        <v>8</v>
      </c>
      <c r="F2666" s="17" t="s">
        <v>23</v>
      </c>
      <c r="G2666" s="17">
        <f>G2663</f>
        <v>0</v>
      </c>
      <c r="H2666" s="13">
        <f t="shared" si="41"/>
        <v>0</v>
      </c>
    </row>
    <row r="2667" spans="2:8" ht="13.5" thickBot="1" x14ac:dyDescent="0.35">
      <c r="B2667" s="9"/>
      <c r="C2667" s="14" t="s">
        <v>1146</v>
      </c>
      <c r="D2667" s="14"/>
      <c r="E2667" s="18" t="s">
        <v>8</v>
      </c>
      <c r="F2667" s="17" t="s">
        <v>23</v>
      </c>
      <c r="G2667" s="17">
        <f>G2663*3</f>
        <v>0</v>
      </c>
      <c r="H2667" s="13">
        <f t="shared" si="41"/>
        <v>0</v>
      </c>
    </row>
    <row r="2668" spans="2:8" ht="13.5" thickBot="1" x14ac:dyDescent="0.35">
      <c r="B2668" s="9"/>
      <c r="C2668" s="14" t="s">
        <v>1083</v>
      </c>
      <c r="D2668" s="14" t="s">
        <v>29</v>
      </c>
      <c r="E2668" s="18" t="s">
        <v>8</v>
      </c>
      <c r="F2668" s="17" t="s">
        <v>23</v>
      </c>
      <c r="G2668" s="17">
        <f>G2663*2</f>
        <v>0</v>
      </c>
      <c r="H2668" s="13">
        <f t="shared" si="41"/>
        <v>0</v>
      </c>
    </row>
    <row r="2669" spans="2:8" ht="13.5" thickBot="1" x14ac:dyDescent="0.35">
      <c r="B2669" s="9">
        <f>COUNT($B$4:B2668)+1</f>
        <v>726</v>
      </c>
      <c r="C2669" s="10" t="s">
        <v>1261</v>
      </c>
      <c r="D2669" s="10"/>
      <c r="E2669" s="11" t="s">
        <v>8</v>
      </c>
      <c r="F2669" s="12" t="s">
        <v>23</v>
      </c>
      <c r="G2669" s="12"/>
      <c r="H2669" s="13">
        <f t="shared" si="41"/>
        <v>0</v>
      </c>
    </row>
    <row r="2670" spans="2:8" ht="13.5" thickBot="1" x14ac:dyDescent="0.35">
      <c r="B2670" s="9"/>
      <c r="C2670" s="14" t="s">
        <v>24</v>
      </c>
      <c r="D2670" s="15" t="s">
        <v>25</v>
      </c>
      <c r="E2670" s="16" t="s">
        <v>9</v>
      </c>
      <c r="F2670" s="17" t="s">
        <v>23</v>
      </c>
      <c r="G2670" s="19">
        <f>G2669</f>
        <v>0</v>
      </c>
      <c r="H2670" s="13">
        <f t="shared" si="41"/>
        <v>0</v>
      </c>
    </row>
    <row r="2671" spans="2:8" ht="13.5" thickBot="1" x14ac:dyDescent="0.35">
      <c r="B2671" s="9"/>
      <c r="C2671" s="14" t="s">
        <v>1082</v>
      </c>
      <c r="D2671" s="14" t="s">
        <v>27</v>
      </c>
      <c r="E2671" s="18" t="s">
        <v>8</v>
      </c>
      <c r="F2671" s="17" t="s">
        <v>23</v>
      </c>
      <c r="G2671" s="17">
        <f>G2670*3</f>
        <v>0</v>
      </c>
      <c r="H2671" s="13">
        <f t="shared" si="41"/>
        <v>0</v>
      </c>
    </row>
    <row r="2672" spans="2:8" ht="13.5" thickBot="1" x14ac:dyDescent="0.35">
      <c r="B2672" s="9"/>
      <c r="C2672" s="14" t="s">
        <v>1259</v>
      </c>
      <c r="D2672" s="14" t="s">
        <v>29</v>
      </c>
      <c r="E2672" s="18" t="s">
        <v>8</v>
      </c>
      <c r="F2672" s="17" t="s">
        <v>23</v>
      </c>
      <c r="G2672" s="17">
        <f>G2669</f>
        <v>0</v>
      </c>
      <c r="H2672" s="13">
        <f t="shared" si="41"/>
        <v>0</v>
      </c>
    </row>
    <row r="2673" spans="2:8" ht="13.5" thickBot="1" x14ac:dyDescent="0.35">
      <c r="B2673" s="9"/>
      <c r="C2673" s="14" t="s">
        <v>1160</v>
      </c>
      <c r="D2673" s="14"/>
      <c r="E2673" s="18" t="s">
        <v>8</v>
      </c>
      <c r="F2673" s="17" t="s">
        <v>23</v>
      </c>
      <c r="G2673" s="17">
        <f>G2669*3</f>
        <v>0</v>
      </c>
      <c r="H2673" s="13">
        <f t="shared" si="41"/>
        <v>0</v>
      </c>
    </row>
    <row r="2674" spans="2:8" ht="13.5" thickBot="1" x14ac:dyDescent="0.35">
      <c r="B2674" s="9"/>
      <c r="C2674" s="14" t="s">
        <v>1083</v>
      </c>
      <c r="D2674" s="14" t="s">
        <v>29</v>
      </c>
      <c r="E2674" s="18" t="s">
        <v>8</v>
      </c>
      <c r="F2674" s="17" t="s">
        <v>23</v>
      </c>
      <c r="G2674" s="17">
        <f>G2669*2</f>
        <v>0</v>
      </c>
      <c r="H2674" s="13">
        <f t="shared" si="41"/>
        <v>0</v>
      </c>
    </row>
    <row r="2675" spans="2:8" ht="13.5" thickBot="1" x14ac:dyDescent="0.35">
      <c r="B2675" s="9">
        <f>COUNT($B$4:B2674)+1</f>
        <v>727</v>
      </c>
      <c r="C2675" s="10" t="s">
        <v>1262</v>
      </c>
      <c r="D2675" s="10"/>
      <c r="E2675" s="11" t="s">
        <v>8</v>
      </c>
      <c r="F2675" s="12" t="s">
        <v>23</v>
      </c>
      <c r="G2675" s="12"/>
      <c r="H2675" s="13">
        <f t="shared" si="41"/>
        <v>0</v>
      </c>
    </row>
    <row r="2676" spans="2:8" ht="13.5" thickBot="1" x14ac:dyDescent="0.35">
      <c r="B2676" s="9"/>
      <c r="C2676" s="14" t="s">
        <v>24</v>
      </c>
      <c r="D2676" s="15" t="s">
        <v>25</v>
      </c>
      <c r="E2676" s="16" t="s">
        <v>9</v>
      </c>
      <c r="F2676" s="17" t="s">
        <v>23</v>
      </c>
      <c r="G2676" s="19">
        <f>G2675</f>
        <v>0</v>
      </c>
      <c r="H2676" s="13">
        <f t="shared" si="41"/>
        <v>0</v>
      </c>
    </row>
    <row r="2677" spans="2:8" ht="13.5" thickBot="1" x14ac:dyDescent="0.35">
      <c r="B2677" s="9"/>
      <c r="C2677" s="14" t="s">
        <v>1082</v>
      </c>
      <c r="D2677" s="14" t="s">
        <v>27</v>
      </c>
      <c r="E2677" s="18" t="s">
        <v>8</v>
      </c>
      <c r="F2677" s="17" t="s">
        <v>23</v>
      </c>
      <c r="G2677" s="17">
        <f>G2676*3</f>
        <v>0</v>
      </c>
      <c r="H2677" s="13">
        <f t="shared" si="41"/>
        <v>0</v>
      </c>
    </row>
    <row r="2678" spans="2:8" ht="13.5" thickBot="1" x14ac:dyDescent="0.35">
      <c r="B2678" s="9"/>
      <c r="C2678" s="14" t="s">
        <v>1259</v>
      </c>
      <c r="D2678" s="14" t="s">
        <v>29</v>
      </c>
      <c r="E2678" s="18" t="s">
        <v>8</v>
      </c>
      <c r="F2678" s="17" t="s">
        <v>23</v>
      </c>
      <c r="G2678" s="17">
        <f>G2675</f>
        <v>0</v>
      </c>
      <c r="H2678" s="13">
        <f t="shared" si="41"/>
        <v>0</v>
      </c>
    </row>
    <row r="2679" spans="2:8" ht="13.5" thickBot="1" x14ac:dyDescent="0.35">
      <c r="B2679" s="9"/>
      <c r="C2679" s="14" t="s">
        <v>1175</v>
      </c>
      <c r="D2679" s="14"/>
      <c r="E2679" s="18" t="s">
        <v>8</v>
      </c>
      <c r="F2679" s="17" t="s">
        <v>23</v>
      </c>
      <c r="G2679" s="17">
        <f>G2675*3</f>
        <v>0</v>
      </c>
      <c r="H2679" s="13">
        <f t="shared" si="41"/>
        <v>0</v>
      </c>
    </row>
    <row r="2680" spans="2:8" ht="13.5" thickBot="1" x14ac:dyDescent="0.35">
      <c r="B2680" s="9"/>
      <c r="C2680" s="14" t="s">
        <v>1083</v>
      </c>
      <c r="D2680" s="14" t="s">
        <v>29</v>
      </c>
      <c r="E2680" s="18" t="s">
        <v>8</v>
      </c>
      <c r="F2680" s="17" t="s">
        <v>23</v>
      </c>
      <c r="G2680" s="17">
        <f>G2675*2</f>
        <v>0</v>
      </c>
      <c r="H2680" s="13">
        <f t="shared" si="41"/>
        <v>0</v>
      </c>
    </row>
    <row r="2681" spans="2:8" ht="13.5" thickBot="1" x14ac:dyDescent="0.35">
      <c r="B2681" s="9">
        <f>COUNT($B$4:B2680)+1</f>
        <v>728</v>
      </c>
      <c r="C2681" s="10" t="s">
        <v>1263</v>
      </c>
      <c r="D2681" s="10"/>
      <c r="E2681" s="11" t="s">
        <v>3</v>
      </c>
      <c r="F2681" s="12" t="s">
        <v>23</v>
      </c>
      <c r="G2681" s="12"/>
      <c r="H2681" s="13">
        <f t="shared" si="41"/>
        <v>0</v>
      </c>
    </row>
    <row r="2682" spans="2:8" ht="13.5" thickBot="1" x14ac:dyDescent="0.35">
      <c r="B2682" s="9"/>
      <c r="C2682" s="14" t="s">
        <v>24</v>
      </c>
      <c r="D2682" s="15" t="s">
        <v>25</v>
      </c>
      <c r="E2682" s="16" t="s">
        <v>9</v>
      </c>
      <c r="F2682" s="17" t="s">
        <v>23</v>
      </c>
      <c r="G2682" s="19">
        <f>G2681</f>
        <v>0</v>
      </c>
      <c r="H2682" s="13">
        <f t="shared" si="41"/>
        <v>0</v>
      </c>
    </row>
    <row r="2683" spans="2:8" ht="13.5" thickBot="1" x14ac:dyDescent="0.35">
      <c r="B2683" s="9"/>
      <c r="C2683" s="14" t="s">
        <v>1264</v>
      </c>
      <c r="D2683" s="14" t="s">
        <v>302</v>
      </c>
      <c r="E2683" s="18" t="s">
        <v>3</v>
      </c>
      <c r="F2683" s="17" t="s">
        <v>23</v>
      </c>
      <c r="G2683" s="17">
        <f>G2681</f>
        <v>0</v>
      </c>
      <c r="H2683" s="13">
        <f t="shared" si="41"/>
        <v>0</v>
      </c>
    </row>
    <row r="2684" spans="2:8" ht="13.5" thickBot="1" x14ac:dyDescent="0.35">
      <c r="B2684" s="9">
        <f>COUNT($B$4:B2683)+1</f>
        <v>729</v>
      </c>
      <c r="C2684" s="10" t="s">
        <v>1265</v>
      </c>
      <c r="D2684" s="10" t="s">
        <v>217</v>
      </c>
      <c r="E2684" s="11" t="s">
        <v>7</v>
      </c>
      <c r="F2684" s="12" t="s">
        <v>23</v>
      </c>
      <c r="G2684" s="12"/>
      <c r="H2684" s="13">
        <f t="shared" si="41"/>
        <v>0</v>
      </c>
    </row>
    <row r="2685" spans="2:8" ht="13.5" thickBot="1" x14ac:dyDescent="0.35">
      <c r="B2685" s="9">
        <f>COUNT($B$4:B2684)+1</f>
        <v>730</v>
      </c>
      <c r="C2685" s="10" t="s">
        <v>1266</v>
      </c>
      <c r="D2685" s="10" t="s">
        <v>1267</v>
      </c>
      <c r="E2685" s="11" t="s">
        <v>7</v>
      </c>
      <c r="F2685" s="12" t="s">
        <v>23</v>
      </c>
      <c r="G2685" s="12"/>
      <c r="H2685" s="13">
        <f t="shared" si="41"/>
        <v>0</v>
      </c>
    </row>
    <row r="2686" spans="2:8" ht="13.5" thickBot="1" x14ac:dyDescent="0.35">
      <c r="B2686" s="9">
        <f>COUNT($B$4:B2685)+1</f>
        <v>731</v>
      </c>
      <c r="C2686" s="10" t="s">
        <v>1268</v>
      </c>
      <c r="D2686" s="10" t="s">
        <v>217</v>
      </c>
      <c r="E2686" s="11" t="s">
        <v>7</v>
      </c>
      <c r="F2686" s="12" t="s">
        <v>23</v>
      </c>
      <c r="G2686" s="12"/>
      <c r="H2686" s="13">
        <f t="shared" si="41"/>
        <v>0</v>
      </c>
    </row>
    <row r="2687" spans="2:8" ht="13.5" thickBot="1" x14ac:dyDescent="0.35">
      <c r="B2687" s="9">
        <f>COUNT($B$4:B2686)+1</f>
        <v>732</v>
      </c>
      <c r="C2687" s="10" t="s">
        <v>1269</v>
      </c>
      <c r="D2687" s="10" t="s">
        <v>1267</v>
      </c>
      <c r="E2687" s="11" t="s">
        <v>7</v>
      </c>
      <c r="F2687" s="12" t="s">
        <v>23</v>
      </c>
      <c r="G2687" s="12"/>
      <c r="H2687" s="13">
        <f t="shared" si="41"/>
        <v>0</v>
      </c>
    </row>
    <row r="2688" spans="2:8" ht="13.5" thickBot="1" x14ac:dyDescent="0.35">
      <c r="B2688" s="9">
        <f>COUNT($B$4:B2687)+1</f>
        <v>733</v>
      </c>
      <c r="C2688" s="10" t="s">
        <v>1270</v>
      </c>
      <c r="D2688" s="10" t="s">
        <v>1267</v>
      </c>
      <c r="E2688" s="11" t="s">
        <v>7</v>
      </c>
      <c r="F2688" s="12" t="s">
        <v>23</v>
      </c>
      <c r="G2688" s="12"/>
      <c r="H2688" s="13">
        <f t="shared" si="41"/>
        <v>0</v>
      </c>
    </row>
    <row r="2689" spans="2:8" ht="13.5" thickBot="1" x14ac:dyDescent="0.35">
      <c r="B2689" s="9">
        <f>COUNT($B$4:B2688)+1</f>
        <v>734</v>
      </c>
      <c r="C2689" s="10" t="s">
        <v>1271</v>
      </c>
      <c r="D2689" s="10" t="s">
        <v>1267</v>
      </c>
      <c r="E2689" s="11" t="s">
        <v>7</v>
      </c>
      <c r="F2689" s="12" t="s">
        <v>23</v>
      </c>
      <c r="G2689" s="12"/>
      <c r="H2689" s="13">
        <f t="shared" si="41"/>
        <v>0</v>
      </c>
    </row>
    <row r="2690" spans="2:8" ht="13.5" thickBot="1" x14ac:dyDescent="0.35">
      <c r="B2690" s="9">
        <f>COUNT($B$4:B2689)+1</f>
        <v>735</v>
      </c>
      <c r="C2690" s="10" t="s">
        <v>1272</v>
      </c>
      <c r="D2690" s="10" t="s">
        <v>1267</v>
      </c>
      <c r="E2690" s="11" t="s">
        <v>7</v>
      </c>
      <c r="F2690" s="12" t="s">
        <v>23</v>
      </c>
      <c r="G2690" s="12"/>
      <c r="H2690" s="13">
        <f t="shared" si="41"/>
        <v>0</v>
      </c>
    </row>
    <row r="2691" spans="2:8" ht="13.5" thickBot="1" x14ac:dyDescent="0.35">
      <c r="B2691" s="9">
        <f>COUNT($B$4:B2690)+1</f>
        <v>736</v>
      </c>
      <c r="C2691" s="10" t="s">
        <v>1273</v>
      </c>
      <c r="D2691" s="10" t="s">
        <v>1267</v>
      </c>
      <c r="E2691" s="11" t="s">
        <v>7</v>
      </c>
      <c r="F2691" s="12" t="s">
        <v>23</v>
      </c>
      <c r="G2691" s="12"/>
      <c r="H2691" s="13">
        <f t="shared" si="41"/>
        <v>0</v>
      </c>
    </row>
    <row r="2692" spans="2:8" ht="13.5" thickBot="1" x14ac:dyDescent="0.35">
      <c r="B2692" s="9">
        <f>COUNT($B$4:B2691)+1</f>
        <v>737</v>
      </c>
      <c r="C2692" s="10" t="s">
        <v>1274</v>
      </c>
      <c r="D2692" s="10" t="s">
        <v>1267</v>
      </c>
      <c r="E2692" s="11" t="s">
        <v>7</v>
      </c>
      <c r="F2692" s="12" t="s">
        <v>23</v>
      </c>
      <c r="G2692" s="12"/>
      <c r="H2692" s="13">
        <f t="shared" ref="H2692:H2755" si="42">SUM(G2692:G2692)</f>
        <v>0</v>
      </c>
    </row>
    <row r="2693" spans="2:8" ht="13.5" thickBot="1" x14ac:dyDescent="0.35">
      <c r="B2693" s="9">
        <f>COUNT($B$4:B2692)+1</f>
        <v>738</v>
      </c>
      <c r="C2693" s="10" t="s">
        <v>1275</v>
      </c>
      <c r="D2693" s="10" t="s">
        <v>1267</v>
      </c>
      <c r="E2693" s="11" t="s">
        <v>7</v>
      </c>
      <c r="F2693" s="12" t="s">
        <v>23</v>
      </c>
      <c r="G2693" s="12"/>
      <c r="H2693" s="13">
        <f t="shared" si="42"/>
        <v>0</v>
      </c>
    </row>
    <row r="2694" spans="2:8" ht="13.5" thickBot="1" x14ac:dyDescent="0.35">
      <c r="B2694" s="9">
        <f>COUNT($B$4:B2693)+1</f>
        <v>739</v>
      </c>
      <c r="C2694" s="10" t="s">
        <v>1276</v>
      </c>
      <c r="D2694" s="10" t="s">
        <v>1267</v>
      </c>
      <c r="E2694" s="11" t="s">
        <v>7</v>
      </c>
      <c r="F2694" s="12" t="s">
        <v>23</v>
      </c>
      <c r="G2694" s="12"/>
      <c r="H2694" s="13">
        <f t="shared" si="42"/>
        <v>0</v>
      </c>
    </row>
    <row r="2695" spans="2:8" ht="13.5" thickBot="1" x14ac:dyDescent="0.35">
      <c r="B2695" s="9">
        <f>COUNT($B$4:B2694)+1</f>
        <v>740</v>
      </c>
      <c r="C2695" s="10" t="s">
        <v>1277</v>
      </c>
      <c r="D2695" s="10" t="s">
        <v>1267</v>
      </c>
      <c r="E2695" s="11" t="s">
        <v>7</v>
      </c>
      <c r="F2695" s="12" t="s">
        <v>23</v>
      </c>
      <c r="G2695" s="12"/>
      <c r="H2695" s="13">
        <f t="shared" si="42"/>
        <v>0</v>
      </c>
    </row>
    <row r="2696" spans="2:8" ht="13.5" thickBot="1" x14ac:dyDescent="0.35">
      <c r="B2696" s="9">
        <f>COUNT($B$4:B2695)+1</f>
        <v>741</v>
      </c>
      <c r="C2696" s="10" t="s">
        <v>1278</v>
      </c>
      <c r="D2696" s="10" t="s">
        <v>1267</v>
      </c>
      <c r="E2696" s="11" t="s">
        <v>7</v>
      </c>
      <c r="F2696" s="12" t="s">
        <v>23</v>
      </c>
      <c r="G2696" s="12"/>
      <c r="H2696" s="13">
        <f t="shared" si="42"/>
        <v>0</v>
      </c>
    </row>
    <row r="2697" spans="2:8" ht="13.5" thickBot="1" x14ac:dyDescent="0.35">
      <c r="B2697" s="9">
        <f>COUNT($B$4:B2696)+1</f>
        <v>742</v>
      </c>
      <c r="C2697" s="10" t="s">
        <v>1279</v>
      </c>
      <c r="D2697" s="10" t="s">
        <v>1267</v>
      </c>
      <c r="E2697" s="11" t="s">
        <v>7</v>
      </c>
      <c r="F2697" s="12" t="s">
        <v>23</v>
      </c>
      <c r="G2697" s="12"/>
      <c r="H2697" s="13">
        <f t="shared" si="42"/>
        <v>0</v>
      </c>
    </row>
    <row r="2698" spans="2:8" ht="13.5" thickBot="1" x14ac:dyDescent="0.35">
      <c r="B2698" s="9">
        <f>COUNT($B$4:B2697)+1</f>
        <v>743</v>
      </c>
      <c r="C2698" s="10" t="s">
        <v>1280</v>
      </c>
      <c r="D2698" s="10" t="s">
        <v>1267</v>
      </c>
      <c r="E2698" s="11" t="s">
        <v>7</v>
      </c>
      <c r="F2698" s="12" t="s">
        <v>23</v>
      </c>
      <c r="G2698" s="12"/>
      <c r="H2698" s="13">
        <f t="shared" si="42"/>
        <v>0</v>
      </c>
    </row>
    <row r="2699" spans="2:8" ht="13.5" thickBot="1" x14ac:dyDescent="0.35">
      <c r="B2699" s="9">
        <f>COUNT($B$4:B2698)+1</f>
        <v>744</v>
      </c>
      <c r="C2699" s="10" t="s">
        <v>1281</v>
      </c>
      <c r="D2699" s="10" t="s">
        <v>1267</v>
      </c>
      <c r="E2699" s="11" t="s">
        <v>7</v>
      </c>
      <c r="F2699" s="12" t="s">
        <v>23</v>
      </c>
      <c r="G2699" s="12"/>
      <c r="H2699" s="13">
        <f t="shared" si="42"/>
        <v>0</v>
      </c>
    </row>
    <row r="2700" spans="2:8" ht="13.5" thickBot="1" x14ac:dyDescent="0.35">
      <c r="B2700" s="9">
        <f>COUNT($B$4:B2699)+1</f>
        <v>745</v>
      </c>
      <c r="C2700" s="10" t="s">
        <v>1282</v>
      </c>
      <c r="D2700" s="10" t="s">
        <v>1267</v>
      </c>
      <c r="E2700" s="11" t="s">
        <v>7</v>
      </c>
      <c r="F2700" s="12" t="s">
        <v>23</v>
      </c>
      <c r="G2700" s="12"/>
      <c r="H2700" s="13">
        <f t="shared" si="42"/>
        <v>0</v>
      </c>
    </row>
    <row r="2701" spans="2:8" ht="13.5" thickBot="1" x14ac:dyDescent="0.35">
      <c r="B2701" s="9">
        <f>COUNT($B$4:B2700)+1</f>
        <v>746</v>
      </c>
      <c r="C2701" s="10" t="s">
        <v>1283</v>
      </c>
      <c r="D2701" s="10" t="s">
        <v>217</v>
      </c>
      <c r="E2701" s="11" t="s">
        <v>7</v>
      </c>
      <c r="F2701" s="12" t="s">
        <v>23</v>
      </c>
      <c r="G2701" s="12"/>
      <c r="H2701" s="13">
        <f t="shared" si="42"/>
        <v>0</v>
      </c>
    </row>
    <row r="2702" spans="2:8" ht="13.5" thickBot="1" x14ac:dyDescent="0.35">
      <c r="B2702" s="9">
        <f>COUNT($B$4:B2701)+1</f>
        <v>747</v>
      </c>
      <c r="C2702" s="10" t="s">
        <v>1284</v>
      </c>
      <c r="D2702" s="10" t="s">
        <v>217</v>
      </c>
      <c r="E2702" s="11" t="s">
        <v>7</v>
      </c>
      <c r="F2702" s="12" t="s">
        <v>23</v>
      </c>
      <c r="G2702" s="12"/>
      <c r="H2702" s="13">
        <f t="shared" si="42"/>
        <v>0</v>
      </c>
    </row>
    <row r="2703" spans="2:8" ht="13.5" thickBot="1" x14ac:dyDescent="0.35">
      <c r="B2703" s="9">
        <f>COUNT($B$4:B2702)+1</f>
        <v>748</v>
      </c>
      <c r="C2703" s="10" t="s">
        <v>1285</v>
      </c>
      <c r="D2703" s="10" t="s">
        <v>217</v>
      </c>
      <c r="E2703" s="11" t="s">
        <v>7</v>
      </c>
      <c r="F2703" s="12" t="s">
        <v>23</v>
      </c>
      <c r="G2703" s="12"/>
      <c r="H2703" s="13">
        <f t="shared" si="42"/>
        <v>0</v>
      </c>
    </row>
    <row r="2704" spans="2:8" ht="13.5" thickBot="1" x14ac:dyDescent="0.35">
      <c r="B2704" s="9">
        <f>COUNT($B$4:B2703)+1</f>
        <v>749</v>
      </c>
      <c r="C2704" s="10" t="s">
        <v>1286</v>
      </c>
      <c r="D2704" s="10" t="s">
        <v>217</v>
      </c>
      <c r="E2704" s="11" t="s">
        <v>7</v>
      </c>
      <c r="F2704" s="12" t="s">
        <v>23</v>
      </c>
      <c r="G2704" s="12"/>
      <c r="H2704" s="13">
        <f t="shared" si="42"/>
        <v>0</v>
      </c>
    </row>
    <row r="2705" spans="2:8" ht="13.5" thickBot="1" x14ac:dyDescent="0.35">
      <c r="B2705" s="9">
        <f>COUNT($B$4:B2704)+1</f>
        <v>750</v>
      </c>
      <c r="C2705" s="10" t="s">
        <v>1287</v>
      </c>
      <c r="D2705" s="10" t="s">
        <v>1267</v>
      </c>
      <c r="E2705" s="11" t="s">
        <v>7</v>
      </c>
      <c r="F2705" s="12" t="s">
        <v>23</v>
      </c>
      <c r="G2705" s="12"/>
      <c r="H2705" s="13">
        <f t="shared" si="42"/>
        <v>0</v>
      </c>
    </row>
    <row r="2706" spans="2:8" ht="13.5" thickBot="1" x14ac:dyDescent="0.35">
      <c r="B2706" s="9">
        <f>COUNT($B$4:B2705)+1</f>
        <v>751</v>
      </c>
      <c r="C2706" s="10" t="s">
        <v>1288</v>
      </c>
      <c r="D2706" s="10" t="s">
        <v>1267</v>
      </c>
      <c r="E2706" s="11" t="s">
        <v>7</v>
      </c>
      <c r="F2706" s="12" t="s">
        <v>23</v>
      </c>
      <c r="G2706" s="12"/>
      <c r="H2706" s="13">
        <f t="shared" si="42"/>
        <v>0</v>
      </c>
    </row>
    <row r="2707" spans="2:8" ht="13.5" thickBot="1" x14ac:dyDescent="0.35">
      <c r="B2707" s="9">
        <f>COUNT($B$4:B2706)+1</f>
        <v>752</v>
      </c>
      <c r="C2707" s="10" t="s">
        <v>1289</v>
      </c>
      <c r="D2707" s="10" t="s">
        <v>1267</v>
      </c>
      <c r="E2707" s="11" t="s">
        <v>7</v>
      </c>
      <c r="F2707" s="12" t="s">
        <v>23</v>
      </c>
      <c r="G2707" s="12"/>
      <c r="H2707" s="13">
        <f t="shared" si="42"/>
        <v>0</v>
      </c>
    </row>
    <row r="2708" spans="2:8" ht="13.5" thickBot="1" x14ac:dyDescent="0.35">
      <c r="B2708" s="9">
        <f>COUNT($B$4:B2707)+1</f>
        <v>753</v>
      </c>
      <c r="C2708" s="10" t="s">
        <v>1290</v>
      </c>
      <c r="D2708" s="10" t="s">
        <v>1267</v>
      </c>
      <c r="E2708" s="11" t="s">
        <v>7</v>
      </c>
      <c r="F2708" s="12" t="s">
        <v>23</v>
      </c>
      <c r="G2708" s="12"/>
      <c r="H2708" s="13">
        <f t="shared" si="42"/>
        <v>0</v>
      </c>
    </row>
    <row r="2709" spans="2:8" ht="13.5" thickBot="1" x14ac:dyDescent="0.35">
      <c r="B2709" s="9">
        <f>COUNT($B$4:B2708)+1</f>
        <v>754</v>
      </c>
      <c r="C2709" s="10" t="s">
        <v>1291</v>
      </c>
      <c r="D2709" s="10" t="s">
        <v>1267</v>
      </c>
      <c r="E2709" s="11" t="s">
        <v>7</v>
      </c>
      <c r="F2709" s="12" t="s">
        <v>23</v>
      </c>
      <c r="G2709" s="12"/>
      <c r="H2709" s="13">
        <f t="shared" si="42"/>
        <v>0</v>
      </c>
    </row>
    <row r="2710" spans="2:8" ht="13.5" thickBot="1" x14ac:dyDescent="0.35">
      <c r="B2710" s="9">
        <f>COUNT($B$4:B2709)+1</f>
        <v>755</v>
      </c>
      <c r="C2710" s="10" t="s">
        <v>1292</v>
      </c>
      <c r="D2710" s="10" t="s">
        <v>1267</v>
      </c>
      <c r="E2710" s="11" t="s">
        <v>7</v>
      </c>
      <c r="F2710" s="12" t="s">
        <v>23</v>
      </c>
      <c r="G2710" s="12"/>
      <c r="H2710" s="13">
        <f t="shared" si="42"/>
        <v>0</v>
      </c>
    </row>
    <row r="2711" spans="2:8" ht="13.5" thickBot="1" x14ac:dyDescent="0.35">
      <c r="B2711" s="9">
        <f>COUNT($B$4:B2710)+1</f>
        <v>756</v>
      </c>
      <c r="C2711" s="10" t="s">
        <v>1293</v>
      </c>
      <c r="D2711" s="10" t="s">
        <v>1267</v>
      </c>
      <c r="E2711" s="11" t="s">
        <v>7</v>
      </c>
      <c r="F2711" s="12" t="s">
        <v>23</v>
      </c>
      <c r="G2711" s="12"/>
      <c r="H2711" s="13">
        <f t="shared" si="42"/>
        <v>0</v>
      </c>
    </row>
    <row r="2712" spans="2:8" ht="13.5" thickBot="1" x14ac:dyDescent="0.35">
      <c r="B2712" s="9">
        <f>COUNT($B$4:B2711)+1</f>
        <v>757</v>
      </c>
      <c r="C2712" s="10" t="s">
        <v>1294</v>
      </c>
      <c r="D2712" s="10" t="s">
        <v>1267</v>
      </c>
      <c r="E2712" s="11" t="s">
        <v>7</v>
      </c>
      <c r="F2712" s="12" t="s">
        <v>23</v>
      </c>
      <c r="G2712" s="12"/>
      <c r="H2712" s="13">
        <f t="shared" si="42"/>
        <v>0</v>
      </c>
    </row>
    <row r="2713" spans="2:8" ht="13.5" thickBot="1" x14ac:dyDescent="0.35">
      <c r="B2713" s="9">
        <f>COUNT($B$4:B2712)+1</f>
        <v>758</v>
      </c>
      <c r="C2713" s="10" t="s">
        <v>1295</v>
      </c>
      <c r="D2713" s="10" t="s">
        <v>217</v>
      </c>
      <c r="E2713" s="11" t="s">
        <v>7</v>
      </c>
      <c r="F2713" s="12" t="s">
        <v>23</v>
      </c>
      <c r="G2713" s="12"/>
      <c r="H2713" s="13">
        <f t="shared" si="42"/>
        <v>0</v>
      </c>
    </row>
    <row r="2714" spans="2:8" ht="13.5" thickBot="1" x14ac:dyDescent="0.35">
      <c r="B2714" s="9">
        <f>COUNT($B$4:B2713)+1</f>
        <v>759</v>
      </c>
      <c r="C2714" s="10" t="s">
        <v>1296</v>
      </c>
      <c r="D2714" s="10" t="s">
        <v>217</v>
      </c>
      <c r="E2714" s="11" t="s">
        <v>7</v>
      </c>
      <c r="F2714" s="12" t="s">
        <v>23</v>
      </c>
      <c r="G2714" s="12"/>
      <c r="H2714" s="13">
        <f t="shared" si="42"/>
        <v>0</v>
      </c>
    </row>
    <row r="2715" spans="2:8" ht="13.5" thickBot="1" x14ac:dyDescent="0.35">
      <c r="B2715" s="9">
        <f>COUNT($B$4:B2714)+1</f>
        <v>760</v>
      </c>
      <c r="C2715" s="10" t="s">
        <v>1297</v>
      </c>
      <c r="D2715" s="10" t="s">
        <v>217</v>
      </c>
      <c r="E2715" s="11" t="s">
        <v>7</v>
      </c>
      <c r="F2715" s="12" t="s">
        <v>23</v>
      </c>
      <c r="G2715" s="12"/>
      <c r="H2715" s="13">
        <f t="shared" si="42"/>
        <v>0</v>
      </c>
    </row>
    <row r="2716" spans="2:8" ht="13.5" thickBot="1" x14ac:dyDescent="0.35">
      <c r="B2716" s="9">
        <f>COUNT($B$4:B2715)+1</f>
        <v>761</v>
      </c>
      <c r="C2716" s="10" t="s">
        <v>1298</v>
      </c>
      <c r="D2716" s="10" t="s">
        <v>217</v>
      </c>
      <c r="E2716" s="11" t="s">
        <v>7</v>
      </c>
      <c r="F2716" s="12" t="s">
        <v>23</v>
      </c>
      <c r="G2716" s="12"/>
      <c r="H2716" s="13">
        <f t="shared" si="42"/>
        <v>0</v>
      </c>
    </row>
    <row r="2717" spans="2:8" ht="13.5" thickBot="1" x14ac:dyDescent="0.35">
      <c r="B2717" s="9">
        <f>COUNT($B$4:B2716)+1</f>
        <v>762</v>
      </c>
      <c r="C2717" s="10" t="s">
        <v>1299</v>
      </c>
      <c r="D2717" s="10" t="s">
        <v>217</v>
      </c>
      <c r="E2717" s="11" t="s">
        <v>7</v>
      </c>
      <c r="F2717" s="12" t="s">
        <v>23</v>
      </c>
      <c r="G2717" s="12"/>
      <c r="H2717" s="13">
        <f t="shared" si="42"/>
        <v>0</v>
      </c>
    </row>
    <row r="2718" spans="2:8" ht="13.5" thickBot="1" x14ac:dyDescent="0.35">
      <c r="B2718" s="9">
        <f>COUNT($B$4:B2717)+1</f>
        <v>763</v>
      </c>
      <c r="C2718" s="10" t="s">
        <v>1300</v>
      </c>
      <c r="D2718" s="10" t="s">
        <v>217</v>
      </c>
      <c r="E2718" s="11" t="s">
        <v>7</v>
      </c>
      <c r="F2718" s="12" t="s">
        <v>23</v>
      </c>
      <c r="G2718" s="12"/>
      <c r="H2718" s="13">
        <f t="shared" si="42"/>
        <v>0</v>
      </c>
    </row>
    <row r="2719" spans="2:8" ht="13.5" thickBot="1" x14ac:dyDescent="0.35">
      <c r="B2719" s="9">
        <f>COUNT($B$4:B2718)+1</f>
        <v>764</v>
      </c>
      <c r="C2719" s="10" t="s">
        <v>1301</v>
      </c>
      <c r="D2719" s="10" t="s">
        <v>217</v>
      </c>
      <c r="E2719" s="11" t="s">
        <v>7</v>
      </c>
      <c r="F2719" s="12" t="s">
        <v>23</v>
      </c>
      <c r="G2719" s="12"/>
      <c r="H2719" s="13">
        <f t="shared" si="42"/>
        <v>0</v>
      </c>
    </row>
    <row r="2720" spans="2:8" ht="13.5" thickBot="1" x14ac:dyDescent="0.35">
      <c r="B2720" s="9">
        <f>COUNT($B$4:B2719)+1</f>
        <v>765</v>
      </c>
      <c r="C2720" s="10" t="s">
        <v>1302</v>
      </c>
      <c r="D2720" s="10" t="s">
        <v>217</v>
      </c>
      <c r="E2720" s="11" t="s">
        <v>7</v>
      </c>
      <c r="F2720" s="12" t="s">
        <v>23</v>
      </c>
      <c r="G2720" s="12"/>
      <c r="H2720" s="13">
        <f t="shared" si="42"/>
        <v>0</v>
      </c>
    </row>
    <row r="2721" spans="2:8" ht="13.5" thickBot="1" x14ac:dyDescent="0.35">
      <c r="B2721" s="9">
        <f>COUNT($B$4:B2720)+1</f>
        <v>766</v>
      </c>
      <c r="C2721" s="10" t="s">
        <v>1303</v>
      </c>
      <c r="D2721" s="10" t="s">
        <v>217</v>
      </c>
      <c r="E2721" s="11" t="s">
        <v>7</v>
      </c>
      <c r="F2721" s="12" t="s">
        <v>23</v>
      </c>
      <c r="G2721" s="12"/>
      <c r="H2721" s="13">
        <f t="shared" si="42"/>
        <v>0</v>
      </c>
    </row>
    <row r="2722" spans="2:8" ht="13.5" thickBot="1" x14ac:dyDescent="0.35">
      <c r="B2722" s="9">
        <f>COUNT($B$4:B2721)+1</f>
        <v>767</v>
      </c>
      <c r="C2722" s="10" t="s">
        <v>1304</v>
      </c>
      <c r="D2722" s="10" t="s">
        <v>217</v>
      </c>
      <c r="E2722" s="11" t="s">
        <v>7</v>
      </c>
      <c r="F2722" s="12" t="s">
        <v>23</v>
      </c>
      <c r="G2722" s="12"/>
      <c r="H2722" s="13">
        <f t="shared" si="42"/>
        <v>0</v>
      </c>
    </row>
    <row r="2723" spans="2:8" ht="13.5" thickBot="1" x14ac:dyDescent="0.35">
      <c r="B2723" s="9">
        <f>COUNT($B$4:B2722)+1</f>
        <v>768</v>
      </c>
      <c r="C2723" s="10" t="s">
        <v>1305</v>
      </c>
      <c r="D2723" s="10" t="s">
        <v>217</v>
      </c>
      <c r="E2723" s="11" t="s">
        <v>7</v>
      </c>
      <c r="F2723" s="12" t="s">
        <v>23</v>
      </c>
      <c r="G2723" s="12"/>
      <c r="H2723" s="13">
        <f t="shared" si="42"/>
        <v>0</v>
      </c>
    </row>
    <row r="2724" spans="2:8" ht="13.5" thickBot="1" x14ac:dyDescent="0.35">
      <c r="B2724" s="9">
        <f>COUNT($B$4:B2723)+1</f>
        <v>769</v>
      </c>
      <c r="C2724" s="10" t="s">
        <v>1306</v>
      </c>
      <c r="D2724" s="10" t="s">
        <v>217</v>
      </c>
      <c r="E2724" s="11" t="s">
        <v>7</v>
      </c>
      <c r="F2724" s="12" t="s">
        <v>23</v>
      </c>
      <c r="G2724" s="12"/>
      <c r="H2724" s="13">
        <f t="shared" si="42"/>
        <v>0</v>
      </c>
    </row>
    <row r="2725" spans="2:8" ht="13.5" thickBot="1" x14ac:dyDescent="0.35">
      <c r="B2725" s="9">
        <f>COUNT($B$4:B2724)+1</f>
        <v>770</v>
      </c>
      <c r="C2725" s="10" t="s">
        <v>1307</v>
      </c>
      <c r="D2725" s="10" t="s">
        <v>217</v>
      </c>
      <c r="E2725" s="11" t="s">
        <v>7</v>
      </c>
      <c r="F2725" s="12" t="s">
        <v>23</v>
      </c>
      <c r="G2725" s="12"/>
      <c r="H2725" s="13">
        <f t="shared" si="42"/>
        <v>0</v>
      </c>
    </row>
    <row r="2726" spans="2:8" ht="13.5" thickBot="1" x14ac:dyDescent="0.35">
      <c r="B2726" s="9">
        <f>COUNT($B$4:B2725)+1</f>
        <v>771</v>
      </c>
      <c r="C2726" s="10" t="s">
        <v>1308</v>
      </c>
      <c r="D2726" s="10" t="s">
        <v>217</v>
      </c>
      <c r="E2726" s="11" t="s">
        <v>7</v>
      </c>
      <c r="F2726" s="12" t="s">
        <v>23</v>
      </c>
      <c r="G2726" s="12"/>
      <c r="H2726" s="13">
        <f t="shared" si="42"/>
        <v>0</v>
      </c>
    </row>
    <row r="2727" spans="2:8" ht="13.5" thickBot="1" x14ac:dyDescent="0.35">
      <c r="B2727" s="9">
        <f>COUNT($B$4:B2726)+1</f>
        <v>772</v>
      </c>
      <c r="C2727" s="10" t="s">
        <v>1309</v>
      </c>
      <c r="D2727" s="10" t="s">
        <v>217</v>
      </c>
      <c r="E2727" s="11" t="s">
        <v>7</v>
      </c>
      <c r="F2727" s="12" t="s">
        <v>23</v>
      </c>
      <c r="G2727" s="12"/>
      <c r="H2727" s="13">
        <f t="shared" si="42"/>
        <v>0</v>
      </c>
    </row>
    <row r="2728" spans="2:8" ht="13.5" thickBot="1" x14ac:dyDescent="0.35">
      <c r="B2728" s="9">
        <f>COUNT($B$4:B2727)+1</f>
        <v>773</v>
      </c>
      <c r="C2728" s="10" t="s">
        <v>1310</v>
      </c>
      <c r="D2728" s="10" t="s">
        <v>217</v>
      </c>
      <c r="E2728" s="11" t="s">
        <v>7</v>
      </c>
      <c r="F2728" s="12" t="s">
        <v>23</v>
      </c>
      <c r="G2728" s="12"/>
      <c r="H2728" s="13">
        <f t="shared" si="42"/>
        <v>0</v>
      </c>
    </row>
    <row r="2729" spans="2:8" ht="13.5" thickBot="1" x14ac:dyDescent="0.35">
      <c r="B2729" s="9">
        <f>COUNT($B$4:B2728)+1</f>
        <v>774</v>
      </c>
      <c r="C2729" s="10" t="s">
        <v>1311</v>
      </c>
      <c r="D2729" s="10" t="s">
        <v>217</v>
      </c>
      <c r="E2729" s="11" t="s">
        <v>7</v>
      </c>
      <c r="F2729" s="12" t="s">
        <v>23</v>
      </c>
      <c r="G2729" s="12"/>
      <c r="H2729" s="13">
        <f t="shared" si="42"/>
        <v>0</v>
      </c>
    </row>
    <row r="2730" spans="2:8" ht="13.5" thickBot="1" x14ac:dyDescent="0.35">
      <c r="B2730" s="9">
        <f>COUNT($B$4:B2729)+1</f>
        <v>775</v>
      </c>
      <c r="C2730" s="10" t="s">
        <v>1312</v>
      </c>
      <c r="D2730" s="10" t="s">
        <v>217</v>
      </c>
      <c r="E2730" s="11" t="s">
        <v>7</v>
      </c>
      <c r="F2730" s="12" t="s">
        <v>23</v>
      </c>
      <c r="G2730" s="12"/>
      <c r="H2730" s="13">
        <f t="shared" si="42"/>
        <v>0</v>
      </c>
    </row>
    <row r="2731" spans="2:8" ht="13.5" thickBot="1" x14ac:dyDescent="0.35">
      <c r="B2731" s="9">
        <f>COUNT($B$4:B2730)+1</f>
        <v>776</v>
      </c>
      <c r="C2731" s="10" t="s">
        <v>1313</v>
      </c>
      <c r="D2731" s="10" t="s">
        <v>217</v>
      </c>
      <c r="E2731" s="11" t="s">
        <v>7</v>
      </c>
      <c r="F2731" s="12" t="s">
        <v>23</v>
      </c>
      <c r="G2731" s="12"/>
      <c r="H2731" s="13">
        <f t="shared" si="42"/>
        <v>0</v>
      </c>
    </row>
    <row r="2732" spans="2:8" ht="13.5" thickBot="1" x14ac:dyDescent="0.35">
      <c r="B2732" s="9">
        <f>COUNT($B$4:B2731)+1</f>
        <v>777</v>
      </c>
      <c r="C2732" s="10" t="s">
        <v>1314</v>
      </c>
      <c r="D2732" s="10" t="s">
        <v>217</v>
      </c>
      <c r="E2732" s="11" t="s">
        <v>7</v>
      </c>
      <c r="F2732" s="12" t="s">
        <v>23</v>
      </c>
      <c r="G2732" s="12"/>
      <c r="H2732" s="13">
        <f t="shared" si="42"/>
        <v>0</v>
      </c>
    </row>
    <row r="2733" spans="2:8" ht="13.5" thickBot="1" x14ac:dyDescent="0.35">
      <c r="B2733" s="9">
        <f>COUNT($B$4:B2732)+1</f>
        <v>778</v>
      </c>
      <c r="C2733" s="10" t="s">
        <v>1315</v>
      </c>
      <c r="D2733" s="10" t="s">
        <v>217</v>
      </c>
      <c r="E2733" s="11" t="s">
        <v>7</v>
      </c>
      <c r="F2733" s="12" t="s">
        <v>23</v>
      </c>
      <c r="G2733" s="12"/>
      <c r="H2733" s="13">
        <f t="shared" si="42"/>
        <v>0</v>
      </c>
    </row>
    <row r="2734" spans="2:8" ht="13.5" thickBot="1" x14ac:dyDescent="0.35">
      <c r="B2734" s="9">
        <f>COUNT($B$4:B2733)+1</f>
        <v>779</v>
      </c>
      <c r="C2734" s="10" t="s">
        <v>1316</v>
      </c>
      <c r="D2734" s="10" t="s">
        <v>217</v>
      </c>
      <c r="E2734" s="11" t="s">
        <v>7</v>
      </c>
      <c r="F2734" s="12" t="s">
        <v>23</v>
      </c>
      <c r="G2734" s="12"/>
      <c r="H2734" s="13">
        <f t="shared" si="42"/>
        <v>0</v>
      </c>
    </row>
    <row r="2735" spans="2:8" ht="13.5" thickBot="1" x14ac:dyDescent="0.35">
      <c r="B2735" s="9">
        <f>COUNT($B$4:B2734)+1</f>
        <v>780</v>
      </c>
      <c r="C2735" s="10" t="s">
        <v>1317</v>
      </c>
      <c r="D2735" s="10" t="s">
        <v>217</v>
      </c>
      <c r="E2735" s="11" t="s">
        <v>7</v>
      </c>
      <c r="F2735" s="12" t="s">
        <v>23</v>
      </c>
      <c r="G2735" s="12"/>
      <c r="H2735" s="13">
        <f t="shared" si="42"/>
        <v>0</v>
      </c>
    </row>
    <row r="2736" spans="2:8" ht="13.5" thickBot="1" x14ac:dyDescent="0.35">
      <c r="B2736" s="9">
        <f>COUNT($B$4:B2735)+1</f>
        <v>781</v>
      </c>
      <c r="C2736" s="10" t="s">
        <v>1318</v>
      </c>
      <c r="D2736" s="10" t="s">
        <v>217</v>
      </c>
      <c r="E2736" s="11" t="s">
        <v>7</v>
      </c>
      <c r="F2736" s="12" t="s">
        <v>23</v>
      </c>
      <c r="G2736" s="12"/>
      <c r="H2736" s="13">
        <f t="shared" si="42"/>
        <v>0</v>
      </c>
    </row>
    <row r="2737" spans="2:8" ht="13.5" thickBot="1" x14ac:dyDescent="0.35">
      <c r="B2737" s="9">
        <f>COUNT($B$4:B2736)+1</f>
        <v>782</v>
      </c>
      <c r="C2737" s="10" t="s">
        <v>1319</v>
      </c>
      <c r="D2737" s="10" t="s">
        <v>217</v>
      </c>
      <c r="E2737" s="11" t="s">
        <v>7</v>
      </c>
      <c r="F2737" s="12" t="s">
        <v>23</v>
      </c>
      <c r="G2737" s="12"/>
      <c r="H2737" s="13">
        <f t="shared" si="42"/>
        <v>0</v>
      </c>
    </row>
    <row r="2738" spans="2:8" ht="13.5" thickBot="1" x14ac:dyDescent="0.35">
      <c r="B2738" s="9">
        <f>COUNT($B$4:B2737)+1</f>
        <v>783</v>
      </c>
      <c r="C2738" s="10" t="s">
        <v>1320</v>
      </c>
      <c r="D2738" s="10" t="s">
        <v>217</v>
      </c>
      <c r="E2738" s="11" t="s">
        <v>7</v>
      </c>
      <c r="F2738" s="12" t="s">
        <v>23</v>
      </c>
      <c r="G2738" s="12"/>
      <c r="H2738" s="13">
        <f t="shared" si="42"/>
        <v>0</v>
      </c>
    </row>
    <row r="2739" spans="2:8" ht="13.5" thickBot="1" x14ac:dyDescent="0.35">
      <c r="B2739" s="9">
        <f>COUNT($B$4:B2738)+1</f>
        <v>784</v>
      </c>
      <c r="C2739" s="10" t="s">
        <v>1321</v>
      </c>
      <c r="D2739" s="10" t="s">
        <v>217</v>
      </c>
      <c r="E2739" s="11" t="s">
        <v>7</v>
      </c>
      <c r="F2739" s="12" t="s">
        <v>23</v>
      </c>
      <c r="G2739" s="12"/>
      <c r="H2739" s="13">
        <f t="shared" si="42"/>
        <v>0</v>
      </c>
    </row>
    <row r="2740" spans="2:8" ht="13.5" thickBot="1" x14ac:dyDescent="0.35">
      <c r="B2740" s="9">
        <f>COUNT($B$4:B2739)+1</f>
        <v>785</v>
      </c>
      <c r="C2740" s="10" t="s">
        <v>1322</v>
      </c>
      <c r="D2740" s="10" t="s">
        <v>217</v>
      </c>
      <c r="E2740" s="11" t="s">
        <v>7</v>
      </c>
      <c r="F2740" s="12" t="s">
        <v>23</v>
      </c>
      <c r="G2740" s="12"/>
      <c r="H2740" s="13">
        <f t="shared" si="42"/>
        <v>0</v>
      </c>
    </row>
    <row r="2741" spans="2:8" ht="13.5" thickBot="1" x14ac:dyDescent="0.35">
      <c r="B2741" s="9">
        <f>COUNT($B$4:B2740)+1</f>
        <v>786</v>
      </c>
      <c r="C2741" s="10" t="s">
        <v>1323</v>
      </c>
      <c r="D2741" s="10" t="s">
        <v>217</v>
      </c>
      <c r="E2741" s="11" t="s">
        <v>7</v>
      </c>
      <c r="F2741" s="12" t="s">
        <v>23</v>
      </c>
      <c r="G2741" s="12"/>
      <c r="H2741" s="13">
        <f t="shared" si="42"/>
        <v>0</v>
      </c>
    </row>
    <row r="2742" spans="2:8" ht="13.5" thickBot="1" x14ac:dyDescent="0.35">
      <c r="B2742" s="9">
        <f>COUNT($B$4:B2741)+1</f>
        <v>787</v>
      </c>
      <c r="C2742" s="10" t="s">
        <v>1324</v>
      </c>
      <c r="D2742" s="10" t="s">
        <v>217</v>
      </c>
      <c r="E2742" s="11" t="s">
        <v>7</v>
      </c>
      <c r="F2742" s="12" t="s">
        <v>23</v>
      </c>
      <c r="G2742" s="12"/>
      <c r="H2742" s="13">
        <f t="shared" si="42"/>
        <v>0</v>
      </c>
    </row>
    <row r="2743" spans="2:8" ht="13.5" thickBot="1" x14ac:dyDescent="0.35">
      <c r="B2743" s="9">
        <f>COUNT($B$4:B2742)+1</f>
        <v>788</v>
      </c>
      <c r="C2743" s="10" t="s">
        <v>1325</v>
      </c>
      <c r="D2743" s="10" t="s">
        <v>217</v>
      </c>
      <c r="E2743" s="11" t="s">
        <v>7</v>
      </c>
      <c r="F2743" s="12" t="s">
        <v>23</v>
      </c>
      <c r="G2743" s="12"/>
      <c r="H2743" s="13">
        <f t="shared" si="42"/>
        <v>0</v>
      </c>
    </row>
    <row r="2744" spans="2:8" ht="13.5" thickBot="1" x14ac:dyDescent="0.35">
      <c r="B2744" s="9">
        <f>COUNT($B$4:B2743)+1</f>
        <v>789</v>
      </c>
      <c r="C2744" s="10" t="s">
        <v>1326</v>
      </c>
      <c r="D2744" s="10" t="s">
        <v>217</v>
      </c>
      <c r="E2744" s="11" t="s">
        <v>7</v>
      </c>
      <c r="F2744" s="12" t="s">
        <v>23</v>
      </c>
      <c r="G2744" s="12"/>
      <c r="H2744" s="13">
        <f t="shared" si="42"/>
        <v>0</v>
      </c>
    </row>
    <row r="2745" spans="2:8" ht="13.5" thickBot="1" x14ac:dyDescent="0.35">
      <c r="B2745" s="9">
        <f>COUNT($B$4:B2744)+1</f>
        <v>790</v>
      </c>
      <c r="C2745" s="10" t="s">
        <v>1327</v>
      </c>
      <c r="D2745" s="10" t="s">
        <v>217</v>
      </c>
      <c r="E2745" s="11" t="s">
        <v>7</v>
      </c>
      <c r="F2745" s="12" t="s">
        <v>23</v>
      </c>
      <c r="G2745" s="12"/>
      <c r="H2745" s="13">
        <f t="shared" si="42"/>
        <v>0</v>
      </c>
    </row>
    <row r="2746" spans="2:8" ht="13.5" thickBot="1" x14ac:dyDescent="0.35">
      <c r="B2746" s="9">
        <f>COUNT($B$4:B2745)+1</f>
        <v>791</v>
      </c>
      <c r="C2746" s="10" t="s">
        <v>1328</v>
      </c>
      <c r="D2746" s="10" t="s">
        <v>217</v>
      </c>
      <c r="E2746" s="11" t="s">
        <v>7</v>
      </c>
      <c r="F2746" s="12" t="s">
        <v>23</v>
      </c>
      <c r="G2746" s="12"/>
      <c r="H2746" s="13">
        <f t="shared" si="42"/>
        <v>0</v>
      </c>
    </row>
    <row r="2747" spans="2:8" ht="13.5" thickBot="1" x14ac:dyDescent="0.35">
      <c r="B2747" s="9">
        <f>COUNT($B$4:B2746)+1</f>
        <v>792</v>
      </c>
      <c r="C2747" s="10" t="s">
        <v>1329</v>
      </c>
      <c r="D2747" s="10" t="s">
        <v>217</v>
      </c>
      <c r="E2747" s="11" t="s">
        <v>7</v>
      </c>
      <c r="F2747" s="12" t="s">
        <v>23</v>
      </c>
      <c r="G2747" s="12"/>
      <c r="H2747" s="13">
        <f t="shared" si="42"/>
        <v>0</v>
      </c>
    </row>
    <row r="2748" spans="2:8" ht="13.5" thickBot="1" x14ac:dyDescent="0.35">
      <c r="B2748" s="9">
        <f>COUNT($B$4:B2747)+1</f>
        <v>793</v>
      </c>
      <c r="C2748" s="10" t="s">
        <v>1330</v>
      </c>
      <c r="D2748" s="10" t="s">
        <v>217</v>
      </c>
      <c r="E2748" s="11" t="s">
        <v>7</v>
      </c>
      <c r="F2748" s="12" t="s">
        <v>23</v>
      </c>
      <c r="G2748" s="12"/>
      <c r="H2748" s="13">
        <f t="shared" si="42"/>
        <v>0</v>
      </c>
    </row>
    <row r="2749" spans="2:8" ht="13.5" thickBot="1" x14ac:dyDescent="0.35">
      <c r="B2749" s="9">
        <f>COUNT($B$4:B2748)+1</f>
        <v>794</v>
      </c>
      <c r="C2749" s="10" t="s">
        <v>1331</v>
      </c>
      <c r="D2749" s="10" t="s">
        <v>217</v>
      </c>
      <c r="E2749" s="11" t="s">
        <v>7</v>
      </c>
      <c r="F2749" s="12" t="s">
        <v>23</v>
      </c>
      <c r="G2749" s="12"/>
      <c r="H2749" s="13">
        <f t="shared" si="42"/>
        <v>0</v>
      </c>
    </row>
    <row r="2750" spans="2:8" ht="13.5" thickBot="1" x14ac:dyDescent="0.35">
      <c r="B2750" s="9">
        <f>COUNT($B$4:B2749)+1</f>
        <v>795</v>
      </c>
      <c r="C2750" s="10" t="s">
        <v>1332</v>
      </c>
      <c r="D2750" s="10" t="s">
        <v>217</v>
      </c>
      <c r="E2750" s="11" t="s">
        <v>7</v>
      </c>
      <c r="F2750" s="12" t="s">
        <v>23</v>
      </c>
      <c r="G2750" s="12"/>
      <c r="H2750" s="13">
        <f t="shared" si="42"/>
        <v>0</v>
      </c>
    </row>
    <row r="2751" spans="2:8" ht="13.5" thickBot="1" x14ac:dyDescent="0.35">
      <c r="B2751" s="9">
        <f>COUNT($B$4:B2750)+1</f>
        <v>796</v>
      </c>
      <c r="C2751" s="10" t="s">
        <v>1333</v>
      </c>
      <c r="D2751" s="10" t="s">
        <v>217</v>
      </c>
      <c r="E2751" s="11" t="s">
        <v>7</v>
      </c>
      <c r="F2751" s="12" t="s">
        <v>23</v>
      </c>
      <c r="G2751" s="12"/>
      <c r="H2751" s="13">
        <f t="shared" si="42"/>
        <v>0</v>
      </c>
    </row>
    <row r="2752" spans="2:8" ht="13.5" thickBot="1" x14ac:dyDescent="0.35">
      <c r="B2752" s="9">
        <f>COUNT($B$4:B2751)+1</f>
        <v>797</v>
      </c>
      <c r="C2752" s="10" t="s">
        <v>1334</v>
      </c>
      <c r="D2752" s="10" t="s">
        <v>217</v>
      </c>
      <c r="E2752" s="11" t="s">
        <v>7</v>
      </c>
      <c r="F2752" s="12" t="s">
        <v>23</v>
      </c>
      <c r="G2752" s="12"/>
      <c r="H2752" s="13">
        <f t="shared" si="42"/>
        <v>0</v>
      </c>
    </row>
    <row r="2753" spans="2:8" ht="13.5" thickBot="1" x14ac:dyDescent="0.35">
      <c r="B2753" s="9">
        <f>COUNT($B$4:B2752)+1</f>
        <v>798</v>
      </c>
      <c r="C2753" s="10" t="s">
        <v>1335</v>
      </c>
      <c r="D2753" s="10" t="s">
        <v>217</v>
      </c>
      <c r="E2753" s="11" t="s">
        <v>7</v>
      </c>
      <c r="F2753" s="12" t="s">
        <v>23</v>
      </c>
      <c r="G2753" s="12"/>
      <c r="H2753" s="13">
        <f t="shared" si="42"/>
        <v>0</v>
      </c>
    </row>
    <row r="2754" spans="2:8" ht="13.5" thickBot="1" x14ac:dyDescent="0.35">
      <c r="B2754" s="9">
        <f>COUNT($B$4:B2753)+1</f>
        <v>799</v>
      </c>
      <c r="C2754" s="10" t="s">
        <v>1336</v>
      </c>
      <c r="D2754" s="10" t="s">
        <v>217</v>
      </c>
      <c r="E2754" s="11" t="s">
        <v>7</v>
      </c>
      <c r="F2754" s="12" t="s">
        <v>23</v>
      </c>
      <c r="G2754" s="12"/>
      <c r="H2754" s="13">
        <f t="shared" si="42"/>
        <v>0</v>
      </c>
    </row>
    <row r="2755" spans="2:8" ht="13.5" thickBot="1" x14ac:dyDescent="0.35">
      <c r="B2755" s="9">
        <f>COUNT($B$4:B2754)+1</f>
        <v>800</v>
      </c>
      <c r="C2755" s="10" t="s">
        <v>1337</v>
      </c>
      <c r="D2755" s="10" t="s">
        <v>217</v>
      </c>
      <c r="E2755" s="11" t="s">
        <v>7</v>
      </c>
      <c r="F2755" s="12" t="s">
        <v>23</v>
      </c>
      <c r="G2755" s="12"/>
      <c r="H2755" s="13">
        <f t="shared" si="42"/>
        <v>0</v>
      </c>
    </row>
    <row r="2756" spans="2:8" ht="13.5" thickBot="1" x14ac:dyDescent="0.35">
      <c r="B2756" s="9">
        <f>COUNT($B$4:B2755)+1</f>
        <v>801</v>
      </c>
      <c r="C2756" s="10" t="s">
        <v>1338</v>
      </c>
      <c r="D2756" s="10" t="s">
        <v>217</v>
      </c>
      <c r="E2756" s="11" t="s">
        <v>7</v>
      </c>
      <c r="F2756" s="12" t="s">
        <v>23</v>
      </c>
      <c r="G2756" s="12"/>
      <c r="H2756" s="13">
        <f t="shared" ref="H2756:H2819" si="43">SUM(G2756:G2756)</f>
        <v>0</v>
      </c>
    </row>
    <row r="2757" spans="2:8" ht="13.5" thickBot="1" x14ac:dyDescent="0.35">
      <c r="B2757" s="9">
        <f>COUNT($B$4:B2756)+1</f>
        <v>802</v>
      </c>
      <c r="C2757" s="10" t="s">
        <v>1339</v>
      </c>
      <c r="D2757" s="10" t="s">
        <v>217</v>
      </c>
      <c r="E2757" s="11" t="s">
        <v>7</v>
      </c>
      <c r="F2757" s="12" t="s">
        <v>23</v>
      </c>
      <c r="G2757" s="12"/>
      <c r="H2757" s="13">
        <f t="shared" si="43"/>
        <v>0</v>
      </c>
    </row>
    <row r="2758" spans="2:8" ht="13.5" thickBot="1" x14ac:dyDescent="0.35">
      <c r="B2758" s="9">
        <f>COUNT($B$4:B2757)+1</f>
        <v>803</v>
      </c>
      <c r="C2758" s="10" t="s">
        <v>1340</v>
      </c>
      <c r="D2758" s="10" t="s">
        <v>217</v>
      </c>
      <c r="E2758" s="11" t="s">
        <v>7</v>
      </c>
      <c r="F2758" s="12" t="s">
        <v>23</v>
      </c>
      <c r="G2758" s="12"/>
      <c r="H2758" s="13">
        <f t="shared" si="43"/>
        <v>0</v>
      </c>
    </row>
    <row r="2759" spans="2:8" ht="13.5" thickBot="1" x14ac:dyDescent="0.35">
      <c r="B2759" s="9">
        <f>COUNT($B$4:B2758)+1</f>
        <v>804</v>
      </c>
      <c r="C2759" s="10" t="s">
        <v>1341</v>
      </c>
      <c r="D2759" s="10" t="s">
        <v>217</v>
      </c>
      <c r="E2759" s="11" t="s">
        <v>7</v>
      </c>
      <c r="F2759" s="12" t="s">
        <v>23</v>
      </c>
      <c r="G2759" s="12"/>
      <c r="H2759" s="13">
        <f t="shared" si="43"/>
        <v>0</v>
      </c>
    </row>
    <row r="2760" spans="2:8" ht="13.5" thickBot="1" x14ac:dyDescent="0.35">
      <c r="B2760" s="9">
        <f>COUNT($B$4:B2759)+1</f>
        <v>805</v>
      </c>
      <c r="C2760" s="10" t="s">
        <v>1342</v>
      </c>
      <c r="D2760" s="10" t="s">
        <v>217</v>
      </c>
      <c r="E2760" s="11" t="s">
        <v>7</v>
      </c>
      <c r="F2760" s="12" t="s">
        <v>23</v>
      </c>
      <c r="G2760" s="12"/>
      <c r="H2760" s="13">
        <f t="shared" si="43"/>
        <v>0</v>
      </c>
    </row>
    <row r="2761" spans="2:8" ht="13.5" thickBot="1" x14ac:dyDescent="0.35">
      <c r="B2761" s="9">
        <f>COUNT($B$4:B2760)+1</f>
        <v>806</v>
      </c>
      <c r="C2761" s="10" t="s">
        <v>1343</v>
      </c>
      <c r="D2761" s="10" t="s">
        <v>217</v>
      </c>
      <c r="E2761" s="11" t="s">
        <v>7</v>
      </c>
      <c r="F2761" s="12" t="s">
        <v>23</v>
      </c>
      <c r="G2761" s="12"/>
      <c r="H2761" s="13">
        <f t="shared" si="43"/>
        <v>0</v>
      </c>
    </row>
    <row r="2762" spans="2:8" ht="13.5" thickBot="1" x14ac:dyDescent="0.35">
      <c r="B2762" s="9">
        <f>COUNT($B$4:B2761)+1</f>
        <v>807</v>
      </c>
      <c r="C2762" s="10" t="s">
        <v>1344</v>
      </c>
      <c r="D2762" s="10" t="s">
        <v>217</v>
      </c>
      <c r="E2762" s="11" t="s">
        <v>4</v>
      </c>
      <c r="F2762" s="12" t="s">
        <v>23</v>
      </c>
      <c r="G2762" s="12"/>
      <c r="H2762" s="13">
        <f t="shared" si="43"/>
        <v>0</v>
      </c>
    </row>
    <row r="2763" spans="2:8" ht="13.5" thickBot="1" x14ac:dyDescent="0.35">
      <c r="B2763" s="9">
        <f>COUNT($B$4:B2762)+1</f>
        <v>808</v>
      </c>
      <c r="C2763" s="10" t="s">
        <v>1345</v>
      </c>
      <c r="D2763" s="10" t="s">
        <v>217</v>
      </c>
      <c r="E2763" s="11" t="s">
        <v>4</v>
      </c>
      <c r="F2763" s="12" t="s">
        <v>23</v>
      </c>
      <c r="G2763" s="12"/>
      <c r="H2763" s="13">
        <f t="shared" si="43"/>
        <v>0</v>
      </c>
    </row>
    <row r="2764" spans="2:8" ht="13.5" thickBot="1" x14ac:dyDescent="0.35">
      <c r="B2764" s="9">
        <f>COUNT($B$4:B2763)+1</f>
        <v>809</v>
      </c>
      <c r="C2764" s="10" t="s">
        <v>1346</v>
      </c>
      <c r="D2764" s="10" t="s">
        <v>217</v>
      </c>
      <c r="E2764" s="11" t="s">
        <v>4</v>
      </c>
      <c r="F2764" s="12" t="s">
        <v>23</v>
      </c>
      <c r="G2764" s="12"/>
      <c r="H2764" s="13">
        <f t="shared" si="43"/>
        <v>0</v>
      </c>
    </row>
    <row r="2765" spans="2:8" ht="13.5" thickBot="1" x14ac:dyDescent="0.35">
      <c r="B2765" s="9">
        <f>COUNT($B$4:B2764)+1</f>
        <v>810</v>
      </c>
      <c r="C2765" s="10" t="s">
        <v>1347</v>
      </c>
      <c r="D2765" s="10" t="s">
        <v>217</v>
      </c>
      <c r="E2765" s="11" t="s">
        <v>4</v>
      </c>
      <c r="F2765" s="12" t="s">
        <v>23</v>
      </c>
      <c r="G2765" s="12"/>
      <c r="H2765" s="13">
        <f t="shared" si="43"/>
        <v>0</v>
      </c>
    </row>
    <row r="2766" spans="2:8" ht="13.5" thickBot="1" x14ac:dyDescent="0.35">
      <c r="B2766" s="9">
        <f>COUNT($B$4:B2765)+1</f>
        <v>811</v>
      </c>
      <c r="C2766" s="10" t="s">
        <v>1348</v>
      </c>
      <c r="D2766" s="10" t="s">
        <v>217</v>
      </c>
      <c r="E2766" s="11" t="s">
        <v>4</v>
      </c>
      <c r="F2766" s="12" t="s">
        <v>23</v>
      </c>
      <c r="G2766" s="12"/>
      <c r="H2766" s="13">
        <f t="shared" si="43"/>
        <v>0</v>
      </c>
    </row>
    <row r="2767" spans="2:8" ht="13.5" thickBot="1" x14ac:dyDescent="0.35">
      <c r="B2767" s="9">
        <f>COUNT($B$4:B2766)+1</f>
        <v>812</v>
      </c>
      <c r="C2767" s="10" t="s">
        <v>1349</v>
      </c>
      <c r="D2767" s="10" t="s">
        <v>217</v>
      </c>
      <c r="E2767" s="11" t="s">
        <v>4</v>
      </c>
      <c r="F2767" s="12" t="s">
        <v>23</v>
      </c>
      <c r="G2767" s="12"/>
      <c r="H2767" s="13">
        <f t="shared" si="43"/>
        <v>0</v>
      </c>
    </row>
    <row r="2768" spans="2:8" ht="13.5" thickBot="1" x14ac:dyDescent="0.35">
      <c r="B2768" s="9">
        <f>COUNT($B$4:B2767)+1</f>
        <v>813</v>
      </c>
      <c r="C2768" s="10" t="s">
        <v>1350</v>
      </c>
      <c r="D2768" s="10" t="s">
        <v>217</v>
      </c>
      <c r="E2768" s="11" t="s">
        <v>4</v>
      </c>
      <c r="F2768" s="12" t="s">
        <v>23</v>
      </c>
      <c r="G2768" s="12"/>
      <c r="H2768" s="13">
        <f t="shared" si="43"/>
        <v>0</v>
      </c>
    </row>
    <row r="2769" spans="2:8" ht="13.5" thickBot="1" x14ac:dyDescent="0.35">
      <c r="B2769" s="9">
        <f>COUNT($B$4:B2768)+1</f>
        <v>814</v>
      </c>
      <c r="C2769" s="10" t="s">
        <v>1351</v>
      </c>
      <c r="D2769" s="10" t="s">
        <v>217</v>
      </c>
      <c r="E2769" s="11" t="s">
        <v>4</v>
      </c>
      <c r="F2769" s="12" t="s">
        <v>23</v>
      </c>
      <c r="G2769" s="12"/>
      <c r="H2769" s="13">
        <f t="shared" si="43"/>
        <v>0</v>
      </c>
    </row>
    <row r="2770" spans="2:8" ht="13.5" thickBot="1" x14ac:dyDescent="0.35">
      <c r="B2770" s="9">
        <f>COUNT($B$4:B2769)+1</f>
        <v>815</v>
      </c>
      <c r="C2770" s="10" t="s">
        <v>1352</v>
      </c>
      <c r="D2770" s="10" t="s">
        <v>217</v>
      </c>
      <c r="E2770" s="11" t="s">
        <v>4</v>
      </c>
      <c r="F2770" s="12" t="s">
        <v>23</v>
      </c>
      <c r="G2770" s="12"/>
      <c r="H2770" s="13">
        <f t="shared" si="43"/>
        <v>0</v>
      </c>
    </row>
    <row r="2771" spans="2:8" ht="13.5" thickBot="1" x14ac:dyDescent="0.35">
      <c r="B2771" s="9">
        <f>COUNT($B$4:B2770)+1</f>
        <v>816</v>
      </c>
      <c r="C2771" s="10" t="s">
        <v>1353</v>
      </c>
      <c r="D2771" s="10" t="s">
        <v>217</v>
      </c>
      <c r="E2771" s="11" t="s">
        <v>4</v>
      </c>
      <c r="F2771" s="12" t="s">
        <v>23</v>
      </c>
      <c r="G2771" s="12"/>
      <c r="H2771" s="13">
        <f t="shared" si="43"/>
        <v>0</v>
      </c>
    </row>
    <row r="2772" spans="2:8" ht="13.5" thickBot="1" x14ac:dyDescent="0.35">
      <c r="B2772" s="9">
        <f>COUNT($B$4:B2771)+1</f>
        <v>817</v>
      </c>
      <c r="C2772" s="10" t="s">
        <v>1354</v>
      </c>
      <c r="D2772" s="10" t="s">
        <v>217</v>
      </c>
      <c r="E2772" s="11" t="s">
        <v>7</v>
      </c>
      <c r="F2772" s="12" t="s">
        <v>23</v>
      </c>
      <c r="G2772" s="12"/>
      <c r="H2772" s="13">
        <f t="shared" si="43"/>
        <v>0</v>
      </c>
    </row>
    <row r="2773" spans="2:8" ht="13.5" thickBot="1" x14ac:dyDescent="0.35">
      <c r="B2773" s="9">
        <f>COUNT($B$4:B2772)+1</f>
        <v>818</v>
      </c>
      <c r="C2773" s="10" t="s">
        <v>1355</v>
      </c>
      <c r="D2773" s="10" t="s">
        <v>217</v>
      </c>
      <c r="E2773" s="11" t="s">
        <v>7</v>
      </c>
      <c r="F2773" s="12" t="s">
        <v>23</v>
      </c>
      <c r="G2773" s="12"/>
      <c r="H2773" s="13">
        <f t="shared" si="43"/>
        <v>0</v>
      </c>
    </row>
    <row r="2774" spans="2:8" ht="13.5" thickBot="1" x14ac:dyDescent="0.35">
      <c r="B2774" s="9">
        <f>COUNT($B$4:B2773)+1</f>
        <v>819</v>
      </c>
      <c r="C2774" s="10" t="s">
        <v>1356</v>
      </c>
      <c r="D2774" s="10" t="s">
        <v>217</v>
      </c>
      <c r="E2774" s="11" t="s">
        <v>4</v>
      </c>
      <c r="F2774" s="12" t="s">
        <v>23</v>
      </c>
      <c r="G2774" s="12"/>
      <c r="H2774" s="13">
        <f t="shared" si="43"/>
        <v>0</v>
      </c>
    </row>
    <row r="2775" spans="2:8" ht="13.5" thickBot="1" x14ac:dyDescent="0.35">
      <c r="B2775" s="9">
        <f>COUNT($B$4:B2774)+1</f>
        <v>820</v>
      </c>
      <c r="C2775" s="10" t="s">
        <v>1357</v>
      </c>
      <c r="D2775" s="10"/>
      <c r="E2775" s="11" t="s">
        <v>9</v>
      </c>
      <c r="F2775" s="12" t="s">
        <v>23</v>
      </c>
      <c r="G2775" s="12"/>
      <c r="H2775" s="13">
        <f t="shared" si="43"/>
        <v>0</v>
      </c>
    </row>
    <row r="2776" spans="2:8" ht="13.5" thickBot="1" x14ac:dyDescent="0.35">
      <c r="B2776" s="9"/>
      <c r="C2776" s="14" t="s">
        <v>449</v>
      </c>
      <c r="D2776" s="14" t="s">
        <v>278</v>
      </c>
      <c r="E2776" s="18" t="s">
        <v>0</v>
      </c>
      <c r="F2776" s="17" t="s">
        <v>23</v>
      </c>
      <c r="G2776" s="17">
        <f>G2775*8</f>
        <v>0</v>
      </c>
      <c r="H2776" s="13">
        <f t="shared" si="43"/>
        <v>0</v>
      </c>
    </row>
    <row r="2777" spans="2:8" ht="13.5" thickBot="1" x14ac:dyDescent="0.35">
      <c r="B2777" s="9"/>
      <c r="C2777" s="14" t="s">
        <v>451</v>
      </c>
      <c r="D2777" s="14" t="s">
        <v>278</v>
      </c>
      <c r="E2777" s="18" t="s">
        <v>0</v>
      </c>
      <c r="F2777" s="17" t="s">
        <v>23</v>
      </c>
      <c r="G2777" s="17">
        <f>G2775*8</f>
        <v>0</v>
      </c>
      <c r="H2777" s="13">
        <f t="shared" si="43"/>
        <v>0</v>
      </c>
    </row>
    <row r="2778" spans="2:8" ht="13.5" thickBot="1" x14ac:dyDescent="0.35">
      <c r="B2778" s="9"/>
      <c r="C2778" s="14" t="s">
        <v>452</v>
      </c>
      <c r="D2778" s="14" t="s">
        <v>278</v>
      </c>
      <c r="E2778" s="18" t="s">
        <v>0</v>
      </c>
      <c r="F2778" s="17" t="s">
        <v>23</v>
      </c>
      <c r="G2778" s="17">
        <f>G2776*8</f>
        <v>0</v>
      </c>
      <c r="H2778" s="13">
        <f t="shared" si="43"/>
        <v>0</v>
      </c>
    </row>
    <row r="2779" spans="2:8" ht="13.5" thickBot="1" x14ac:dyDescent="0.35">
      <c r="B2779" s="9"/>
      <c r="C2779" s="14" t="s">
        <v>1358</v>
      </c>
      <c r="D2779" s="14" t="s">
        <v>278</v>
      </c>
      <c r="E2779" s="18" t="s">
        <v>9</v>
      </c>
      <c r="F2779" s="17" t="s">
        <v>23</v>
      </c>
      <c r="G2779" s="17">
        <f>G2776</f>
        <v>0</v>
      </c>
      <c r="H2779" s="13">
        <f t="shared" si="43"/>
        <v>0</v>
      </c>
    </row>
    <row r="2780" spans="2:8" ht="13.5" thickBot="1" x14ac:dyDescent="0.35">
      <c r="B2780" s="9"/>
      <c r="C2780" s="14" t="s">
        <v>1359</v>
      </c>
      <c r="D2780" s="14" t="s">
        <v>278</v>
      </c>
      <c r="E2780" s="18" t="s">
        <v>9</v>
      </c>
      <c r="F2780" s="17" t="s">
        <v>23</v>
      </c>
      <c r="G2780" s="17">
        <f>G2775</f>
        <v>0</v>
      </c>
      <c r="H2780" s="13">
        <f t="shared" si="43"/>
        <v>0</v>
      </c>
    </row>
    <row r="2781" spans="2:8" ht="13.5" thickBot="1" x14ac:dyDescent="0.35">
      <c r="B2781" s="9">
        <f>COUNT($B$4:B2780)+1</f>
        <v>821</v>
      </c>
      <c r="C2781" s="10" t="s">
        <v>1360</v>
      </c>
      <c r="D2781" s="10"/>
      <c r="E2781" s="11" t="s">
        <v>9</v>
      </c>
      <c r="F2781" s="12" t="s">
        <v>23</v>
      </c>
      <c r="G2781" s="12"/>
      <c r="H2781" s="13">
        <f t="shared" si="43"/>
        <v>0</v>
      </c>
    </row>
    <row r="2782" spans="2:8" ht="13.5" thickBot="1" x14ac:dyDescent="0.35">
      <c r="B2782" s="9"/>
      <c r="C2782" s="14" t="s">
        <v>449</v>
      </c>
      <c r="D2782" s="14" t="s">
        <v>278</v>
      </c>
      <c r="E2782" s="18" t="s">
        <v>0</v>
      </c>
      <c r="F2782" s="17" t="s">
        <v>23</v>
      </c>
      <c r="G2782" s="17">
        <f>G2781*8</f>
        <v>0</v>
      </c>
      <c r="H2782" s="13">
        <f t="shared" si="43"/>
        <v>0</v>
      </c>
    </row>
    <row r="2783" spans="2:8" ht="13.5" thickBot="1" x14ac:dyDescent="0.35">
      <c r="B2783" s="9"/>
      <c r="C2783" s="14" t="s">
        <v>451</v>
      </c>
      <c r="D2783" s="14" t="s">
        <v>278</v>
      </c>
      <c r="E2783" s="18" t="s">
        <v>0</v>
      </c>
      <c r="F2783" s="17" t="s">
        <v>23</v>
      </c>
      <c r="G2783" s="17">
        <f>G2781*8</f>
        <v>0</v>
      </c>
      <c r="H2783" s="13">
        <f t="shared" si="43"/>
        <v>0</v>
      </c>
    </row>
    <row r="2784" spans="2:8" ht="13.5" thickBot="1" x14ac:dyDescent="0.35">
      <c r="B2784" s="9"/>
      <c r="C2784" s="14" t="s">
        <v>452</v>
      </c>
      <c r="D2784" s="14" t="s">
        <v>278</v>
      </c>
      <c r="E2784" s="18" t="s">
        <v>0</v>
      </c>
      <c r="F2784" s="17" t="s">
        <v>23</v>
      </c>
      <c r="G2784" s="17">
        <f>G2782*8</f>
        <v>0</v>
      </c>
      <c r="H2784" s="13">
        <f t="shared" si="43"/>
        <v>0</v>
      </c>
    </row>
    <row r="2785" spans="2:8" ht="13.5" thickBot="1" x14ac:dyDescent="0.35">
      <c r="B2785" s="9"/>
      <c r="C2785" s="14" t="s">
        <v>1361</v>
      </c>
      <c r="D2785" s="14" t="s">
        <v>278</v>
      </c>
      <c r="E2785" s="18" t="s">
        <v>9</v>
      </c>
      <c r="F2785" s="17" t="s">
        <v>23</v>
      </c>
      <c r="G2785" s="17">
        <f>G2782</f>
        <v>0</v>
      </c>
      <c r="H2785" s="13">
        <f t="shared" si="43"/>
        <v>0</v>
      </c>
    </row>
    <row r="2786" spans="2:8" ht="13.5" thickBot="1" x14ac:dyDescent="0.35">
      <c r="B2786" s="9"/>
      <c r="C2786" s="14" t="s">
        <v>1362</v>
      </c>
      <c r="D2786" s="14" t="s">
        <v>278</v>
      </c>
      <c r="E2786" s="18" t="s">
        <v>9</v>
      </c>
      <c r="F2786" s="17" t="s">
        <v>23</v>
      </c>
      <c r="G2786" s="17">
        <f>G2781</f>
        <v>0</v>
      </c>
      <c r="H2786" s="13">
        <f t="shared" si="43"/>
        <v>0</v>
      </c>
    </row>
    <row r="2787" spans="2:8" ht="13.5" thickBot="1" x14ac:dyDescent="0.35">
      <c r="B2787" s="9">
        <f>COUNT($B$4:B2786)+1</f>
        <v>822</v>
      </c>
      <c r="C2787" s="10" t="s">
        <v>1363</v>
      </c>
      <c r="D2787" s="10"/>
      <c r="E2787" s="11" t="s">
        <v>9</v>
      </c>
      <c r="F2787" s="12" t="s">
        <v>23</v>
      </c>
      <c r="G2787" s="12"/>
      <c r="H2787" s="13">
        <f t="shared" si="43"/>
        <v>0</v>
      </c>
    </row>
    <row r="2788" spans="2:8" ht="13.5" thickBot="1" x14ac:dyDescent="0.35">
      <c r="B2788" s="9"/>
      <c r="C2788" s="14" t="s">
        <v>449</v>
      </c>
      <c r="D2788" s="14" t="s">
        <v>278</v>
      </c>
      <c r="E2788" s="18" t="s">
        <v>0</v>
      </c>
      <c r="F2788" s="17" t="s">
        <v>23</v>
      </c>
      <c r="G2788" s="17">
        <f>G2787*8</f>
        <v>0</v>
      </c>
      <c r="H2788" s="13">
        <f t="shared" si="43"/>
        <v>0</v>
      </c>
    </row>
    <row r="2789" spans="2:8" ht="13.5" thickBot="1" x14ac:dyDescent="0.35">
      <c r="B2789" s="9"/>
      <c r="C2789" s="14" t="s">
        <v>451</v>
      </c>
      <c r="D2789" s="14" t="s">
        <v>278</v>
      </c>
      <c r="E2789" s="18" t="s">
        <v>0</v>
      </c>
      <c r="F2789" s="17" t="s">
        <v>23</v>
      </c>
      <c r="G2789" s="17">
        <f>G2787*8</f>
        <v>0</v>
      </c>
      <c r="H2789" s="13">
        <f t="shared" si="43"/>
        <v>0</v>
      </c>
    </row>
    <row r="2790" spans="2:8" ht="13.5" thickBot="1" x14ac:dyDescent="0.35">
      <c r="B2790" s="9"/>
      <c r="C2790" s="14" t="s">
        <v>452</v>
      </c>
      <c r="D2790" s="14" t="s">
        <v>278</v>
      </c>
      <c r="E2790" s="18" t="s">
        <v>0</v>
      </c>
      <c r="F2790" s="17" t="s">
        <v>23</v>
      </c>
      <c r="G2790" s="17">
        <f>G2788*8</f>
        <v>0</v>
      </c>
      <c r="H2790" s="13">
        <f t="shared" si="43"/>
        <v>0</v>
      </c>
    </row>
    <row r="2791" spans="2:8" ht="13.5" thickBot="1" x14ac:dyDescent="0.35">
      <c r="B2791" s="9"/>
      <c r="C2791" s="14" t="s">
        <v>1364</v>
      </c>
      <c r="D2791" s="14" t="s">
        <v>278</v>
      </c>
      <c r="E2791" s="18" t="s">
        <v>9</v>
      </c>
      <c r="F2791" s="17" t="s">
        <v>23</v>
      </c>
      <c r="G2791" s="17">
        <f>G2788</f>
        <v>0</v>
      </c>
      <c r="H2791" s="13">
        <f t="shared" si="43"/>
        <v>0</v>
      </c>
    </row>
    <row r="2792" spans="2:8" ht="13.5" thickBot="1" x14ac:dyDescent="0.35">
      <c r="B2792" s="9"/>
      <c r="C2792" s="14" t="s">
        <v>1365</v>
      </c>
      <c r="D2792" s="14" t="s">
        <v>278</v>
      </c>
      <c r="E2792" s="18" t="s">
        <v>9</v>
      </c>
      <c r="F2792" s="17" t="s">
        <v>23</v>
      </c>
      <c r="G2792" s="17">
        <f>G2787</f>
        <v>0</v>
      </c>
      <c r="H2792" s="13">
        <f t="shared" si="43"/>
        <v>0</v>
      </c>
    </row>
    <row r="2793" spans="2:8" ht="13.5" thickBot="1" x14ac:dyDescent="0.35">
      <c r="B2793" s="9">
        <f>COUNT($B$4:B2792)+1</f>
        <v>823</v>
      </c>
      <c r="C2793" s="10" t="s">
        <v>1366</v>
      </c>
      <c r="D2793" s="10"/>
      <c r="E2793" s="11" t="s">
        <v>9</v>
      </c>
      <c r="F2793" s="12" t="s">
        <v>23</v>
      </c>
      <c r="G2793" s="12"/>
      <c r="H2793" s="13">
        <f t="shared" si="43"/>
        <v>0</v>
      </c>
    </row>
    <row r="2794" spans="2:8" ht="13.5" thickBot="1" x14ac:dyDescent="0.35">
      <c r="B2794" s="9"/>
      <c r="C2794" s="14" t="s">
        <v>449</v>
      </c>
      <c r="D2794" s="14" t="s">
        <v>278</v>
      </c>
      <c r="E2794" s="18" t="s">
        <v>0</v>
      </c>
      <c r="F2794" s="17" t="s">
        <v>23</v>
      </c>
      <c r="G2794" s="17">
        <f>G2793*8</f>
        <v>0</v>
      </c>
      <c r="H2794" s="13">
        <f t="shared" si="43"/>
        <v>0</v>
      </c>
    </row>
    <row r="2795" spans="2:8" ht="13.5" thickBot="1" x14ac:dyDescent="0.35">
      <c r="B2795" s="9"/>
      <c r="C2795" s="14" t="s">
        <v>451</v>
      </c>
      <c r="D2795" s="14" t="s">
        <v>278</v>
      </c>
      <c r="E2795" s="18" t="s">
        <v>0</v>
      </c>
      <c r="F2795" s="17" t="s">
        <v>23</v>
      </c>
      <c r="G2795" s="17">
        <f>G2793*8</f>
        <v>0</v>
      </c>
      <c r="H2795" s="13">
        <f t="shared" si="43"/>
        <v>0</v>
      </c>
    </row>
    <row r="2796" spans="2:8" ht="13.5" thickBot="1" x14ac:dyDescent="0.35">
      <c r="B2796" s="9"/>
      <c r="C2796" s="14" t="s">
        <v>452</v>
      </c>
      <c r="D2796" s="14" t="s">
        <v>278</v>
      </c>
      <c r="E2796" s="18" t="s">
        <v>0</v>
      </c>
      <c r="F2796" s="17" t="s">
        <v>23</v>
      </c>
      <c r="G2796" s="17">
        <f>G2794*8</f>
        <v>0</v>
      </c>
      <c r="H2796" s="13">
        <f t="shared" si="43"/>
        <v>0</v>
      </c>
    </row>
    <row r="2797" spans="2:8" ht="13.5" thickBot="1" x14ac:dyDescent="0.35">
      <c r="B2797" s="9"/>
      <c r="C2797" s="14" t="s">
        <v>1367</v>
      </c>
      <c r="D2797" s="14" t="s">
        <v>278</v>
      </c>
      <c r="E2797" s="18" t="s">
        <v>9</v>
      </c>
      <c r="F2797" s="17" t="s">
        <v>23</v>
      </c>
      <c r="G2797" s="17">
        <f>G2794</f>
        <v>0</v>
      </c>
      <c r="H2797" s="13">
        <f t="shared" si="43"/>
        <v>0</v>
      </c>
    </row>
    <row r="2798" spans="2:8" ht="13.5" thickBot="1" x14ac:dyDescent="0.35">
      <c r="B2798" s="9"/>
      <c r="C2798" s="14" t="s">
        <v>1368</v>
      </c>
      <c r="D2798" s="14" t="s">
        <v>278</v>
      </c>
      <c r="E2798" s="18" t="s">
        <v>9</v>
      </c>
      <c r="F2798" s="17" t="s">
        <v>23</v>
      </c>
      <c r="G2798" s="17">
        <f>G2793</f>
        <v>0</v>
      </c>
      <c r="H2798" s="13">
        <f t="shared" si="43"/>
        <v>0</v>
      </c>
    </row>
    <row r="2799" spans="2:8" ht="13.5" thickBot="1" x14ac:dyDescent="0.35">
      <c r="B2799" s="9">
        <f>COUNT($B$4:B2798)+1</f>
        <v>824</v>
      </c>
      <c r="C2799" s="10" t="s">
        <v>1369</v>
      </c>
      <c r="D2799" s="10"/>
      <c r="E2799" s="11" t="s">
        <v>9</v>
      </c>
      <c r="F2799" s="12" t="s">
        <v>23</v>
      </c>
      <c r="G2799" s="12"/>
      <c r="H2799" s="13">
        <f t="shared" si="43"/>
        <v>0</v>
      </c>
    </row>
    <row r="2800" spans="2:8" ht="13.5" thickBot="1" x14ac:dyDescent="0.35">
      <c r="B2800" s="9"/>
      <c r="C2800" s="14" t="s">
        <v>449</v>
      </c>
      <c r="D2800" s="14" t="s">
        <v>278</v>
      </c>
      <c r="E2800" s="18" t="s">
        <v>0</v>
      </c>
      <c r="F2800" s="17" t="s">
        <v>23</v>
      </c>
      <c r="G2800" s="17">
        <f>G2799*8</f>
        <v>0</v>
      </c>
      <c r="H2800" s="13">
        <f t="shared" si="43"/>
        <v>0</v>
      </c>
    </row>
    <row r="2801" spans="2:8" ht="13.5" thickBot="1" x14ac:dyDescent="0.35">
      <c r="B2801" s="9"/>
      <c r="C2801" s="14" t="s">
        <v>451</v>
      </c>
      <c r="D2801" s="14" t="s">
        <v>278</v>
      </c>
      <c r="E2801" s="18" t="s">
        <v>0</v>
      </c>
      <c r="F2801" s="17" t="s">
        <v>23</v>
      </c>
      <c r="G2801" s="17">
        <f>G2799*8</f>
        <v>0</v>
      </c>
      <c r="H2801" s="13">
        <f t="shared" si="43"/>
        <v>0</v>
      </c>
    </row>
    <row r="2802" spans="2:8" ht="13.5" thickBot="1" x14ac:dyDescent="0.35">
      <c r="B2802" s="9"/>
      <c r="C2802" s="14" t="s">
        <v>452</v>
      </c>
      <c r="D2802" s="14" t="s">
        <v>278</v>
      </c>
      <c r="E2802" s="18" t="s">
        <v>0</v>
      </c>
      <c r="F2802" s="17" t="s">
        <v>23</v>
      </c>
      <c r="G2802" s="17">
        <f>G2800*8</f>
        <v>0</v>
      </c>
      <c r="H2802" s="13">
        <f t="shared" si="43"/>
        <v>0</v>
      </c>
    </row>
    <row r="2803" spans="2:8" ht="13.5" thickBot="1" x14ac:dyDescent="0.35">
      <c r="B2803" s="9"/>
      <c r="C2803" s="14" t="s">
        <v>1370</v>
      </c>
      <c r="D2803" s="14" t="s">
        <v>278</v>
      </c>
      <c r="E2803" s="18" t="s">
        <v>9</v>
      </c>
      <c r="F2803" s="17" t="s">
        <v>23</v>
      </c>
      <c r="G2803" s="17">
        <f>G2800</f>
        <v>0</v>
      </c>
      <c r="H2803" s="13">
        <f t="shared" si="43"/>
        <v>0</v>
      </c>
    </row>
    <row r="2804" spans="2:8" ht="13.5" thickBot="1" x14ac:dyDescent="0.35">
      <c r="B2804" s="9"/>
      <c r="C2804" s="14" t="s">
        <v>1371</v>
      </c>
      <c r="D2804" s="14" t="s">
        <v>278</v>
      </c>
      <c r="E2804" s="18" t="s">
        <v>9</v>
      </c>
      <c r="F2804" s="17" t="s">
        <v>23</v>
      </c>
      <c r="G2804" s="17">
        <f>G2799</f>
        <v>0</v>
      </c>
      <c r="H2804" s="13">
        <f t="shared" si="43"/>
        <v>0</v>
      </c>
    </row>
    <row r="2805" spans="2:8" ht="13.5" thickBot="1" x14ac:dyDescent="0.35">
      <c r="B2805" s="9">
        <f>COUNT($B$4:B2804)+1</f>
        <v>825</v>
      </c>
      <c r="C2805" s="10" t="s">
        <v>1372</v>
      </c>
      <c r="D2805" s="10"/>
      <c r="E2805" s="11" t="s">
        <v>9</v>
      </c>
      <c r="F2805" s="12" t="s">
        <v>23</v>
      </c>
      <c r="G2805" s="12"/>
      <c r="H2805" s="13">
        <f t="shared" si="43"/>
        <v>0</v>
      </c>
    </row>
    <row r="2806" spans="2:8" ht="13.5" thickBot="1" x14ac:dyDescent="0.35">
      <c r="B2806" s="9"/>
      <c r="C2806" s="14" t="s">
        <v>449</v>
      </c>
      <c r="D2806" s="14" t="s">
        <v>278</v>
      </c>
      <c r="E2806" s="18" t="s">
        <v>0</v>
      </c>
      <c r="F2806" s="17" t="s">
        <v>23</v>
      </c>
      <c r="G2806" s="17">
        <f>G2805*8</f>
        <v>0</v>
      </c>
      <c r="H2806" s="13">
        <f t="shared" si="43"/>
        <v>0</v>
      </c>
    </row>
    <row r="2807" spans="2:8" ht="13.5" thickBot="1" x14ac:dyDescent="0.35">
      <c r="B2807" s="9"/>
      <c r="C2807" s="14" t="s">
        <v>451</v>
      </c>
      <c r="D2807" s="14" t="s">
        <v>278</v>
      </c>
      <c r="E2807" s="18" t="s">
        <v>0</v>
      </c>
      <c r="F2807" s="17" t="s">
        <v>23</v>
      </c>
      <c r="G2807" s="17">
        <f>G2805*8</f>
        <v>0</v>
      </c>
      <c r="H2807" s="13">
        <f t="shared" si="43"/>
        <v>0</v>
      </c>
    </row>
    <row r="2808" spans="2:8" ht="13.5" thickBot="1" x14ac:dyDescent="0.35">
      <c r="B2808" s="9"/>
      <c r="C2808" s="14" t="s">
        <v>452</v>
      </c>
      <c r="D2808" s="14" t="s">
        <v>278</v>
      </c>
      <c r="E2808" s="18" t="s">
        <v>0</v>
      </c>
      <c r="F2808" s="17" t="s">
        <v>23</v>
      </c>
      <c r="G2808" s="17">
        <f>G2806*8</f>
        <v>0</v>
      </c>
      <c r="H2808" s="13">
        <f t="shared" si="43"/>
        <v>0</v>
      </c>
    </row>
    <row r="2809" spans="2:8" ht="13.5" thickBot="1" x14ac:dyDescent="0.35">
      <c r="B2809" s="9"/>
      <c r="C2809" s="14" t="s">
        <v>1373</v>
      </c>
      <c r="D2809" s="14" t="s">
        <v>278</v>
      </c>
      <c r="E2809" s="18" t="s">
        <v>9</v>
      </c>
      <c r="F2809" s="17" t="s">
        <v>23</v>
      </c>
      <c r="G2809" s="17">
        <f>G2806</f>
        <v>0</v>
      </c>
      <c r="H2809" s="13">
        <f t="shared" si="43"/>
        <v>0</v>
      </c>
    </row>
    <row r="2810" spans="2:8" ht="13.5" thickBot="1" x14ac:dyDescent="0.35">
      <c r="B2810" s="9"/>
      <c r="C2810" s="14" t="s">
        <v>1374</v>
      </c>
      <c r="D2810" s="14" t="s">
        <v>278</v>
      </c>
      <c r="E2810" s="18" t="s">
        <v>9</v>
      </c>
      <c r="F2810" s="17" t="s">
        <v>23</v>
      </c>
      <c r="G2810" s="17">
        <f>G2805</f>
        <v>0</v>
      </c>
      <c r="H2810" s="13">
        <f t="shared" si="43"/>
        <v>0</v>
      </c>
    </row>
    <row r="2811" spans="2:8" ht="13.5" thickBot="1" x14ac:dyDescent="0.35">
      <c r="B2811" s="9">
        <f>COUNT($B$4:B2810)+1</f>
        <v>826</v>
      </c>
      <c r="C2811" s="10" t="s">
        <v>1375</v>
      </c>
      <c r="D2811" s="10"/>
      <c r="E2811" s="11" t="s">
        <v>9</v>
      </c>
      <c r="F2811" s="12" t="s">
        <v>23</v>
      </c>
      <c r="G2811" s="12"/>
      <c r="H2811" s="13">
        <f t="shared" si="43"/>
        <v>0</v>
      </c>
    </row>
    <row r="2812" spans="2:8" ht="13.5" thickBot="1" x14ac:dyDescent="0.35">
      <c r="B2812" s="9"/>
      <c r="C2812" s="14" t="s">
        <v>449</v>
      </c>
      <c r="D2812" s="14" t="s">
        <v>278</v>
      </c>
      <c r="E2812" s="18" t="s">
        <v>0</v>
      </c>
      <c r="F2812" s="17" t="s">
        <v>23</v>
      </c>
      <c r="G2812" s="17">
        <f>G2811*8</f>
        <v>0</v>
      </c>
      <c r="H2812" s="13">
        <f t="shared" si="43"/>
        <v>0</v>
      </c>
    </row>
    <row r="2813" spans="2:8" ht="13.5" thickBot="1" x14ac:dyDescent="0.35">
      <c r="B2813" s="9"/>
      <c r="C2813" s="14" t="s">
        <v>451</v>
      </c>
      <c r="D2813" s="14" t="s">
        <v>278</v>
      </c>
      <c r="E2813" s="18" t="s">
        <v>0</v>
      </c>
      <c r="F2813" s="17" t="s">
        <v>23</v>
      </c>
      <c r="G2813" s="17">
        <f>G2811*8</f>
        <v>0</v>
      </c>
      <c r="H2813" s="13">
        <f t="shared" si="43"/>
        <v>0</v>
      </c>
    </row>
    <row r="2814" spans="2:8" ht="13.5" thickBot="1" x14ac:dyDescent="0.35">
      <c r="B2814" s="9"/>
      <c r="C2814" s="14" t="s">
        <v>452</v>
      </c>
      <c r="D2814" s="14" t="s">
        <v>278</v>
      </c>
      <c r="E2814" s="18" t="s">
        <v>0</v>
      </c>
      <c r="F2814" s="17" t="s">
        <v>23</v>
      </c>
      <c r="G2814" s="17">
        <f>G2812*8</f>
        <v>0</v>
      </c>
      <c r="H2814" s="13">
        <f t="shared" si="43"/>
        <v>0</v>
      </c>
    </row>
    <row r="2815" spans="2:8" ht="13.5" thickBot="1" x14ac:dyDescent="0.35">
      <c r="B2815" s="9"/>
      <c r="C2815" s="14" t="s">
        <v>1376</v>
      </c>
      <c r="D2815" s="14" t="s">
        <v>278</v>
      </c>
      <c r="E2815" s="18" t="s">
        <v>9</v>
      </c>
      <c r="F2815" s="17" t="s">
        <v>23</v>
      </c>
      <c r="G2815" s="17">
        <f>G2812</f>
        <v>0</v>
      </c>
      <c r="H2815" s="13">
        <f t="shared" si="43"/>
        <v>0</v>
      </c>
    </row>
    <row r="2816" spans="2:8" ht="13.5" thickBot="1" x14ac:dyDescent="0.35">
      <c r="B2816" s="9"/>
      <c r="C2816" s="14" t="s">
        <v>1377</v>
      </c>
      <c r="D2816" s="14" t="s">
        <v>278</v>
      </c>
      <c r="E2816" s="18" t="s">
        <v>9</v>
      </c>
      <c r="F2816" s="17" t="s">
        <v>23</v>
      </c>
      <c r="G2816" s="17">
        <f>G2811</f>
        <v>0</v>
      </c>
      <c r="H2816" s="13">
        <f t="shared" si="43"/>
        <v>0</v>
      </c>
    </row>
    <row r="2817" spans="2:8" ht="13.5" thickBot="1" x14ac:dyDescent="0.35">
      <c r="B2817" s="9">
        <f>COUNT($B$4:B2816)+1</f>
        <v>827</v>
      </c>
      <c r="C2817" s="10" t="s">
        <v>1378</v>
      </c>
      <c r="D2817" s="10"/>
      <c r="E2817" s="11" t="s">
        <v>9</v>
      </c>
      <c r="F2817" s="12" t="s">
        <v>23</v>
      </c>
      <c r="G2817" s="12"/>
      <c r="H2817" s="13">
        <f t="shared" si="43"/>
        <v>0</v>
      </c>
    </row>
    <row r="2818" spans="2:8" ht="13.5" thickBot="1" x14ac:dyDescent="0.35">
      <c r="B2818" s="9"/>
      <c r="C2818" s="14" t="s">
        <v>449</v>
      </c>
      <c r="D2818" s="14" t="s">
        <v>278</v>
      </c>
      <c r="E2818" s="18" t="s">
        <v>0</v>
      </c>
      <c r="F2818" s="17" t="s">
        <v>23</v>
      </c>
      <c r="G2818" s="17">
        <f>G2817*8</f>
        <v>0</v>
      </c>
      <c r="H2818" s="13">
        <f t="shared" si="43"/>
        <v>0</v>
      </c>
    </row>
    <row r="2819" spans="2:8" ht="13.5" thickBot="1" x14ac:dyDescent="0.35">
      <c r="B2819" s="9"/>
      <c r="C2819" s="14" t="s">
        <v>451</v>
      </c>
      <c r="D2819" s="14" t="s">
        <v>278</v>
      </c>
      <c r="E2819" s="18" t="s">
        <v>0</v>
      </c>
      <c r="F2819" s="17" t="s">
        <v>23</v>
      </c>
      <c r="G2819" s="17">
        <f>G2817*8</f>
        <v>0</v>
      </c>
      <c r="H2819" s="13">
        <f t="shared" si="43"/>
        <v>0</v>
      </c>
    </row>
    <row r="2820" spans="2:8" ht="13.5" thickBot="1" x14ac:dyDescent="0.35">
      <c r="B2820" s="9"/>
      <c r="C2820" s="14" t="s">
        <v>452</v>
      </c>
      <c r="D2820" s="14" t="s">
        <v>278</v>
      </c>
      <c r="E2820" s="18" t="s">
        <v>0</v>
      </c>
      <c r="F2820" s="17" t="s">
        <v>23</v>
      </c>
      <c r="G2820" s="17">
        <f>G2818*8</f>
        <v>0</v>
      </c>
      <c r="H2820" s="13">
        <f t="shared" ref="H2820:H2883" si="44">SUM(G2820:G2820)</f>
        <v>0</v>
      </c>
    </row>
    <row r="2821" spans="2:8" ht="13.5" thickBot="1" x14ac:dyDescent="0.35">
      <c r="B2821" s="9"/>
      <c r="C2821" s="14" t="s">
        <v>1379</v>
      </c>
      <c r="D2821" s="14" t="s">
        <v>278</v>
      </c>
      <c r="E2821" s="18" t="s">
        <v>9</v>
      </c>
      <c r="F2821" s="17" t="s">
        <v>23</v>
      </c>
      <c r="G2821" s="17">
        <f>G2818</f>
        <v>0</v>
      </c>
      <c r="H2821" s="13">
        <f t="shared" si="44"/>
        <v>0</v>
      </c>
    </row>
    <row r="2822" spans="2:8" ht="13.5" thickBot="1" x14ac:dyDescent="0.35">
      <c r="B2822" s="9"/>
      <c r="C2822" s="14" t="s">
        <v>1380</v>
      </c>
      <c r="D2822" s="14" t="s">
        <v>278</v>
      </c>
      <c r="E2822" s="18" t="s">
        <v>9</v>
      </c>
      <c r="F2822" s="17" t="s">
        <v>23</v>
      </c>
      <c r="G2822" s="17">
        <f>G2817</f>
        <v>0</v>
      </c>
      <c r="H2822" s="13">
        <f t="shared" si="44"/>
        <v>0</v>
      </c>
    </row>
    <row r="2823" spans="2:8" ht="13.5" thickBot="1" x14ac:dyDescent="0.35">
      <c r="B2823" s="9">
        <f>COUNT($B$4:B2822)+1</f>
        <v>828</v>
      </c>
      <c r="C2823" s="10" t="s">
        <v>1381</v>
      </c>
      <c r="D2823" s="10"/>
      <c r="E2823" s="11" t="s">
        <v>9</v>
      </c>
      <c r="F2823" s="12" t="s">
        <v>23</v>
      </c>
      <c r="G2823" s="12"/>
      <c r="H2823" s="13">
        <f t="shared" si="44"/>
        <v>0</v>
      </c>
    </row>
    <row r="2824" spans="2:8" ht="13.5" thickBot="1" x14ac:dyDescent="0.35">
      <c r="B2824" s="9"/>
      <c r="C2824" s="14" t="s">
        <v>449</v>
      </c>
      <c r="D2824" s="14" t="s">
        <v>278</v>
      </c>
      <c r="E2824" s="18" t="s">
        <v>0</v>
      </c>
      <c r="F2824" s="17" t="s">
        <v>23</v>
      </c>
      <c r="G2824" s="17">
        <f>G2823*8</f>
        <v>0</v>
      </c>
      <c r="H2824" s="13">
        <f t="shared" si="44"/>
        <v>0</v>
      </c>
    </row>
    <row r="2825" spans="2:8" ht="13.5" thickBot="1" x14ac:dyDescent="0.35">
      <c r="B2825" s="9"/>
      <c r="C2825" s="14" t="s">
        <v>451</v>
      </c>
      <c r="D2825" s="14" t="s">
        <v>278</v>
      </c>
      <c r="E2825" s="18" t="s">
        <v>0</v>
      </c>
      <c r="F2825" s="17" t="s">
        <v>23</v>
      </c>
      <c r="G2825" s="17">
        <f>G2823*8</f>
        <v>0</v>
      </c>
      <c r="H2825" s="13">
        <f t="shared" si="44"/>
        <v>0</v>
      </c>
    </row>
    <row r="2826" spans="2:8" ht="13.5" thickBot="1" x14ac:dyDescent="0.35">
      <c r="B2826" s="9"/>
      <c r="C2826" s="14" t="s">
        <v>452</v>
      </c>
      <c r="D2826" s="14" t="s">
        <v>278</v>
      </c>
      <c r="E2826" s="18" t="s">
        <v>0</v>
      </c>
      <c r="F2826" s="17" t="s">
        <v>23</v>
      </c>
      <c r="G2826" s="17">
        <f>G2824*8</f>
        <v>0</v>
      </c>
      <c r="H2826" s="13">
        <f t="shared" si="44"/>
        <v>0</v>
      </c>
    </row>
    <row r="2827" spans="2:8" ht="13.5" thickBot="1" x14ac:dyDescent="0.35">
      <c r="B2827" s="9"/>
      <c r="C2827" s="14" t="s">
        <v>1382</v>
      </c>
      <c r="D2827" s="14" t="s">
        <v>278</v>
      </c>
      <c r="E2827" s="18" t="s">
        <v>9</v>
      </c>
      <c r="F2827" s="17" t="s">
        <v>23</v>
      </c>
      <c r="G2827" s="17">
        <f>G2824</f>
        <v>0</v>
      </c>
      <c r="H2827" s="13">
        <f t="shared" si="44"/>
        <v>0</v>
      </c>
    </row>
    <row r="2828" spans="2:8" ht="13.5" thickBot="1" x14ac:dyDescent="0.35">
      <c r="B2828" s="9"/>
      <c r="C2828" s="14" t="s">
        <v>1383</v>
      </c>
      <c r="D2828" s="14" t="s">
        <v>278</v>
      </c>
      <c r="E2828" s="18" t="s">
        <v>9</v>
      </c>
      <c r="F2828" s="17" t="s">
        <v>23</v>
      </c>
      <c r="G2828" s="17">
        <f>G2823</f>
        <v>0</v>
      </c>
      <c r="H2828" s="13">
        <f t="shared" si="44"/>
        <v>0</v>
      </c>
    </row>
    <row r="2829" spans="2:8" ht="13.5" thickBot="1" x14ac:dyDescent="0.35">
      <c r="B2829" s="9">
        <f>COUNT($B$4:B2828)+1</f>
        <v>829</v>
      </c>
      <c r="C2829" s="10" t="s">
        <v>1384</v>
      </c>
      <c r="D2829" s="10"/>
      <c r="E2829" s="11" t="s">
        <v>9</v>
      </c>
      <c r="F2829" s="12" t="s">
        <v>23</v>
      </c>
      <c r="G2829" s="12"/>
      <c r="H2829" s="13">
        <f t="shared" si="44"/>
        <v>0</v>
      </c>
    </row>
    <row r="2830" spans="2:8" ht="13.5" thickBot="1" x14ac:dyDescent="0.35">
      <c r="B2830" s="9"/>
      <c r="C2830" s="14" t="s">
        <v>449</v>
      </c>
      <c r="D2830" s="14" t="s">
        <v>278</v>
      </c>
      <c r="E2830" s="18" t="s">
        <v>0</v>
      </c>
      <c r="F2830" s="17" t="s">
        <v>23</v>
      </c>
      <c r="G2830" s="17">
        <f>G2829*8</f>
        <v>0</v>
      </c>
      <c r="H2830" s="13">
        <f t="shared" si="44"/>
        <v>0</v>
      </c>
    </row>
    <row r="2831" spans="2:8" ht="13.5" thickBot="1" x14ac:dyDescent="0.35">
      <c r="B2831" s="9"/>
      <c r="C2831" s="14" t="s">
        <v>451</v>
      </c>
      <c r="D2831" s="14" t="s">
        <v>278</v>
      </c>
      <c r="E2831" s="18" t="s">
        <v>0</v>
      </c>
      <c r="F2831" s="17" t="s">
        <v>23</v>
      </c>
      <c r="G2831" s="17">
        <f>G2829*8</f>
        <v>0</v>
      </c>
      <c r="H2831" s="13">
        <f t="shared" si="44"/>
        <v>0</v>
      </c>
    </row>
    <row r="2832" spans="2:8" ht="13.5" thickBot="1" x14ac:dyDescent="0.35">
      <c r="B2832" s="9"/>
      <c r="C2832" s="14" t="s">
        <v>452</v>
      </c>
      <c r="D2832" s="14" t="s">
        <v>278</v>
      </c>
      <c r="E2832" s="18" t="s">
        <v>0</v>
      </c>
      <c r="F2832" s="17" t="s">
        <v>23</v>
      </c>
      <c r="G2832" s="17">
        <f>G2830*8</f>
        <v>0</v>
      </c>
      <c r="H2832" s="13">
        <f t="shared" si="44"/>
        <v>0</v>
      </c>
    </row>
    <row r="2833" spans="2:8" ht="13.5" thickBot="1" x14ac:dyDescent="0.35">
      <c r="B2833" s="9"/>
      <c r="C2833" s="14" t="s">
        <v>1385</v>
      </c>
      <c r="D2833" s="14" t="s">
        <v>278</v>
      </c>
      <c r="E2833" s="18" t="s">
        <v>9</v>
      </c>
      <c r="F2833" s="17" t="s">
        <v>23</v>
      </c>
      <c r="G2833" s="17">
        <f>G2830</f>
        <v>0</v>
      </c>
      <c r="H2833" s="13">
        <f t="shared" si="44"/>
        <v>0</v>
      </c>
    </row>
    <row r="2834" spans="2:8" ht="13.5" thickBot="1" x14ac:dyDescent="0.35">
      <c r="B2834" s="9"/>
      <c r="C2834" s="14" t="s">
        <v>1386</v>
      </c>
      <c r="D2834" s="14" t="s">
        <v>278</v>
      </c>
      <c r="E2834" s="18" t="s">
        <v>9</v>
      </c>
      <c r="F2834" s="17" t="s">
        <v>23</v>
      </c>
      <c r="G2834" s="17">
        <f>G2829</f>
        <v>0</v>
      </c>
      <c r="H2834" s="13">
        <f t="shared" si="44"/>
        <v>0</v>
      </c>
    </row>
    <row r="2835" spans="2:8" ht="13.5" thickBot="1" x14ac:dyDescent="0.35">
      <c r="B2835" s="9">
        <f>COUNT($B$4:B2834)+1</f>
        <v>830</v>
      </c>
      <c r="C2835" s="10" t="s">
        <v>1387</v>
      </c>
      <c r="D2835" s="10"/>
      <c r="E2835" s="11" t="s">
        <v>9</v>
      </c>
      <c r="F2835" s="12" t="s">
        <v>23</v>
      </c>
      <c r="G2835" s="12"/>
      <c r="H2835" s="13">
        <f t="shared" si="44"/>
        <v>0</v>
      </c>
    </row>
    <row r="2836" spans="2:8" ht="13.5" thickBot="1" x14ac:dyDescent="0.35">
      <c r="B2836" s="9"/>
      <c r="C2836" s="14" t="s">
        <v>449</v>
      </c>
      <c r="D2836" s="14" t="s">
        <v>278</v>
      </c>
      <c r="E2836" s="18" t="s">
        <v>0</v>
      </c>
      <c r="F2836" s="17" t="s">
        <v>23</v>
      </c>
      <c r="G2836" s="17">
        <f>G2835*8</f>
        <v>0</v>
      </c>
      <c r="H2836" s="13">
        <f t="shared" si="44"/>
        <v>0</v>
      </c>
    </row>
    <row r="2837" spans="2:8" ht="13.5" thickBot="1" x14ac:dyDescent="0.35">
      <c r="B2837" s="9"/>
      <c r="C2837" s="14" t="s">
        <v>451</v>
      </c>
      <c r="D2837" s="14" t="s">
        <v>278</v>
      </c>
      <c r="E2837" s="18" t="s">
        <v>0</v>
      </c>
      <c r="F2837" s="17" t="s">
        <v>23</v>
      </c>
      <c r="G2837" s="17">
        <f>G2835*8</f>
        <v>0</v>
      </c>
      <c r="H2837" s="13">
        <f t="shared" si="44"/>
        <v>0</v>
      </c>
    </row>
    <row r="2838" spans="2:8" ht="13.5" thickBot="1" x14ac:dyDescent="0.35">
      <c r="B2838" s="9"/>
      <c r="C2838" s="14" t="s">
        <v>452</v>
      </c>
      <c r="D2838" s="14" t="s">
        <v>278</v>
      </c>
      <c r="E2838" s="18" t="s">
        <v>0</v>
      </c>
      <c r="F2838" s="17" t="s">
        <v>23</v>
      </c>
      <c r="G2838" s="17">
        <f>G2836*8</f>
        <v>0</v>
      </c>
      <c r="H2838" s="13">
        <f t="shared" si="44"/>
        <v>0</v>
      </c>
    </row>
    <row r="2839" spans="2:8" ht="13.5" thickBot="1" x14ac:dyDescent="0.35">
      <c r="B2839" s="9"/>
      <c r="C2839" s="14" t="s">
        <v>1388</v>
      </c>
      <c r="D2839" s="14" t="s">
        <v>278</v>
      </c>
      <c r="E2839" s="18" t="s">
        <v>9</v>
      </c>
      <c r="F2839" s="17" t="s">
        <v>23</v>
      </c>
      <c r="G2839" s="17">
        <f>G2836</f>
        <v>0</v>
      </c>
      <c r="H2839" s="13">
        <f t="shared" si="44"/>
        <v>0</v>
      </c>
    </row>
    <row r="2840" spans="2:8" ht="13.5" thickBot="1" x14ac:dyDescent="0.35">
      <c r="B2840" s="9"/>
      <c r="C2840" s="14" t="s">
        <v>1389</v>
      </c>
      <c r="D2840" s="14" t="s">
        <v>278</v>
      </c>
      <c r="E2840" s="18" t="s">
        <v>9</v>
      </c>
      <c r="F2840" s="17" t="s">
        <v>23</v>
      </c>
      <c r="G2840" s="17">
        <f>G2835</f>
        <v>0</v>
      </c>
      <c r="H2840" s="13">
        <f t="shared" si="44"/>
        <v>0</v>
      </c>
    </row>
    <row r="2841" spans="2:8" ht="13.5" thickBot="1" x14ac:dyDescent="0.35">
      <c r="B2841" s="9">
        <f>COUNT($B$4:B2840)+1</f>
        <v>831</v>
      </c>
      <c r="C2841" s="10" t="s">
        <v>1390</v>
      </c>
      <c r="D2841" s="10"/>
      <c r="E2841" s="11" t="s">
        <v>9</v>
      </c>
      <c r="F2841" s="12" t="s">
        <v>23</v>
      </c>
      <c r="G2841" s="12"/>
      <c r="H2841" s="13">
        <f t="shared" si="44"/>
        <v>0</v>
      </c>
    </row>
    <row r="2842" spans="2:8" ht="13.5" thickBot="1" x14ac:dyDescent="0.35">
      <c r="B2842" s="9"/>
      <c r="C2842" s="14" t="s">
        <v>449</v>
      </c>
      <c r="D2842" s="14" t="s">
        <v>278</v>
      </c>
      <c r="E2842" s="18" t="s">
        <v>0</v>
      </c>
      <c r="F2842" s="17" t="s">
        <v>23</v>
      </c>
      <c r="G2842" s="17">
        <f>G2841*8</f>
        <v>0</v>
      </c>
      <c r="H2842" s="13">
        <f t="shared" si="44"/>
        <v>0</v>
      </c>
    </row>
    <row r="2843" spans="2:8" ht="13.5" thickBot="1" x14ac:dyDescent="0.35">
      <c r="B2843" s="9"/>
      <c r="C2843" s="14" t="s">
        <v>451</v>
      </c>
      <c r="D2843" s="14" t="s">
        <v>278</v>
      </c>
      <c r="E2843" s="18" t="s">
        <v>0</v>
      </c>
      <c r="F2843" s="17" t="s">
        <v>23</v>
      </c>
      <c r="G2843" s="17">
        <f>G2841*8</f>
        <v>0</v>
      </c>
      <c r="H2843" s="13">
        <f t="shared" si="44"/>
        <v>0</v>
      </c>
    </row>
    <row r="2844" spans="2:8" ht="13.5" thickBot="1" x14ac:dyDescent="0.35">
      <c r="B2844" s="9"/>
      <c r="C2844" s="14" t="s">
        <v>452</v>
      </c>
      <c r="D2844" s="14" t="s">
        <v>278</v>
      </c>
      <c r="E2844" s="18" t="s">
        <v>0</v>
      </c>
      <c r="F2844" s="17" t="s">
        <v>23</v>
      </c>
      <c r="G2844" s="17">
        <f>G2842*8</f>
        <v>0</v>
      </c>
      <c r="H2844" s="13">
        <f t="shared" si="44"/>
        <v>0</v>
      </c>
    </row>
    <row r="2845" spans="2:8" ht="13.5" thickBot="1" x14ac:dyDescent="0.35">
      <c r="B2845" s="9"/>
      <c r="C2845" s="14" t="s">
        <v>1391</v>
      </c>
      <c r="D2845" s="14" t="s">
        <v>278</v>
      </c>
      <c r="E2845" s="18" t="s">
        <v>9</v>
      </c>
      <c r="F2845" s="17" t="s">
        <v>23</v>
      </c>
      <c r="G2845" s="17">
        <f>G2842</f>
        <v>0</v>
      </c>
      <c r="H2845" s="13">
        <f t="shared" si="44"/>
        <v>0</v>
      </c>
    </row>
    <row r="2846" spans="2:8" ht="13.5" thickBot="1" x14ac:dyDescent="0.35">
      <c r="B2846" s="9"/>
      <c r="C2846" s="14" t="s">
        <v>1392</v>
      </c>
      <c r="D2846" s="14" t="s">
        <v>278</v>
      </c>
      <c r="E2846" s="18" t="s">
        <v>9</v>
      </c>
      <c r="F2846" s="17" t="s">
        <v>23</v>
      </c>
      <c r="G2846" s="17">
        <f>G2841</f>
        <v>0</v>
      </c>
      <c r="H2846" s="13">
        <f t="shared" si="44"/>
        <v>0</v>
      </c>
    </row>
    <row r="2847" spans="2:8" ht="13.5" thickBot="1" x14ac:dyDescent="0.35">
      <c r="B2847" s="9">
        <f>COUNT($B$4:B2846)+1</f>
        <v>832</v>
      </c>
      <c r="C2847" s="10" t="s">
        <v>1393</v>
      </c>
      <c r="D2847" s="10"/>
      <c r="E2847" s="11" t="s">
        <v>9</v>
      </c>
      <c r="F2847" s="12" t="s">
        <v>23</v>
      </c>
      <c r="G2847" s="12"/>
      <c r="H2847" s="13">
        <f t="shared" si="44"/>
        <v>0</v>
      </c>
    </row>
    <row r="2848" spans="2:8" ht="13.5" thickBot="1" x14ac:dyDescent="0.35">
      <c r="B2848" s="9"/>
      <c r="C2848" s="14" t="s">
        <v>449</v>
      </c>
      <c r="D2848" s="14" t="s">
        <v>278</v>
      </c>
      <c r="E2848" s="18" t="s">
        <v>0</v>
      </c>
      <c r="F2848" s="17" t="s">
        <v>23</v>
      </c>
      <c r="G2848" s="17">
        <f>G2847*8</f>
        <v>0</v>
      </c>
      <c r="H2848" s="13">
        <f t="shared" si="44"/>
        <v>0</v>
      </c>
    </row>
    <row r="2849" spans="2:8" ht="13.5" thickBot="1" x14ac:dyDescent="0.35">
      <c r="B2849" s="9"/>
      <c r="C2849" s="14" t="s">
        <v>451</v>
      </c>
      <c r="D2849" s="14" t="s">
        <v>278</v>
      </c>
      <c r="E2849" s="18" t="s">
        <v>0</v>
      </c>
      <c r="F2849" s="17" t="s">
        <v>23</v>
      </c>
      <c r="G2849" s="17">
        <f>G2847*8</f>
        <v>0</v>
      </c>
      <c r="H2849" s="13">
        <f t="shared" si="44"/>
        <v>0</v>
      </c>
    </row>
    <row r="2850" spans="2:8" ht="13.5" thickBot="1" x14ac:dyDescent="0.35">
      <c r="B2850" s="9"/>
      <c r="C2850" s="14" t="s">
        <v>452</v>
      </c>
      <c r="D2850" s="14" t="s">
        <v>278</v>
      </c>
      <c r="E2850" s="18" t="s">
        <v>0</v>
      </c>
      <c r="F2850" s="17" t="s">
        <v>23</v>
      </c>
      <c r="G2850" s="17">
        <f>G2848*8</f>
        <v>0</v>
      </c>
      <c r="H2850" s="13">
        <f t="shared" si="44"/>
        <v>0</v>
      </c>
    </row>
    <row r="2851" spans="2:8" ht="13.5" thickBot="1" x14ac:dyDescent="0.35">
      <c r="B2851" s="9"/>
      <c r="C2851" s="14" t="s">
        <v>1394</v>
      </c>
      <c r="D2851" s="14" t="s">
        <v>278</v>
      </c>
      <c r="E2851" s="18" t="s">
        <v>9</v>
      </c>
      <c r="F2851" s="17" t="s">
        <v>23</v>
      </c>
      <c r="G2851" s="17">
        <f>G2848</f>
        <v>0</v>
      </c>
      <c r="H2851" s="13">
        <f t="shared" si="44"/>
        <v>0</v>
      </c>
    </row>
    <row r="2852" spans="2:8" ht="13.5" thickBot="1" x14ac:dyDescent="0.35">
      <c r="B2852" s="9"/>
      <c r="C2852" s="14" t="s">
        <v>1395</v>
      </c>
      <c r="D2852" s="14" t="s">
        <v>278</v>
      </c>
      <c r="E2852" s="18" t="s">
        <v>9</v>
      </c>
      <c r="F2852" s="17" t="s">
        <v>23</v>
      </c>
      <c r="G2852" s="17">
        <f>G2847</f>
        <v>0</v>
      </c>
      <c r="H2852" s="13">
        <f t="shared" si="44"/>
        <v>0</v>
      </c>
    </row>
    <row r="2853" spans="2:8" ht="13.5" thickBot="1" x14ac:dyDescent="0.35">
      <c r="B2853" s="9">
        <f>COUNT($B$4:B2852)+1</f>
        <v>833</v>
      </c>
      <c r="C2853" s="10" t="s">
        <v>1396</v>
      </c>
      <c r="D2853" s="10"/>
      <c r="E2853" s="11" t="s">
        <v>9</v>
      </c>
      <c r="F2853" s="12" t="s">
        <v>23</v>
      </c>
      <c r="G2853" s="12"/>
      <c r="H2853" s="13">
        <f t="shared" si="44"/>
        <v>0</v>
      </c>
    </row>
    <row r="2854" spans="2:8" ht="13.5" thickBot="1" x14ac:dyDescent="0.35">
      <c r="B2854" s="9"/>
      <c r="C2854" s="14" t="s">
        <v>449</v>
      </c>
      <c r="D2854" s="14" t="s">
        <v>278</v>
      </c>
      <c r="E2854" s="18" t="s">
        <v>0</v>
      </c>
      <c r="F2854" s="17" t="s">
        <v>23</v>
      </c>
      <c r="G2854" s="17">
        <f>G2853*8</f>
        <v>0</v>
      </c>
      <c r="H2854" s="13">
        <f t="shared" si="44"/>
        <v>0</v>
      </c>
    </row>
    <row r="2855" spans="2:8" ht="13.5" thickBot="1" x14ac:dyDescent="0.35">
      <c r="B2855" s="9"/>
      <c r="C2855" s="14" t="s">
        <v>451</v>
      </c>
      <c r="D2855" s="14" t="s">
        <v>278</v>
      </c>
      <c r="E2855" s="18" t="s">
        <v>0</v>
      </c>
      <c r="F2855" s="17" t="s">
        <v>23</v>
      </c>
      <c r="G2855" s="17">
        <f>G2853*8</f>
        <v>0</v>
      </c>
      <c r="H2855" s="13">
        <f t="shared" si="44"/>
        <v>0</v>
      </c>
    </row>
    <row r="2856" spans="2:8" ht="13.5" thickBot="1" x14ac:dyDescent="0.35">
      <c r="B2856" s="9"/>
      <c r="C2856" s="14" t="s">
        <v>452</v>
      </c>
      <c r="D2856" s="14" t="s">
        <v>278</v>
      </c>
      <c r="E2856" s="18" t="s">
        <v>0</v>
      </c>
      <c r="F2856" s="17" t="s">
        <v>23</v>
      </c>
      <c r="G2856" s="17">
        <f>G2854*8</f>
        <v>0</v>
      </c>
      <c r="H2856" s="13">
        <f t="shared" si="44"/>
        <v>0</v>
      </c>
    </row>
    <row r="2857" spans="2:8" ht="13.5" thickBot="1" x14ac:dyDescent="0.35">
      <c r="B2857" s="9"/>
      <c r="C2857" s="14" t="s">
        <v>1397</v>
      </c>
      <c r="D2857" s="14" t="s">
        <v>278</v>
      </c>
      <c r="E2857" s="18" t="s">
        <v>9</v>
      </c>
      <c r="F2857" s="17" t="s">
        <v>23</v>
      </c>
      <c r="G2857" s="17">
        <f>G2854</f>
        <v>0</v>
      </c>
      <c r="H2857" s="13">
        <f t="shared" si="44"/>
        <v>0</v>
      </c>
    </row>
    <row r="2858" spans="2:8" ht="13.5" thickBot="1" x14ac:dyDescent="0.35">
      <c r="B2858" s="9"/>
      <c r="C2858" s="14" t="s">
        <v>1398</v>
      </c>
      <c r="D2858" s="14" t="s">
        <v>278</v>
      </c>
      <c r="E2858" s="18" t="s">
        <v>9</v>
      </c>
      <c r="F2858" s="17" t="s">
        <v>23</v>
      </c>
      <c r="G2858" s="17">
        <f>G2853</f>
        <v>0</v>
      </c>
      <c r="H2858" s="13">
        <f t="shared" si="44"/>
        <v>0</v>
      </c>
    </row>
    <row r="2859" spans="2:8" ht="13.5" thickBot="1" x14ac:dyDescent="0.35">
      <c r="B2859" s="9">
        <f>COUNT($B$4:B2858)+1</f>
        <v>834</v>
      </c>
      <c r="C2859" s="10" t="s">
        <v>1399</v>
      </c>
      <c r="D2859" s="10"/>
      <c r="E2859" s="11" t="s">
        <v>9</v>
      </c>
      <c r="F2859" s="12" t="s">
        <v>23</v>
      </c>
      <c r="G2859" s="12"/>
      <c r="H2859" s="13">
        <f t="shared" si="44"/>
        <v>0</v>
      </c>
    </row>
    <row r="2860" spans="2:8" ht="13.5" thickBot="1" x14ac:dyDescent="0.35">
      <c r="B2860" s="9"/>
      <c r="C2860" s="14" t="s">
        <v>449</v>
      </c>
      <c r="D2860" s="14" t="s">
        <v>278</v>
      </c>
      <c r="E2860" s="18" t="s">
        <v>0</v>
      </c>
      <c r="F2860" s="17" t="s">
        <v>23</v>
      </c>
      <c r="G2860" s="17">
        <f>G2859*8</f>
        <v>0</v>
      </c>
      <c r="H2860" s="13">
        <f t="shared" si="44"/>
        <v>0</v>
      </c>
    </row>
    <row r="2861" spans="2:8" ht="13.5" thickBot="1" x14ac:dyDescent="0.35">
      <c r="B2861" s="9"/>
      <c r="C2861" s="14" t="s">
        <v>451</v>
      </c>
      <c r="D2861" s="14" t="s">
        <v>278</v>
      </c>
      <c r="E2861" s="18" t="s">
        <v>0</v>
      </c>
      <c r="F2861" s="17" t="s">
        <v>23</v>
      </c>
      <c r="G2861" s="17">
        <f>G2859*8</f>
        <v>0</v>
      </c>
      <c r="H2861" s="13">
        <f t="shared" si="44"/>
        <v>0</v>
      </c>
    </row>
    <row r="2862" spans="2:8" ht="13.5" thickBot="1" x14ac:dyDescent="0.35">
      <c r="B2862" s="9"/>
      <c r="C2862" s="14" t="s">
        <v>452</v>
      </c>
      <c r="D2862" s="14" t="s">
        <v>278</v>
      </c>
      <c r="E2862" s="18" t="s">
        <v>0</v>
      </c>
      <c r="F2862" s="17" t="s">
        <v>23</v>
      </c>
      <c r="G2862" s="17">
        <f>G2860*8</f>
        <v>0</v>
      </c>
      <c r="H2862" s="13">
        <f t="shared" si="44"/>
        <v>0</v>
      </c>
    </row>
    <row r="2863" spans="2:8" ht="13.5" thickBot="1" x14ac:dyDescent="0.35">
      <c r="B2863" s="9"/>
      <c r="C2863" s="14" t="s">
        <v>1400</v>
      </c>
      <c r="D2863" s="14" t="s">
        <v>278</v>
      </c>
      <c r="E2863" s="18" t="s">
        <v>9</v>
      </c>
      <c r="F2863" s="17" t="s">
        <v>23</v>
      </c>
      <c r="G2863" s="17">
        <f>G2860</f>
        <v>0</v>
      </c>
      <c r="H2863" s="13">
        <f t="shared" si="44"/>
        <v>0</v>
      </c>
    </row>
    <row r="2864" spans="2:8" ht="13.5" thickBot="1" x14ac:dyDescent="0.35">
      <c r="B2864" s="9"/>
      <c r="C2864" s="14" t="s">
        <v>1401</v>
      </c>
      <c r="D2864" s="14" t="s">
        <v>278</v>
      </c>
      <c r="E2864" s="18" t="s">
        <v>9</v>
      </c>
      <c r="F2864" s="17" t="s">
        <v>23</v>
      </c>
      <c r="G2864" s="17">
        <f>G2859</f>
        <v>0</v>
      </c>
      <c r="H2864" s="13">
        <f t="shared" si="44"/>
        <v>0</v>
      </c>
    </row>
    <row r="2865" spans="2:8" ht="13.5" thickBot="1" x14ac:dyDescent="0.35">
      <c r="B2865" s="9">
        <f>COUNT($B$4:B2864)+1</f>
        <v>835</v>
      </c>
      <c r="C2865" s="10" t="s">
        <v>1402</v>
      </c>
      <c r="D2865" s="10"/>
      <c r="E2865" s="11" t="s">
        <v>9</v>
      </c>
      <c r="F2865" s="12" t="s">
        <v>23</v>
      </c>
      <c r="G2865" s="12"/>
      <c r="H2865" s="13">
        <f t="shared" si="44"/>
        <v>0</v>
      </c>
    </row>
    <row r="2866" spans="2:8" ht="13.5" thickBot="1" x14ac:dyDescent="0.35">
      <c r="B2866" s="9"/>
      <c r="C2866" s="14" t="s">
        <v>449</v>
      </c>
      <c r="D2866" s="14" t="s">
        <v>278</v>
      </c>
      <c r="E2866" s="18" t="s">
        <v>0</v>
      </c>
      <c r="F2866" s="17" t="s">
        <v>23</v>
      </c>
      <c r="G2866" s="17">
        <f>G2865*8</f>
        <v>0</v>
      </c>
      <c r="H2866" s="13">
        <f t="shared" si="44"/>
        <v>0</v>
      </c>
    </row>
    <row r="2867" spans="2:8" ht="13.5" thickBot="1" x14ac:dyDescent="0.35">
      <c r="B2867" s="9"/>
      <c r="C2867" s="14" t="s">
        <v>451</v>
      </c>
      <c r="D2867" s="14" t="s">
        <v>278</v>
      </c>
      <c r="E2867" s="18" t="s">
        <v>0</v>
      </c>
      <c r="F2867" s="17" t="s">
        <v>23</v>
      </c>
      <c r="G2867" s="17">
        <f>G2865*8</f>
        <v>0</v>
      </c>
      <c r="H2867" s="13">
        <f t="shared" si="44"/>
        <v>0</v>
      </c>
    </row>
    <row r="2868" spans="2:8" ht="13.5" thickBot="1" x14ac:dyDescent="0.35">
      <c r="B2868" s="9"/>
      <c r="C2868" s="14" t="s">
        <v>452</v>
      </c>
      <c r="D2868" s="14" t="s">
        <v>278</v>
      </c>
      <c r="E2868" s="18" t="s">
        <v>0</v>
      </c>
      <c r="F2868" s="17" t="s">
        <v>23</v>
      </c>
      <c r="G2868" s="17">
        <f>G2866*8</f>
        <v>0</v>
      </c>
      <c r="H2868" s="13">
        <f t="shared" si="44"/>
        <v>0</v>
      </c>
    </row>
    <row r="2869" spans="2:8" ht="13.5" thickBot="1" x14ac:dyDescent="0.35">
      <c r="B2869" s="9"/>
      <c r="C2869" s="14" t="s">
        <v>1403</v>
      </c>
      <c r="D2869" s="14" t="s">
        <v>278</v>
      </c>
      <c r="E2869" s="18" t="s">
        <v>9</v>
      </c>
      <c r="F2869" s="17" t="s">
        <v>23</v>
      </c>
      <c r="G2869" s="17">
        <f>G2866</f>
        <v>0</v>
      </c>
      <c r="H2869" s="13">
        <f t="shared" si="44"/>
        <v>0</v>
      </c>
    </row>
    <row r="2870" spans="2:8" ht="13.5" thickBot="1" x14ac:dyDescent="0.35">
      <c r="B2870" s="9"/>
      <c r="C2870" s="14" t="s">
        <v>1404</v>
      </c>
      <c r="D2870" s="14" t="s">
        <v>278</v>
      </c>
      <c r="E2870" s="18" t="s">
        <v>9</v>
      </c>
      <c r="F2870" s="17" t="s">
        <v>23</v>
      </c>
      <c r="G2870" s="17">
        <f>G2865</f>
        <v>0</v>
      </c>
      <c r="H2870" s="13">
        <f t="shared" si="44"/>
        <v>0</v>
      </c>
    </row>
    <row r="2871" spans="2:8" ht="13.5" thickBot="1" x14ac:dyDescent="0.35">
      <c r="B2871" s="9">
        <f>COUNT($B$4:B2870)+1</f>
        <v>836</v>
      </c>
      <c r="C2871" s="10" t="s">
        <v>1405</v>
      </c>
      <c r="D2871" s="10"/>
      <c r="E2871" s="11" t="s">
        <v>9</v>
      </c>
      <c r="F2871" s="12" t="s">
        <v>23</v>
      </c>
      <c r="G2871" s="12"/>
      <c r="H2871" s="13">
        <f t="shared" si="44"/>
        <v>0</v>
      </c>
    </row>
    <row r="2872" spans="2:8" ht="13.5" thickBot="1" x14ac:dyDescent="0.35">
      <c r="B2872" s="9"/>
      <c r="C2872" s="14" t="s">
        <v>449</v>
      </c>
      <c r="D2872" s="14" t="s">
        <v>278</v>
      </c>
      <c r="E2872" s="18" t="s">
        <v>0</v>
      </c>
      <c r="F2872" s="17" t="s">
        <v>23</v>
      </c>
      <c r="G2872" s="17">
        <f>G2871*8</f>
        <v>0</v>
      </c>
      <c r="H2872" s="13">
        <f t="shared" si="44"/>
        <v>0</v>
      </c>
    </row>
    <row r="2873" spans="2:8" ht="13.5" thickBot="1" x14ac:dyDescent="0.35">
      <c r="B2873" s="9"/>
      <c r="C2873" s="14" t="s">
        <v>451</v>
      </c>
      <c r="D2873" s="14" t="s">
        <v>278</v>
      </c>
      <c r="E2873" s="18" t="s">
        <v>0</v>
      </c>
      <c r="F2873" s="17" t="s">
        <v>23</v>
      </c>
      <c r="G2873" s="17">
        <f>G2871*8</f>
        <v>0</v>
      </c>
      <c r="H2873" s="13">
        <f t="shared" si="44"/>
        <v>0</v>
      </c>
    </row>
    <row r="2874" spans="2:8" ht="13.5" thickBot="1" x14ac:dyDescent="0.35">
      <c r="B2874" s="9"/>
      <c r="C2874" s="14" t="s">
        <v>452</v>
      </c>
      <c r="D2874" s="14" t="s">
        <v>278</v>
      </c>
      <c r="E2874" s="18" t="s">
        <v>0</v>
      </c>
      <c r="F2874" s="17" t="s">
        <v>23</v>
      </c>
      <c r="G2874" s="17">
        <f>G2872*8</f>
        <v>0</v>
      </c>
      <c r="H2874" s="13">
        <f t="shared" si="44"/>
        <v>0</v>
      </c>
    </row>
    <row r="2875" spans="2:8" ht="13.5" thickBot="1" x14ac:dyDescent="0.35">
      <c r="B2875" s="9"/>
      <c r="C2875" s="14" t="s">
        <v>1406</v>
      </c>
      <c r="D2875" s="14" t="s">
        <v>278</v>
      </c>
      <c r="E2875" s="18" t="s">
        <v>9</v>
      </c>
      <c r="F2875" s="17" t="s">
        <v>23</v>
      </c>
      <c r="G2875" s="17">
        <f>G2872</f>
        <v>0</v>
      </c>
      <c r="H2875" s="13">
        <f t="shared" si="44"/>
        <v>0</v>
      </c>
    </row>
    <row r="2876" spans="2:8" ht="13.5" thickBot="1" x14ac:dyDescent="0.35">
      <c r="B2876" s="9"/>
      <c r="C2876" s="14" t="s">
        <v>1407</v>
      </c>
      <c r="D2876" s="14" t="s">
        <v>278</v>
      </c>
      <c r="E2876" s="18" t="s">
        <v>9</v>
      </c>
      <c r="F2876" s="17" t="s">
        <v>23</v>
      </c>
      <c r="G2876" s="17">
        <f>G2871</f>
        <v>0</v>
      </c>
      <c r="H2876" s="13">
        <f t="shared" si="44"/>
        <v>0</v>
      </c>
    </row>
    <row r="2877" spans="2:8" ht="13.5" thickBot="1" x14ac:dyDescent="0.35">
      <c r="B2877" s="9">
        <f>COUNT($B$4:B2876)+1</f>
        <v>837</v>
      </c>
      <c r="C2877" s="10" t="s">
        <v>1408</v>
      </c>
      <c r="D2877" s="10"/>
      <c r="E2877" s="11" t="s">
        <v>9</v>
      </c>
      <c r="F2877" s="12" t="s">
        <v>23</v>
      </c>
      <c r="G2877" s="12"/>
      <c r="H2877" s="13">
        <f t="shared" si="44"/>
        <v>0</v>
      </c>
    </row>
    <row r="2878" spans="2:8" ht="13.5" thickBot="1" x14ac:dyDescent="0.35">
      <c r="B2878" s="9"/>
      <c r="C2878" s="14" t="s">
        <v>449</v>
      </c>
      <c r="D2878" s="14" t="s">
        <v>278</v>
      </c>
      <c r="E2878" s="18" t="s">
        <v>0</v>
      </c>
      <c r="F2878" s="17" t="s">
        <v>23</v>
      </c>
      <c r="G2878" s="17">
        <f>G2877*8</f>
        <v>0</v>
      </c>
      <c r="H2878" s="13">
        <f t="shared" si="44"/>
        <v>0</v>
      </c>
    </row>
    <row r="2879" spans="2:8" ht="13.5" thickBot="1" x14ac:dyDescent="0.35">
      <c r="B2879" s="9"/>
      <c r="C2879" s="14" t="s">
        <v>451</v>
      </c>
      <c r="D2879" s="14" t="s">
        <v>278</v>
      </c>
      <c r="E2879" s="18" t="s">
        <v>0</v>
      </c>
      <c r="F2879" s="17" t="s">
        <v>23</v>
      </c>
      <c r="G2879" s="17">
        <f>G2877*8</f>
        <v>0</v>
      </c>
      <c r="H2879" s="13">
        <f t="shared" si="44"/>
        <v>0</v>
      </c>
    </row>
    <row r="2880" spans="2:8" ht="13.5" thickBot="1" x14ac:dyDescent="0.35">
      <c r="B2880" s="9"/>
      <c r="C2880" s="14" t="s">
        <v>452</v>
      </c>
      <c r="D2880" s="14" t="s">
        <v>278</v>
      </c>
      <c r="E2880" s="18" t="s">
        <v>0</v>
      </c>
      <c r="F2880" s="17" t="s">
        <v>23</v>
      </c>
      <c r="G2880" s="17">
        <f>G2878*8</f>
        <v>0</v>
      </c>
      <c r="H2880" s="13">
        <f t="shared" si="44"/>
        <v>0</v>
      </c>
    </row>
    <row r="2881" spans="2:8" ht="13.5" thickBot="1" x14ac:dyDescent="0.35">
      <c r="B2881" s="9"/>
      <c r="C2881" s="14" t="s">
        <v>1409</v>
      </c>
      <c r="D2881" s="14" t="s">
        <v>278</v>
      </c>
      <c r="E2881" s="18" t="s">
        <v>9</v>
      </c>
      <c r="F2881" s="17" t="s">
        <v>23</v>
      </c>
      <c r="G2881" s="17">
        <f>G2878</f>
        <v>0</v>
      </c>
      <c r="H2881" s="13">
        <f t="shared" si="44"/>
        <v>0</v>
      </c>
    </row>
    <row r="2882" spans="2:8" ht="13.5" thickBot="1" x14ac:dyDescent="0.35">
      <c r="B2882" s="9"/>
      <c r="C2882" s="14" t="s">
        <v>1410</v>
      </c>
      <c r="D2882" s="14" t="s">
        <v>278</v>
      </c>
      <c r="E2882" s="18" t="s">
        <v>9</v>
      </c>
      <c r="F2882" s="17" t="s">
        <v>23</v>
      </c>
      <c r="G2882" s="17">
        <f>G2877</f>
        <v>0</v>
      </c>
      <c r="H2882" s="13">
        <f t="shared" si="44"/>
        <v>0</v>
      </c>
    </row>
    <row r="2883" spans="2:8" ht="13.5" thickBot="1" x14ac:dyDescent="0.35">
      <c r="B2883" s="9">
        <f>COUNT($B$4:B2882)+1</f>
        <v>838</v>
      </c>
      <c r="C2883" s="10" t="s">
        <v>1411</v>
      </c>
      <c r="D2883" s="10"/>
      <c r="E2883" s="11" t="s">
        <v>9</v>
      </c>
      <c r="F2883" s="12" t="s">
        <v>23</v>
      </c>
      <c r="G2883" s="12"/>
      <c r="H2883" s="13">
        <f t="shared" si="44"/>
        <v>0</v>
      </c>
    </row>
    <row r="2884" spans="2:8" ht="13.5" thickBot="1" x14ac:dyDescent="0.35">
      <c r="B2884" s="9"/>
      <c r="C2884" s="14" t="s">
        <v>449</v>
      </c>
      <c r="D2884" s="14" t="s">
        <v>278</v>
      </c>
      <c r="E2884" s="18" t="s">
        <v>0</v>
      </c>
      <c r="F2884" s="17" t="s">
        <v>23</v>
      </c>
      <c r="G2884" s="17">
        <f>G2883*8</f>
        <v>0</v>
      </c>
      <c r="H2884" s="13">
        <f t="shared" ref="H2884:H2947" si="45">SUM(G2884:G2884)</f>
        <v>0</v>
      </c>
    </row>
    <row r="2885" spans="2:8" ht="13.5" thickBot="1" x14ac:dyDescent="0.35">
      <c r="B2885" s="9"/>
      <c r="C2885" s="14" t="s">
        <v>451</v>
      </c>
      <c r="D2885" s="14" t="s">
        <v>278</v>
      </c>
      <c r="E2885" s="18" t="s">
        <v>0</v>
      </c>
      <c r="F2885" s="17" t="s">
        <v>23</v>
      </c>
      <c r="G2885" s="17">
        <f>G2883*8</f>
        <v>0</v>
      </c>
      <c r="H2885" s="13">
        <f t="shared" si="45"/>
        <v>0</v>
      </c>
    </row>
    <row r="2886" spans="2:8" ht="13.5" thickBot="1" x14ac:dyDescent="0.35">
      <c r="B2886" s="9"/>
      <c r="C2886" s="14" t="s">
        <v>452</v>
      </c>
      <c r="D2886" s="14" t="s">
        <v>278</v>
      </c>
      <c r="E2886" s="18" t="s">
        <v>0</v>
      </c>
      <c r="F2886" s="17" t="s">
        <v>23</v>
      </c>
      <c r="G2886" s="17">
        <f>G2884*8</f>
        <v>0</v>
      </c>
      <c r="H2886" s="13">
        <f t="shared" si="45"/>
        <v>0</v>
      </c>
    </row>
    <row r="2887" spans="2:8" ht="13.5" thickBot="1" x14ac:dyDescent="0.35">
      <c r="B2887" s="9"/>
      <c r="C2887" s="14" t="s">
        <v>1412</v>
      </c>
      <c r="D2887" s="14" t="s">
        <v>278</v>
      </c>
      <c r="E2887" s="18" t="s">
        <v>9</v>
      </c>
      <c r="F2887" s="17" t="s">
        <v>23</v>
      </c>
      <c r="G2887" s="17">
        <f>G2884</f>
        <v>0</v>
      </c>
      <c r="H2887" s="13">
        <f t="shared" si="45"/>
        <v>0</v>
      </c>
    </row>
    <row r="2888" spans="2:8" ht="13.5" thickBot="1" x14ac:dyDescent="0.35">
      <c r="B2888" s="9"/>
      <c r="C2888" s="14" t="s">
        <v>1413</v>
      </c>
      <c r="D2888" s="14" t="s">
        <v>278</v>
      </c>
      <c r="E2888" s="18" t="s">
        <v>9</v>
      </c>
      <c r="F2888" s="17" t="s">
        <v>23</v>
      </c>
      <c r="G2888" s="17">
        <f>G2883</f>
        <v>0</v>
      </c>
      <c r="H2888" s="13">
        <f t="shared" si="45"/>
        <v>0</v>
      </c>
    </row>
    <row r="2889" spans="2:8" ht="13.5" thickBot="1" x14ac:dyDescent="0.35">
      <c r="B2889" s="9">
        <f>COUNT($B$4:B2888)+1</f>
        <v>839</v>
      </c>
      <c r="C2889" s="10" t="s">
        <v>1414</v>
      </c>
      <c r="D2889" s="10"/>
      <c r="E2889" s="11" t="s">
        <v>9</v>
      </c>
      <c r="F2889" s="12" t="s">
        <v>23</v>
      </c>
      <c r="G2889" s="12"/>
      <c r="H2889" s="13">
        <f t="shared" si="45"/>
        <v>0</v>
      </c>
    </row>
    <row r="2890" spans="2:8" ht="13.5" thickBot="1" x14ac:dyDescent="0.35">
      <c r="B2890" s="9"/>
      <c r="C2890" s="14" t="s">
        <v>449</v>
      </c>
      <c r="D2890" s="14" t="s">
        <v>278</v>
      </c>
      <c r="E2890" s="18" t="s">
        <v>0</v>
      </c>
      <c r="F2890" s="17" t="s">
        <v>23</v>
      </c>
      <c r="G2890" s="17">
        <f>G2889*8</f>
        <v>0</v>
      </c>
      <c r="H2890" s="13">
        <f t="shared" si="45"/>
        <v>0</v>
      </c>
    </row>
    <row r="2891" spans="2:8" ht="13.5" thickBot="1" x14ac:dyDescent="0.35">
      <c r="B2891" s="9"/>
      <c r="C2891" s="14" t="s">
        <v>451</v>
      </c>
      <c r="D2891" s="14" t="s">
        <v>278</v>
      </c>
      <c r="E2891" s="18" t="s">
        <v>0</v>
      </c>
      <c r="F2891" s="17" t="s">
        <v>23</v>
      </c>
      <c r="G2891" s="17">
        <f>G2889*8</f>
        <v>0</v>
      </c>
      <c r="H2891" s="13">
        <f t="shared" si="45"/>
        <v>0</v>
      </c>
    </row>
    <row r="2892" spans="2:8" ht="13.5" thickBot="1" x14ac:dyDescent="0.35">
      <c r="B2892" s="9"/>
      <c r="C2892" s="14" t="s">
        <v>452</v>
      </c>
      <c r="D2892" s="14" t="s">
        <v>278</v>
      </c>
      <c r="E2892" s="18" t="s">
        <v>0</v>
      </c>
      <c r="F2892" s="17" t="s">
        <v>23</v>
      </c>
      <c r="G2892" s="17">
        <f>G2890*8</f>
        <v>0</v>
      </c>
      <c r="H2892" s="13">
        <f t="shared" si="45"/>
        <v>0</v>
      </c>
    </row>
    <row r="2893" spans="2:8" ht="13.5" thickBot="1" x14ac:dyDescent="0.35">
      <c r="B2893" s="9"/>
      <c r="C2893" s="14" t="s">
        <v>1415</v>
      </c>
      <c r="D2893" s="14" t="s">
        <v>278</v>
      </c>
      <c r="E2893" s="18" t="s">
        <v>9</v>
      </c>
      <c r="F2893" s="17" t="s">
        <v>23</v>
      </c>
      <c r="G2893" s="17">
        <f>G2890</f>
        <v>0</v>
      </c>
      <c r="H2893" s="13">
        <f t="shared" si="45"/>
        <v>0</v>
      </c>
    </row>
    <row r="2894" spans="2:8" ht="13.5" thickBot="1" x14ac:dyDescent="0.35">
      <c r="B2894" s="9"/>
      <c r="C2894" s="14" t="s">
        <v>1416</v>
      </c>
      <c r="D2894" s="14" t="s">
        <v>278</v>
      </c>
      <c r="E2894" s="18" t="s">
        <v>9</v>
      </c>
      <c r="F2894" s="17" t="s">
        <v>23</v>
      </c>
      <c r="G2894" s="17">
        <f>G2889</f>
        <v>0</v>
      </c>
      <c r="H2894" s="13">
        <f t="shared" si="45"/>
        <v>0</v>
      </c>
    </row>
    <row r="2895" spans="2:8" ht="13.5" thickBot="1" x14ac:dyDescent="0.35">
      <c r="B2895" s="9">
        <f>COUNT($B$4:B2894)+1</f>
        <v>840</v>
      </c>
      <c r="C2895" s="10" t="s">
        <v>1417</v>
      </c>
      <c r="D2895" s="10"/>
      <c r="E2895" s="11" t="s">
        <v>9</v>
      </c>
      <c r="F2895" s="12" t="s">
        <v>23</v>
      </c>
      <c r="G2895" s="12"/>
      <c r="H2895" s="13">
        <f t="shared" si="45"/>
        <v>0</v>
      </c>
    </row>
    <row r="2896" spans="2:8" ht="13.5" thickBot="1" x14ac:dyDescent="0.35">
      <c r="B2896" s="9"/>
      <c r="C2896" s="14" t="s">
        <v>449</v>
      </c>
      <c r="D2896" s="14" t="s">
        <v>278</v>
      </c>
      <c r="E2896" s="18" t="s">
        <v>0</v>
      </c>
      <c r="F2896" s="17" t="s">
        <v>23</v>
      </c>
      <c r="G2896" s="17">
        <f>G2895*8</f>
        <v>0</v>
      </c>
      <c r="H2896" s="13">
        <f t="shared" si="45"/>
        <v>0</v>
      </c>
    </row>
    <row r="2897" spans="2:8" ht="13.5" thickBot="1" x14ac:dyDescent="0.35">
      <c r="B2897" s="9"/>
      <c r="C2897" s="14" t="s">
        <v>451</v>
      </c>
      <c r="D2897" s="14" t="s">
        <v>278</v>
      </c>
      <c r="E2897" s="18" t="s">
        <v>0</v>
      </c>
      <c r="F2897" s="17" t="s">
        <v>23</v>
      </c>
      <c r="G2897" s="17">
        <f>G2895*8</f>
        <v>0</v>
      </c>
      <c r="H2897" s="13">
        <f t="shared" si="45"/>
        <v>0</v>
      </c>
    </row>
    <row r="2898" spans="2:8" ht="13.5" thickBot="1" x14ac:dyDescent="0.35">
      <c r="B2898" s="9"/>
      <c r="C2898" s="14" t="s">
        <v>452</v>
      </c>
      <c r="D2898" s="14" t="s">
        <v>278</v>
      </c>
      <c r="E2898" s="18" t="s">
        <v>0</v>
      </c>
      <c r="F2898" s="17" t="s">
        <v>23</v>
      </c>
      <c r="G2898" s="17">
        <f>G2896*8</f>
        <v>0</v>
      </c>
      <c r="H2898" s="13">
        <f t="shared" si="45"/>
        <v>0</v>
      </c>
    </row>
    <row r="2899" spans="2:8" ht="13.5" thickBot="1" x14ac:dyDescent="0.35">
      <c r="B2899" s="9"/>
      <c r="C2899" s="14" t="s">
        <v>1418</v>
      </c>
      <c r="D2899" s="14" t="s">
        <v>278</v>
      </c>
      <c r="E2899" s="18" t="s">
        <v>9</v>
      </c>
      <c r="F2899" s="17" t="s">
        <v>23</v>
      </c>
      <c r="G2899" s="17">
        <f>G2896</f>
        <v>0</v>
      </c>
      <c r="H2899" s="13">
        <f t="shared" si="45"/>
        <v>0</v>
      </c>
    </row>
    <row r="2900" spans="2:8" ht="13.5" thickBot="1" x14ac:dyDescent="0.35">
      <c r="B2900" s="9"/>
      <c r="C2900" s="14" t="s">
        <v>1419</v>
      </c>
      <c r="D2900" s="14" t="s">
        <v>278</v>
      </c>
      <c r="E2900" s="18" t="s">
        <v>9</v>
      </c>
      <c r="F2900" s="17" t="s">
        <v>23</v>
      </c>
      <c r="G2900" s="17">
        <f>G2895</f>
        <v>0</v>
      </c>
      <c r="H2900" s="13">
        <f t="shared" si="45"/>
        <v>0</v>
      </c>
    </row>
    <row r="2901" spans="2:8" ht="13.5" thickBot="1" x14ac:dyDescent="0.35">
      <c r="B2901" s="9">
        <f>COUNT($B$4:B2900)+1</f>
        <v>841</v>
      </c>
      <c r="C2901" s="10" t="s">
        <v>1420</v>
      </c>
      <c r="D2901" s="10"/>
      <c r="E2901" s="11" t="s">
        <v>9</v>
      </c>
      <c r="F2901" s="12" t="s">
        <v>23</v>
      </c>
      <c r="G2901" s="12"/>
      <c r="H2901" s="13">
        <f t="shared" si="45"/>
        <v>0</v>
      </c>
    </row>
    <row r="2902" spans="2:8" ht="13.5" thickBot="1" x14ac:dyDescent="0.35">
      <c r="B2902" s="9"/>
      <c r="C2902" s="14" t="s">
        <v>449</v>
      </c>
      <c r="D2902" s="14" t="s">
        <v>278</v>
      </c>
      <c r="E2902" s="18" t="s">
        <v>0</v>
      </c>
      <c r="F2902" s="17" t="s">
        <v>23</v>
      </c>
      <c r="G2902" s="17">
        <f>G2901*8</f>
        <v>0</v>
      </c>
      <c r="H2902" s="13">
        <f t="shared" si="45"/>
        <v>0</v>
      </c>
    </row>
    <row r="2903" spans="2:8" ht="13.5" thickBot="1" x14ac:dyDescent="0.35">
      <c r="B2903" s="9"/>
      <c r="C2903" s="14" t="s">
        <v>451</v>
      </c>
      <c r="D2903" s="14" t="s">
        <v>278</v>
      </c>
      <c r="E2903" s="18" t="s">
        <v>0</v>
      </c>
      <c r="F2903" s="17" t="s">
        <v>23</v>
      </c>
      <c r="G2903" s="17">
        <f>G2901*8</f>
        <v>0</v>
      </c>
      <c r="H2903" s="13">
        <f t="shared" si="45"/>
        <v>0</v>
      </c>
    </row>
    <row r="2904" spans="2:8" ht="13.5" thickBot="1" x14ac:dyDescent="0.35">
      <c r="B2904" s="9"/>
      <c r="C2904" s="14" t="s">
        <v>452</v>
      </c>
      <c r="D2904" s="14" t="s">
        <v>278</v>
      </c>
      <c r="E2904" s="18" t="s">
        <v>0</v>
      </c>
      <c r="F2904" s="17" t="s">
        <v>23</v>
      </c>
      <c r="G2904" s="17">
        <f>G2902*8</f>
        <v>0</v>
      </c>
      <c r="H2904" s="13">
        <f t="shared" si="45"/>
        <v>0</v>
      </c>
    </row>
    <row r="2905" spans="2:8" ht="13.5" thickBot="1" x14ac:dyDescent="0.35">
      <c r="B2905" s="9"/>
      <c r="C2905" s="14" t="s">
        <v>1421</v>
      </c>
      <c r="D2905" s="14" t="s">
        <v>278</v>
      </c>
      <c r="E2905" s="18" t="s">
        <v>9</v>
      </c>
      <c r="F2905" s="17" t="s">
        <v>23</v>
      </c>
      <c r="G2905" s="17">
        <f>G2902</f>
        <v>0</v>
      </c>
      <c r="H2905" s="13">
        <f t="shared" si="45"/>
        <v>0</v>
      </c>
    </row>
    <row r="2906" spans="2:8" ht="13.5" thickBot="1" x14ac:dyDescent="0.35">
      <c r="B2906" s="9"/>
      <c r="C2906" s="14" t="s">
        <v>1422</v>
      </c>
      <c r="D2906" s="14" t="s">
        <v>278</v>
      </c>
      <c r="E2906" s="18" t="s">
        <v>9</v>
      </c>
      <c r="F2906" s="17" t="s">
        <v>23</v>
      </c>
      <c r="G2906" s="17">
        <f>G2901</f>
        <v>0</v>
      </c>
      <c r="H2906" s="13">
        <f t="shared" si="45"/>
        <v>0</v>
      </c>
    </row>
    <row r="2907" spans="2:8" ht="13.5" thickBot="1" x14ac:dyDescent="0.35">
      <c r="B2907" s="9">
        <f>COUNT($B$4:B2906)+1</f>
        <v>842</v>
      </c>
      <c r="C2907" s="10" t="s">
        <v>1423</v>
      </c>
      <c r="D2907" s="10"/>
      <c r="E2907" s="11" t="s">
        <v>9</v>
      </c>
      <c r="F2907" s="12" t="s">
        <v>23</v>
      </c>
      <c r="G2907" s="12"/>
      <c r="H2907" s="13">
        <f t="shared" si="45"/>
        <v>0</v>
      </c>
    </row>
    <row r="2908" spans="2:8" ht="13.5" thickBot="1" x14ac:dyDescent="0.35">
      <c r="B2908" s="9"/>
      <c r="C2908" s="14" t="s">
        <v>449</v>
      </c>
      <c r="D2908" s="14" t="s">
        <v>278</v>
      </c>
      <c r="E2908" s="18" t="s">
        <v>0</v>
      </c>
      <c r="F2908" s="17" t="s">
        <v>23</v>
      </c>
      <c r="G2908" s="17">
        <f>G2907*8</f>
        <v>0</v>
      </c>
      <c r="H2908" s="13">
        <f t="shared" si="45"/>
        <v>0</v>
      </c>
    </row>
    <row r="2909" spans="2:8" ht="13.5" thickBot="1" x14ac:dyDescent="0.35">
      <c r="B2909" s="9"/>
      <c r="C2909" s="14" t="s">
        <v>451</v>
      </c>
      <c r="D2909" s="14" t="s">
        <v>278</v>
      </c>
      <c r="E2909" s="18" t="s">
        <v>0</v>
      </c>
      <c r="F2909" s="17" t="s">
        <v>23</v>
      </c>
      <c r="G2909" s="17">
        <f>G2907*8</f>
        <v>0</v>
      </c>
      <c r="H2909" s="13">
        <f t="shared" si="45"/>
        <v>0</v>
      </c>
    </row>
    <row r="2910" spans="2:8" ht="13.5" thickBot="1" x14ac:dyDescent="0.35">
      <c r="B2910" s="9"/>
      <c r="C2910" s="14" t="s">
        <v>452</v>
      </c>
      <c r="D2910" s="14" t="s">
        <v>278</v>
      </c>
      <c r="E2910" s="18" t="s">
        <v>0</v>
      </c>
      <c r="F2910" s="17" t="s">
        <v>23</v>
      </c>
      <c r="G2910" s="17">
        <f>G2908*8</f>
        <v>0</v>
      </c>
      <c r="H2910" s="13">
        <f t="shared" si="45"/>
        <v>0</v>
      </c>
    </row>
    <row r="2911" spans="2:8" ht="13.5" thickBot="1" x14ac:dyDescent="0.35">
      <c r="B2911" s="9"/>
      <c r="C2911" s="14" t="s">
        <v>1424</v>
      </c>
      <c r="D2911" s="14" t="s">
        <v>278</v>
      </c>
      <c r="E2911" s="18" t="s">
        <v>9</v>
      </c>
      <c r="F2911" s="17" t="s">
        <v>23</v>
      </c>
      <c r="G2911" s="17">
        <f>G2908</f>
        <v>0</v>
      </c>
      <c r="H2911" s="13">
        <f t="shared" si="45"/>
        <v>0</v>
      </c>
    </row>
    <row r="2912" spans="2:8" ht="13.5" thickBot="1" x14ac:dyDescent="0.35">
      <c r="B2912" s="9"/>
      <c r="C2912" s="14" t="s">
        <v>1425</v>
      </c>
      <c r="D2912" s="14" t="s">
        <v>278</v>
      </c>
      <c r="E2912" s="18" t="s">
        <v>9</v>
      </c>
      <c r="F2912" s="17" t="s">
        <v>23</v>
      </c>
      <c r="G2912" s="17">
        <f>G2907</f>
        <v>0</v>
      </c>
      <c r="H2912" s="13">
        <f t="shared" si="45"/>
        <v>0</v>
      </c>
    </row>
    <row r="2913" spans="2:8" ht="13.5" thickBot="1" x14ac:dyDescent="0.35">
      <c r="B2913" s="9">
        <f>COUNT($B$4:B2912)+1</f>
        <v>843</v>
      </c>
      <c r="C2913" s="10" t="s">
        <v>1426</v>
      </c>
      <c r="D2913" s="10"/>
      <c r="E2913" s="11" t="s">
        <v>9</v>
      </c>
      <c r="F2913" s="12" t="s">
        <v>23</v>
      </c>
      <c r="G2913" s="12"/>
      <c r="H2913" s="13">
        <f t="shared" si="45"/>
        <v>0</v>
      </c>
    </row>
    <row r="2914" spans="2:8" ht="13.5" thickBot="1" x14ac:dyDescent="0.35">
      <c r="B2914" s="9"/>
      <c r="C2914" s="14" t="s">
        <v>449</v>
      </c>
      <c r="D2914" s="14" t="s">
        <v>278</v>
      </c>
      <c r="E2914" s="18" t="s">
        <v>0</v>
      </c>
      <c r="F2914" s="17" t="s">
        <v>23</v>
      </c>
      <c r="G2914" s="17">
        <f>G2913*8</f>
        <v>0</v>
      </c>
      <c r="H2914" s="13">
        <f t="shared" si="45"/>
        <v>0</v>
      </c>
    </row>
    <row r="2915" spans="2:8" ht="13.5" thickBot="1" x14ac:dyDescent="0.35">
      <c r="B2915" s="9"/>
      <c r="C2915" s="14" t="s">
        <v>451</v>
      </c>
      <c r="D2915" s="14" t="s">
        <v>278</v>
      </c>
      <c r="E2915" s="18" t="s">
        <v>0</v>
      </c>
      <c r="F2915" s="17" t="s">
        <v>23</v>
      </c>
      <c r="G2915" s="17">
        <f>G2913*8</f>
        <v>0</v>
      </c>
      <c r="H2915" s="13">
        <f t="shared" si="45"/>
        <v>0</v>
      </c>
    </row>
    <row r="2916" spans="2:8" ht="13.5" thickBot="1" x14ac:dyDescent="0.35">
      <c r="B2916" s="9"/>
      <c r="C2916" s="14" t="s">
        <v>452</v>
      </c>
      <c r="D2916" s="14" t="s">
        <v>278</v>
      </c>
      <c r="E2916" s="18" t="s">
        <v>0</v>
      </c>
      <c r="F2916" s="17" t="s">
        <v>23</v>
      </c>
      <c r="G2916" s="17">
        <f>G2914*8</f>
        <v>0</v>
      </c>
      <c r="H2916" s="13">
        <f t="shared" si="45"/>
        <v>0</v>
      </c>
    </row>
    <row r="2917" spans="2:8" ht="13.5" thickBot="1" x14ac:dyDescent="0.35">
      <c r="B2917" s="9"/>
      <c r="C2917" s="14" t="s">
        <v>1427</v>
      </c>
      <c r="D2917" s="14" t="s">
        <v>278</v>
      </c>
      <c r="E2917" s="18" t="s">
        <v>9</v>
      </c>
      <c r="F2917" s="17" t="s">
        <v>23</v>
      </c>
      <c r="G2917" s="17">
        <f>G2914</f>
        <v>0</v>
      </c>
      <c r="H2917" s="13">
        <f t="shared" si="45"/>
        <v>0</v>
      </c>
    </row>
    <row r="2918" spans="2:8" ht="13.5" thickBot="1" x14ac:dyDescent="0.35">
      <c r="B2918" s="9"/>
      <c r="C2918" s="14" t="s">
        <v>1428</v>
      </c>
      <c r="D2918" s="14" t="s">
        <v>278</v>
      </c>
      <c r="E2918" s="18" t="s">
        <v>9</v>
      </c>
      <c r="F2918" s="17" t="s">
        <v>23</v>
      </c>
      <c r="G2918" s="17">
        <f>G2913</f>
        <v>0</v>
      </c>
      <c r="H2918" s="13">
        <f t="shared" si="45"/>
        <v>0</v>
      </c>
    </row>
    <row r="2919" spans="2:8" ht="13.5" thickBot="1" x14ac:dyDescent="0.35">
      <c r="B2919" s="9">
        <f>COUNT($B$4:B2918)+1</f>
        <v>844</v>
      </c>
      <c r="C2919" s="10" t="s">
        <v>1429</v>
      </c>
      <c r="D2919" s="10"/>
      <c r="E2919" s="11" t="s">
        <v>9</v>
      </c>
      <c r="F2919" s="12" t="s">
        <v>23</v>
      </c>
      <c r="G2919" s="12"/>
      <c r="H2919" s="13">
        <f t="shared" si="45"/>
        <v>0</v>
      </c>
    </row>
    <row r="2920" spans="2:8" ht="13.5" thickBot="1" x14ac:dyDescent="0.35">
      <c r="B2920" s="9"/>
      <c r="C2920" s="14" t="s">
        <v>449</v>
      </c>
      <c r="D2920" s="14" t="s">
        <v>278</v>
      </c>
      <c r="E2920" s="18" t="s">
        <v>0</v>
      </c>
      <c r="F2920" s="17" t="s">
        <v>23</v>
      </c>
      <c r="G2920" s="17">
        <f>G2919*8</f>
        <v>0</v>
      </c>
      <c r="H2920" s="13">
        <f t="shared" si="45"/>
        <v>0</v>
      </c>
    </row>
    <row r="2921" spans="2:8" ht="13.5" thickBot="1" x14ac:dyDescent="0.35">
      <c r="B2921" s="9"/>
      <c r="C2921" s="14" t="s">
        <v>451</v>
      </c>
      <c r="D2921" s="14" t="s">
        <v>278</v>
      </c>
      <c r="E2921" s="18" t="s">
        <v>0</v>
      </c>
      <c r="F2921" s="17" t="s">
        <v>23</v>
      </c>
      <c r="G2921" s="17">
        <f>G2919*8</f>
        <v>0</v>
      </c>
      <c r="H2921" s="13">
        <f t="shared" si="45"/>
        <v>0</v>
      </c>
    </row>
    <row r="2922" spans="2:8" ht="13.5" thickBot="1" x14ac:dyDescent="0.35">
      <c r="B2922" s="9"/>
      <c r="C2922" s="14" t="s">
        <v>452</v>
      </c>
      <c r="D2922" s="14" t="s">
        <v>278</v>
      </c>
      <c r="E2922" s="18" t="s">
        <v>0</v>
      </c>
      <c r="F2922" s="17" t="s">
        <v>23</v>
      </c>
      <c r="G2922" s="17">
        <f>G2920*8</f>
        <v>0</v>
      </c>
      <c r="H2922" s="13">
        <f t="shared" si="45"/>
        <v>0</v>
      </c>
    </row>
    <row r="2923" spans="2:8" ht="13.5" thickBot="1" x14ac:dyDescent="0.35">
      <c r="B2923" s="9"/>
      <c r="C2923" s="14" t="s">
        <v>1430</v>
      </c>
      <c r="D2923" s="14" t="s">
        <v>278</v>
      </c>
      <c r="E2923" s="18" t="s">
        <v>9</v>
      </c>
      <c r="F2923" s="17" t="s">
        <v>23</v>
      </c>
      <c r="G2923" s="17">
        <f>G2920</f>
        <v>0</v>
      </c>
      <c r="H2923" s="13">
        <f t="shared" si="45"/>
        <v>0</v>
      </c>
    </row>
    <row r="2924" spans="2:8" ht="13.5" thickBot="1" x14ac:dyDescent="0.35">
      <c r="B2924" s="9"/>
      <c r="C2924" s="14" t="s">
        <v>1431</v>
      </c>
      <c r="D2924" s="14" t="s">
        <v>278</v>
      </c>
      <c r="E2924" s="18" t="s">
        <v>9</v>
      </c>
      <c r="F2924" s="17" t="s">
        <v>23</v>
      </c>
      <c r="G2924" s="17">
        <f>G2919</f>
        <v>0</v>
      </c>
      <c r="H2924" s="13">
        <f t="shared" si="45"/>
        <v>0</v>
      </c>
    </row>
    <row r="2925" spans="2:8" ht="13.5" thickBot="1" x14ac:dyDescent="0.35">
      <c r="B2925" s="9">
        <f>COUNT($B$4:B2924)+1</f>
        <v>845</v>
      </c>
      <c r="C2925" s="10" t="s">
        <v>1432</v>
      </c>
      <c r="D2925" s="10"/>
      <c r="E2925" s="11" t="s">
        <v>9</v>
      </c>
      <c r="F2925" s="12" t="s">
        <v>23</v>
      </c>
      <c r="G2925" s="12"/>
      <c r="H2925" s="13">
        <f t="shared" si="45"/>
        <v>0</v>
      </c>
    </row>
    <row r="2926" spans="2:8" ht="13.5" thickBot="1" x14ac:dyDescent="0.35">
      <c r="B2926" s="9"/>
      <c r="C2926" s="14" t="s">
        <v>449</v>
      </c>
      <c r="D2926" s="14" t="s">
        <v>278</v>
      </c>
      <c r="E2926" s="18" t="s">
        <v>0</v>
      </c>
      <c r="F2926" s="17" t="s">
        <v>23</v>
      </c>
      <c r="G2926" s="17">
        <f>G2925*8</f>
        <v>0</v>
      </c>
      <c r="H2926" s="13">
        <f t="shared" si="45"/>
        <v>0</v>
      </c>
    </row>
    <row r="2927" spans="2:8" ht="13.5" thickBot="1" x14ac:dyDescent="0.35">
      <c r="B2927" s="9"/>
      <c r="C2927" s="14" t="s">
        <v>451</v>
      </c>
      <c r="D2927" s="14" t="s">
        <v>278</v>
      </c>
      <c r="E2927" s="18" t="s">
        <v>0</v>
      </c>
      <c r="F2927" s="17" t="s">
        <v>23</v>
      </c>
      <c r="G2927" s="17">
        <f>G2925*8</f>
        <v>0</v>
      </c>
      <c r="H2927" s="13">
        <f t="shared" si="45"/>
        <v>0</v>
      </c>
    </row>
    <row r="2928" spans="2:8" ht="13.5" thickBot="1" x14ac:dyDescent="0.35">
      <c r="B2928" s="9"/>
      <c r="C2928" s="14" t="s">
        <v>452</v>
      </c>
      <c r="D2928" s="14" t="s">
        <v>278</v>
      </c>
      <c r="E2928" s="18" t="s">
        <v>0</v>
      </c>
      <c r="F2928" s="17" t="s">
        <v>23</v>
      </c>
      <c r="G2928" s="17">
        <f>G2926*8</f>
        <v>0</v>
      </c>
      <c r="H2928" s="13">
        <f t="shared" si="45"/>
        <v>0</v>
      </c>
    </row>
    <row r="2929" spans="2:8" ht="13.5" thickBot="1" x14ac:dyDescent="0.35">
      <c r="B2929" s="9"/>
      <c r="C2929" s="14" t="s">
        <v>1433</v>
      </c>
      <c r="D2929" s="14" t="s">
        <v>278</v>
      </c>
      <c r="E2929" s="18" t="s">
        <v>9</v>
      </c>
      <c r="F2929" s="17" t="s">
        <v>23</v>
      </c>
      <c r="G2929" s="17">
        <f>G2926</f>
        <v>0</v>
      </c>
      <c r="H2929" s="13">
        <f t="shared" si="45"/>
        <v>0</v>
      </c>
    </row>
    <row r="2930" spans="2:8" ht="13.5" thickBot="1" x14ac:dyDescent="0.35">
      <c r="B2930" s="9"/>
      <c r="C2930" s="14" t="s">
        <v>1434</v>
      </c>
      <c r="D2930" s="14" t="s">
        <v>278</v>
      </c>
      <c r="E2930" s="18" t="s">
        <v>9</v>
      </c>
      <c r="F2930" s="17" t="s">
        <v>23</v>
      </c>
      <c r="G2930" s="17">
        <f>G2925</f>
        <v>0</v>
      </c>
      <c r="H2930" s="13">
        <f t="shared" si="45"/>
        <v>0</v>
      </c>
    </row>
    <row r="2931" spans="2:8" ht="13.5" thickBot="1" x14ac:dyDescent="0.35">
      <c r="B2931" s="9">
        <f>COUNT($B$4:B2930)+1</f>
        <v>846</v>
      </c>
      <c r="C2931" s="10" t="s">
        <v>1435</v>
      </c>
      <c r="D2931" s="10"/>
      <c r="E2931" s="11" t="s">
        <v>9</v>
      </c>
      <c r="F2931" s="12" t="s">
        <v>23</v>
      </c>
      <c r="G2931" s="12"/>
      <c r="H2931" s="13">
        <f t="shared" si="45"/>
        <v>0</v>
      </c>
    </row>
    <row r="2932" spans="2:8" ht="13.5" thickBot="1" x14ac:dyDescent="0.35">
      <c r="B2932" s="9"/>
      <c r="C2932" s="14" t="s">
        <v>449</v>
      </c>
      <c r="D2932" s="14" t="s">
        <v>278</v>
      </c>
      <c r="E2932" s="18" t="s">
        <v>0</v>
      </c>
      <c r="F2932" s="17" t="s">
        <v>23</v>
      </c>
      <c r="G2932" s="17">
        <f>G2931*8</f>
        <v>0</v>
      </c>
      <c r="H2932" s="13">
        <f t="shared" si="45"/>
        <v>0</v>
      </c>
    </row>
    <row r="2933" spans="2:8" ht="13.5" thickBot="1" x14ac:dyDescent="0.35">
      <c r="B2933" s="9"/>
      <c r="C2933" s="14" t="s">
        <v>451</v>
      </c>
      <c r="D2933" s="14" t="s">
        <v>278</v>
      </c>
      <c r="E2933" s="18" t="s">
        <v>0</v>
      </c>
      <c r="F2933" s="17" t="s">
        <v>23</v>
      </c>
      <c r="G2933" s="17">
        <f>G2931*8</f>
        <v>0</v>
      </c>
      <c r="H2933" s="13">
        <f t="shared" si="45"/>
        <v>0</v>
      </c>
    </row>
    <row r="2934" spans="2:8" ht="13.5" thickBot="1" x14ac:dyDescent="0.35">
      <c r="B2934" s="9"/>
      <c r="C2934" s="14" t="s">
        <v>452</v>
      </c>
      <c r="D2934" s="14" t="s">
        <v>278</v>
      </c>
      <c r="E2934" s="18" t="s">
        <v>0</v>
      </c>
      <c r="F2934" s="17" t="s">
        <v>23</v>
      </c>
      <c r="G2934" s="17">
        <f>G2932*8</f>
        <v>0</v>
      </c>
      <c r="H2934" s="13">
        <f t="shared" si="45"/>
        <v>0</v>
      </c>
    </row>
    <row r="2935" spans="2:8" ht="13.5" thickBot="1" x14ac:dyDescent="0.35">
      <c r="B2935" s="9"/>
      <c r="C2935" s="14" t="s">
        <v>1436</v>
      </c>
      <c r="D2935" s="14" t="s">
        <v>278</v>
      </c>
      <c r="E2935" s="18" t="s">
        <v>9</v>
      </c>
      <c r="F2935" s="17" t="s">
        <v>23</v>
      </c>
      <c r="G2935" s="17">
        <f>G2932</f>
        <v>0</v>
      </c>
      <c r="H2935" s="13">
        <f t="shared" si="45"/>
        <v>0</v>
      </c>
    </row>
    <row r="2936" spans="2:8" ht="13.5" thickBot="1" x14ac:dyDescent="0.35">
      <c r="B2936" s="9"/>
      <c r="C2936" s="14" t="s">
        <v>1437</v>
      </c>
      <c r="D2936" s="14" t="s">
        <v>278</v>
      </c>
      <c r="E2936" s="18" t="s">
        <v>9</v>
      </c>
      <c r="F2936" s="17" t="s">
        <v>23</v>
      </c>
      <c r="G2936" s="17">
        <f>G2931</f>
        <v>0</v>
      </c>
      <c r="H2936" s="13">
        <f t="shared" si="45"/>
        <v>0</v>
      </c>
    </row>
    <row r="2937" spans="2:8" ht="13.5" thickBot="1" x14ac:dyDescent="0.35">
      <c r="B2937" s="9">
        <f>COUNT($B$4:B2936)+1</f>
        <v>847</v>
      </c>
      <c r="C2937" s="10" t="s">
        <v>1438</v>
      </c>
      <c r="D2937" s="10"/>
      <c r="E2937" s="11" t="s">
        <v>9</v>
      </c>
      <c r="F2937" s="12" t="s">
        <v>23</v>
      </c>
      <c r="G2937" s="12"/>
      <c r="H2937" s="13">
        <f t="shared" si="45"/>
        <v>0</v>
      </c>
    </row>
    <row r="2938" spans="2:8" ht="13.5" thickBot="1" x14ac:dyDescent="0.35">
      <c r="B2938" s="9"/>
      <c r="C2938" s="14" t="s">
        <v>449</v>
      </c>
      <c r="D2938" s="14" t="s">
        <v>278</v>
      </c>
      <c r="E2938" s="18" t="s">
        <v>0</v>
      </c>
      <c r="F2938" s="17" t="s">
        <v>23</v>
      </c>
      <c r="G2938" s="17">
        <f>G2937*8</f>
        <v>0</v>
      </c>
      <c r="H2938" s="13">
        <f t="shared" si="45"/>
        <v>0</v>
      </c>
    </row>
    <row r="2939" spans="2:8" ht="13.5" thickBot="1" x14ac:dyDescent="0.35">
      <c r="B2939" s="9"/>
      <c r="C2939" s="14" t="s">
        <v>451</v>
      </c>
      <c r="D2939" s="14" t="s">
        <v>278</v>
      </c>
      <c r="E2939" s="18" t="s">
        <v>0</v>
      </c>
      <c r="F2939" s="17" t="s">
        <v>23</v>
      </c>
      <c r="G2939" s="17">
        <f>G2937*8</f>
        <v>0</v>
      </c>
      <c r="H2939" s="13">
        <f t="shared" si="45"/>
        <v>0</v>
      </c>
    </row>
    <row r="2940" spans="2:8" ht="13.5" thickBot="1" x14ac:dyDescent="0.35">
      <c r="B2940" s="9"/>
      <c r="C2940" s="14" t="s">
        <v>452</v>
      </c>
      <c r="D2940" s="14" t="s">
        <v>278</v>
      </c>
      <c r="E2940" s="18" t="s">
        <v>0</v>
      </c>
      <c r="F2940" s="17" t="s">
        <v>23</v>
      </c>
      <c r="G2940" s="17">
        <f>G2938*8</f>
        <v>0</v>
      </c>
      <c r="H2940" s="13">
        <f t="shared" si="45"/>
        <v>0</v>
      </c>
    </row>
    <row r="2941" spans="2:8" ht="13.5" thickBot="1" x14ac:dyDescent="0.35">
      <c r="B2941" s="9"/>
      <c r="C2941" s="14" t="s">
        <v>1439</v>
      </c>
      <c r="D2941" s="14" t="s">
        <v>278</v>
      </c>
      <c r="E2941" s="18" t="s">
        <v>9</v>
      </c>
      <c r="F2941" s="17" t="s">
        <v>23</v>
      </c>
      <c r="G2941" s="17">
        <f>G2938</f>
        <v>0</v>
      </c>
      <c r="H2941" s="13">
        <f t="shared" si="45"/>
        <v>0</v>
      </c>
    </row>
    <row r="2942" spans="2:8" ht="13.5" thickBot="1" x14ac:dyDescent="0.35">
      <c r="B2942" s="9"/>
      <c r="C2942" s="14" t="s">
        <v>1440</v>
      </c>
      <c r="D2942" s="14" t="s">
        <v>278</v>
      </c>
      <c r="E2942" s="18" t="s">
        <v>9</v>
      </c>
      <c r="F2942" s="17" t="s">
        <v>23</v>
      </c>
      <c r="G2942" s="17">
        <f>G2937</f>
        <v>0</v>
      </c>
      <c r="H2942" s="13">
        <f t="shared" si="45"/>
        <v>0</v>
      </c>
    </row>
    <row r="2943" spans="2:8" ht="13.5" thickBot="1" x14ac:dyDescent="0.35">
      <c r="B2943" s="9">
        <f>COUNT($B$4:B2942)+1</f>
        <v>848</v>
      </c>
      <c r="C2943" s="10" t="s">
        <v>1441</v>
      </c>
      <c r="D2943" s="10"/>
      <c r="E2943" s="11" t="s">
        <v>9</v>
      </c>
      <c r="F2943" s="12" t="s">
        <v>23</v>
      </c>
      <c r="G2943" s="12"/>
      <c r="H2943" s="13">
        <f t="shared" si="45"/>
        <v>0</v>
      </c>
    </row>
    <row r="2944" spans="2:8" ht="13.5" thickBot="1" x14ac:dyDescent="0.35">
      <c r="B2944" s="9"/>
      <c r="C2944" s="14" t="s">
        <v>449</v>
      </c>
      <c r="D2944" s="14" t="s">
        <v>278</v>
      </c>
      <c r="E2944" s="18" t="s">
        <v>0</v>
      </c>
      <c r="F2944" s="17" t="s">
        <v>23</v>
      </c>
      <c r="G2944" s="17">
        <f>G2943*8</f>
        <v>0</v>
      </c>
      <c r="H2944" s="13">
        <f t="shared" si="45"/>
        <v>0</v>
      </c>
    </row>
    <row r="2945" spans="2:8" ht="13.5" thickBot="1" x14ac:dyDescent="0.35">
      <c r="B2945" s="9"/>
      <c r="C2945" s="14" t="s">
        <v>451</v>
      </c>
      <c r="D2945" s="14" t="s">
        <v>278</v>
      </c>
      <c r="E2945" s="18" t="s">
        <v>0</v>
      </c>
      <c r="F2945" s="17" t="s">
        <v>23</v>
      </c>
      <c r="G2945" s="17">
        <f>G2943*8</f>
        <v>0</v>
      </c>
      <c r="H2945" s="13">
        <f t="shared" si="45"/>
        <v>0</v>
      </c>
    </row>
    <row r="2946" spans="2:8" ht="13.5" thickBot="1" x14ac:dyDescent="0.35">
      <c r="B2946" s="9"/>
      <c r="C2946" s="14" t="s">
        <v>452</v>
      </c>
      <c r="D2946" s="14" t="s">
        <v>278</v>
      </c>
      <c r="E2946" s="18" t="s">
        <v>0</v>
      </c>
      <c r="F2946" s="17" t="s">
        <v>23</v>
      </c>
      <c r="G2946" s="17">
        <f>G2944*8</f>
        <v>0</v>
      </c>
      <c r="H2946" s="13">
        <f t="shared" si="45"/>
        <v>0</v>
      </c>
    </row>
    <row r="2947" spans="2:8" ht="13.5" thickBot="1" x14ac:dyDescent="0.35">
      <c r="B2947" s="9"/>
      <c r="C2947" s="14" t="s">
        <v>1442</v>
      </c>
      <c r="D2947" s="14" t="s">
        <v>278</v>
      </c>
      <c r="E2947" s="18" t="s">
        <v>9</v>
      </c>
      <c r="F2947" s="17" t="s">
        <v>23</v>
      </c>
      <c r="G2947" s="17">
        <f>G2944</f>
        <v>0</v>
      </c>
      <c r="H2947" s="13">
        <f t="shared" si="45"/>
        <v>0</v>
      </c>
    </row>
    <row r="2948" spans="2:8" ht="13.5" thickBot="1" x14ac:dyDescent="0.35">
      <c r="B2948" s="9"/>
      <c r="C2948" s="14" t="s">
        <v>1443</v>
      </c>
      <c r="D2948" s="14" t="s">
        <v>278</v>
      </c>
      <c r="E2948" s="18" t="s">
        <v>9</v>
      </c>
      <c r="F2948" s="17" t="s">
        <v>23</v>
      </c>
      <c r="G2948" s="17">
        <f>G2943</f>
        <v>0</v>
      </c>
      <c r="H2948" s="13">
        <f t="shared" ref="H2948:H3011" si="46">SUM(G2948:G2948)</f>
        <v>0</v>
      </c>
    </row>
    <row r="2949" spans="2:8" ht="13.5" thickBot="1" x14ac:dyDescent="0.35">
      <c r="B2949" s="9">
        <f>COUNT($B$4:B2948)+1</f>
        <v>849</v>
      </c>
      <c r="C2949" s="10" t="s">
        <v>1444</v>
      </c>
      <c r="D2949" s="10"/>
      <c r="E2949" s="11" t="s">
        <v>9</v>
      </c>
      <c r="F2949" s="12" t="s">
        <v>23</v>
      </c>
      <c r="G2949" s="12"/>
      <c r="H2949" s="13">
        <f t="shared" si="46"/>
        <v>0</v>
      </c>
    </row>
    <row r="2950" spans="2:8" ht="13.5" thickBot="1" x14ac:dyDescent="0.35">
      <c r="B2950" s="9"/>
      <c r="C2950" s="14" t="s">
        <v>449</v>
      </c>
      <c r="D2950" s="14" t="s">
        <v>278</v>
      </c>
      <c r="E2950" s="18" t="s">
        <v>0</v>
      </c>
      <c r="F2950" s="17" t="s">
        <v>23</v>
      </c>
      <c r="G2950" s="17">
        <f>G2949*8</f>
        <v>0</v>
      </c>
      <c r="H2950" s="13">
        <f t="shared" si="46"/>
        <v>0</v>
      </c>
    </row>
    <row r="2951" spans="2:8" ht="13.5" thickBot="1" x14ac:dyDescent="0.35">
      <c r="B2951" s="9"/>
      <c r="C2951" s="14" t="s">
        <v>451</v>
      </c>
      <c r="D2951" s="14" t="s">
        <v>278</v>
      </c>
      <c r="E2951" s="18" t="s">
        <v>0</v>
      </c>
      <c r="F2951" s="17" t="s">
        <v>23</v>
      </c>
      <c r="G2951" s="17">
        <f>G2949*8</f>
        <v>0</v>
      </c>
      <c r="H2951" s="13">
        <f t="shared" si="46"/>
        <v>0</v>
      </c>
    </row>
    <row r="2952" spans="2:8" ht="13.5" thickBot="1" x14ac:dyDescent="0.35">
      <c r="B2952" s="9"/>
      <c r="C2952" s="14" t="s">
        <v>452</v>
      </c>
      <c r="D2952" s="14" t="s">
        <v>278</v>
      </c>
      <c r="E2952" s="18" t="s">
        <v>0</v>
      </c>
      <c r="F2952" s="17" t="s">
        <v>23</v>
      </c>
      <c r="G2952" s="17">
        <f>G2950*8</f>
        <v>0</v>
      </c>
      <c r="H2952" s="13">
        <f t="shared" si="46"/>
        <v>0</v>
      </c>
    </row>
    <row r="2953" spans="2:8" ht="13.5" thickBot="1" x14ac:dyDescent="0.35">
      <c r="B2953" s="9"/>
      <c r="C2953" s="14" t="s">
        <v>1445</v>
      </c>
      <c r="D2953" s="14" t="s">
        <v>278</v>
      </c>
      <c r="E2953" s="18" t="s">
        <v>9</v>
      </c>
      <c r="F2953" s="17" t="s">
        <v>23</v>
      </c>
      <c r="G2953" s="17">
        <f>G2950</f>
        <v>0</v>
      </c>
      <c r="H2953" s="13">
        <f t="shared" si="46"/>
        <v>0</v>
      </c>
    </row>
    <row r="2954" spans="2:8" ht="13.5" thickBot="1" x14ac:dyDescent="0.35">
      <c r="B2954" s="9"/>
      <c r="C2954" s="14" t="s">
        <v>1446</v>
      </c>
      <c r="D2954" s="14" t="s">
        <v>278</v>
      </c>
      <c r="E2954" s="18" t="s">
        <v>9</v>
      </c>
      <c r="F2954" s="17" t="s">
        <v>23</v>
      </c>
      <c r="G2954" s="17">
        <f>G2949</f>
        <v>0</v>
      </c>
      <c r="H2954" s="13">
        <f t="shared" si="46"/>
        <v>0</v>
      </c>
    </row>
    <row r="2955" spans="2:8" ht="13.5" thickBot="1" x14ac:dyDescent="0.35">
      <c r="B2955" s="9">
        <f>COUNT($B$4:B2954)+1</f>
        <v>850</v>
      </c>
      <c r="C2955" s="10" t="s">
        <v>1447</v>
      </c>
      <c r="D2955" s="10"/>
      <c r="E2955" s="11" t="s">
        <v>9</v>
      </c>
      <c r="F2955" s="12" t="s">
        <v>23</v>
      </c>
      <c r="G2955" s="12"/>
      <c r="H2955" s="13">
        <f t="shared" si="46"/>
        <v>0</v>
      </c>
    </row>
    <row r="2956" spans="2:8" ht="13.5" thickBot="1" x14ac:dyDescent="0.35">
      <c r="B2956" s="9"/>
      <c r="C2956" s="14" t="s">
        <v>449</v>
      </c>
      <c r="D2956" s="14" t="s">
        <v>278</v>
      </c>
      <c r="E2956" s="18" t="s">
        <v>0</v>
      </c>
      <c r="F2956" s="17" t="s">
        <v>23</v>
      </c>
      <c r="G2956" s="17">
        <f>G2955*8</f>
        <v>0</v>
      </c>
      <c r="H2956" s="13">
        <f t="shared" si="46"/>
        <v>0</v>
      </c>
    </row>
    <row r="2957" spans="2:8" ht="13.5" thickBot="1" x14ac:dyDescent="0.35">
      <c r="B2957" s="9"/>
      <c r="C2957" s="14" t="s">
        <v>451</v>
      </c>
      <c r="D2957" s="14" t="s">
        <v>278</v>
      </c>
      <c r="E2957" s="18" t="s">
        <v>0</v>
      </c>
      <c r="F2957" s="17" t="s">
        <v>23</v>
      </c>
      <c r="G2957" s="17">
        <f>G2955*8</f>
        <v>0</v>
      </c>
      <c r="H2957" s="13">
        <f t="shared" si="46"/>
        <v>0</v>
      </c>
    </row>
    <row r="2958" spans="2:8" ht="13.5" thickBot="1" x14ac:dyDescent="0.35">
      <c r="B2958" s="9"/>
      <c r="C2958" s="14" t="s">
        <v>452</v>
      </c>
      <c r="D2958" s="14" t="s">
        <v>278</v>
      </c>
      <c r="E2958" s="18" t="s">
        <v>0</v>
      </c>
      <c r="F2958" s="17" t="s">
        <v>23</v>
      </c>
      <c r="G2958" s="17">
        <f>G2956*8</f>
        <v>0</v>
      </c>
      <c r="H2958" s="13">
        <f t="shared" si="46"/>
        <v>0</v>
      </c>
    </row>
    <row r="2959" spans="2:8" ht="13.5" thickBot="1" x14ac:dyDescent="0.35">
      <c r="B2959" s="9"/>
      <c r="C2959" s="14" t="s">
        <v>1448</v>
      </c>
      <c r="D2959" s="14" t="s">
        <v>278</v>
      </c>
      <c r="E2959" s="18" t="s">
        <v>9</v>
      </c>
      <c r="F2959" s="17" t="s">
        <v>23</v>
      </c>
      <c r="G2959" s="17">
        <f>G2956</f>
        <v>0</v>
      </c>
      <c r="H2959" s="13">
        <f t="shared" si="46"/>
        <v>0</v>
      </c>
    </row>
    <row r="2960" spans="2:8" ht="13.5" thickBot="1" x14ac:dyDescent="0.35">
      <c r="B2960" s="9"/>
      <c r="C2960" s="14" t="s">
        <v>1449</v>
      </c>
      <c r="D2960" s="14" t="s">
        <v>278</v>
      </c>
      <c r="E2960" s="18" t="s">
        <v>9</v>
      </c>
      <c r="F2960" s="17" t="s">
        <v>23</v>
      </c>
      <c r="G2960" s="17">
        <f>G2955</f>
        <v>0</v>
      </c>
      <c r="H2960" s="13">
        <f t="shared" si="46"/>
        <v>0</v>
      </c>
    </row>
    <row r="2961" spans="2:8" ht="13.5" thickBot="1" x14ac:dyDescent="0.35">
      <c r="B2961" s="9">
        <f>COUNT($B$4:B2960)+1</f>
        <v>851</v>
      </c>
      <c r="C2961" s="10" t="s">
        <v>1450</v>
      </c>
      <c r="D2961" s="10"/>
      <c r="E2961" s="11" t="s">
        <v>9</v>
      </c>
      <c r="F2961" s="12" t="s">
        <v>23</v>
      </c>
      <c r="G2961" s="12"/>
      <c r="H2961" s="13">
        <f t="shared" si="46"/>
        <v>0</v>
      </c>
    </row>
    <row r="2962" spans="2:8" ht="13.5" thickBot="1" x14ac:dyDescent="0.35">
      <c r="B2962" s="9"/>
      <c r="C2962" s="14" t="s">
        <v>449</v>
      </c>
      <c r="D2962" s="14" t="s">
        <v>278</v>
      </c>
      <c r="E2962" s="18" t="s">
        <v>0</v>
      </c>
      <c r="F2962" s="17" t="s">
        <v>23</v>
      </c>
      <c r="G2962" s="17">
        <f>G2961*8</f>
        <v>0</v>
      </c>
      <c r="H2962" s="13">
        <f t="shared" si="46"/>
        <v>0</v>
      </c>
    </row>
    <row r="2963" spans="2:8" ht="13.5" thickBot="1" x14ac:dyDescent="0.35">
      <c r="B2963" s="9"/>
      <c r="C2963" s="14" t="s">
        <v>451</v>
      </c>
      <c r="D2963" s="14" t="s">
        <v>278</v>
      </c>
      <c r="E2963" s="18" t="s">
        <v>0</v>
      </c>
      <c r="F2963" s="17" t="s">
        <v>23</v>
      </c>
      <c r="G2963" s="17">
        <f>G2961*8</f>
        <v>0</v>
      </c>
      <c r="H2963" s="13">
        <f t="shared" si="46"/>
        <v>0</v>
      </c>
    </row>
    <row r="2964" spans="2:8" ht="13.5" thickBot="1" x14ac:dyDescent="0.35">
      <c r="B2964" s="9"/>
      <c r="C2964" s="14" t="s">
        <v>452</v>
      </c>
      <c r="D2964" s="14" t="s">
        <v>278</v>
      </c>
      <c r="E2964" s="18" t="s">
        <v>0</v>
      </c>
      <c r="F2964" s="17" t="s">
        <v>23</v>
      </c>
      <c r="G2964" s="17">
        <f>G2962*8</f>
        <v>0</v>
      </c>
      <c r="H2964" s="13">
        <f t="shared" si="46"/>
        <v>0</v>
      </c>
    </row>
    <row r="2965" spans="2:8" ht="13.5" thickBot="1" x14ac:dyDescent="0.35">
      <c r="B2965" s="9"/>
      <c r="C2965" s="14" t="s">
        <v>1451</v>
      </c>
      <c r="D2965" s="14" t="s">
        <v>278</v>
      </c>
      <c r="E2965" s="18" t="s">
        <v>9</v>
      </c>
      <c r="F2965" s="17" t="s">
        <v>23</v>
      </c>
      <c r="G2965" s="17">
        <f>G2962</f>
        <v>0</v>
      </c>
      <c r="H2965" s="13">
        <f t="shared" si="46"/>
        <v>0</v>
      </c>
    </row>
    <row r="2966" spans="2:8" ht="13.5" thickBot="1" x14ac:dyDescent="0.35">
      <c r="B2966" s="9"/>
      <c r="C2966" s="14" t="s">
        <v>1452</v>
      </c>
      <c r="D2966" s="14" t="s">
        <v>278</v>
      </c>
      <c r="E2966" s="18" t="s">
        <v>9</v>
      </c>
      <c r="F2966" s="17" t="s">
        <v>23</v>
      </c>
      <c r="G2966" s="17">
        <f>G2961</f>
        <v>0</v>
      </c>
      <c r="H2966" s="13">
        <f t="shared" si="46"/>
        <v>0</v>
      </c>
    </row>
    <row r="2967" spans="2:8" ht="13.5" thickBot="1" x14ac:dyDescent="0.35">
      <c r="B2967" s="9">
        <f>COUNT($B$4:B2966)+1</f>
        <v>852</v>
      </c>
      <c r="C2967" s="10" t="s">
        <v>1453</v>
      </c>
      <c r="D2967" s="10"/>
      <c r="E2967" s="11" t="s">
        <v>9</v>
      </c>
      <c r="F2967" s="12" t="s">
        <v>23</v>
      </c>
      <c r="G2967" s="12"/>
      <c r="H2967" s="13">
        <f t="shared" si="46"/>
        <v>0</v>
      </c>
    </row>
    <row r="2968" spans="2:8" ht="13.5" thickBot="1" x14ac:dyDescent="0.35">
      <c r="B2968" s="9"/>
      <c r="C2968" s="14" t="s">
        <v>449</v>
      </c>
      <c r="D2968" s="14" t="s">
        <v>278</v>
      </c>
      <c r="E2968" s="18" t="s">
        <v>0</v>
      </c>
      <c r="F2968" s="17" t="s">
        <v>23</v>
      </c>
      <c r="G2968" s="17">
        <f>G2967*8</f>
        <v>0</v>
      </c>
      <c r="H2968" s="13">
        <f t="shared" si="46"/>
        <v>0</v>
      </c>
    </row>
    <row r="2969" spans="2:8" ht="13.5" thickBot="1" x14ac:dyDescent="0.35">
      <c r="B2969" s="9"/>
      <c r="C2969" s="14" t="s">
        <v>451</v>
      </c>
      <c r="D2969" s="14" t="s">
        <v>278</v>
      </c>
      <c r="E2969" s="18" t="s">
        <v>0</v>
      </c>
      <c r="F2969" s="17" t="s">
        <v>23</v>
      </c>
      <c r="G2969" s="17">
        <f>G2967*8</f>
        <v>0</v>
      </c>
      <c r="H2969" s="13">
        <f t="shared" si="46"/>
        <v>0</v>
      </c>
    </row>
    <row r="2970" spans="2:8" ht="13.5" thickBot="1" x14ac:dyDescent="0.35">
      <c r="B2970" s="9"/>
      <c r="C2970" s="14" t="s">
        <v>452</v>
      </c>
      <c r="D2970" s="14" t="s">
        <v>278</v>
      </c>
      <c r="E2970" s="18" t="s">
        <v>0</v>
      </c>
      <c r="F2970" s="17" t="s">
        <v>23</v>
      </c>
      <c r="G2970" s="17">
        <f>G2968*8</f>
        <v>0</v>
      </c>
      <c r="H2970" s="13">
        <f t="shared" si="46"/>
        <v>0</v>
      </c>
    </row>
    <row r="2971" spans="2:8" ht="13.5" thickBot="1" x14ac:dyDescent="0.35">
      <c r="B2971" s="9"/>
      <c r="C2971" s="14" t="s">
        <v>1454</v>
      </c>
      <c r="D2971" s="14" t="s">
        <v>278</v>
      </c>
      <c r="E2971" s="18" t="s">
        <v>9</v>
      </c>
      <c r="F2971" s="17" t="s">
        <v>23</v>
      </c>
      <c r="G2971" s="17">
        <f>G2968</f>
        <v>0</v>
      </c>
      <c r="H2971" s="13">
        <f t="shared" si="46"/>
        <v>0</v>
      </c>
    </row>
    <row r="2972" spans="2:8" ht="13.5" thickBot="1" x14ac:dyDescent="0.35">
      <c r="B2972" s="9"/>
      <c r="C2972" s="14" t="s">
        <v>1455</v>
      </c>
      <c r="D2972" s="14" t="s">
        <v>278</v>
      </c>
      <c r="E2972" s="18" t="s">
        <v>9</v>
      </c>
      <c r="F2972" s="17" t="s">
        <v>23</v>
      </c>
      <c r="G2972" s="17">
        <f>G2967</f>
        <v>0</v>
      </c>
      <c r="H2972" s="13">
        <f t="shared" si="46"/>
        <v>0</v>
      </c>
    </row>
    <row r="2973" spans="2:8" ht="13.5" thickBot="1" x14ac:dyDescent="0.35">
      <c r="B2973" s="9">
        <f>COUNT($B$4:B2972)+1</f>
        <v>853</v>
      </c>
      <c r="C2973" s="10" t="s">
        <v>1456</v>
      </c>
      <c r="D2973" s="10"/>
      <c r="E2973" s="11" t="s">
        <v>9</v>
      </c>
      <c r="F2973" s="12" t="s">
        <v>23</v>
      </c>
      <c r="G2973" s="12"/>
      <c r="H2973" s="13">
        <f t="shared" si="46"/>
        <v>0</v>
      </c>
    </row>
    <row r="2974" spans="2:8" ht="13.5" thickBot="1" x14ac:dyDescent="0.35">
      <c r="B2974" s="9"/>
      <c r="C2974" s="14" t="s">
        <v>449</v>
      </c>
      <c r="D2974" s="14" t="s">
        <v>278</v>
      </c>
      <c r="E2974" s="18" t="s">
        <v>0</v>
      </c>
      <c r="F2974" s="17" t="s">
        <v>23</v>
      </c>
      <c r="G2974" s="17">
        <f>G2973*8</f>
        <v>0</v>
      </c>
      <c r="H2974" s="13">
        <f t="shared" si="46"/>
        <v>0</v>
      </c>
    </row>
    <row r="2975" spans="2:8" ht="13.5" thickBot="1" x14ac:dyDescent="0.35">
      <c r="B2975" s="9"/>
      <c r="C2975" s="14" t="s">
        <v>451</v>
      </c>
      <c r="D2975" s="14" t="s">
        <v>278</v>
      </c>
      <c r="E2975" s="18" t="s">
        <v>0</v>
      </c>
      <c r="F2975" s="17" t="s">
        <v>23</v>
      </c>
      <c r="G2975" s="17">
        <f>G2973*8</f>
        <v>0</v>
      </c>
      <c r="H2975" s="13">
        <f t="shared" si="46"/>
        <v>0</v>
      </c>
    </row>
    <row r="2976" spans="2:8" ht="13.5" thickBot="1" x14ac:dyDescent="0.35">
      <c r="B2976" s="9"/>
      <c r="C2976" s="14" t="s">
        <v>452</v>
      </c>
      <c r="D2976" s="14" t="s">
        <v>278</v>
      </c>
      <c r="E2976" s="18" t="s">
        <v>0</v>
      </c>
      <c r="F2976" s="17" t="s">
        <v>23</v>
      </c>
      <c r="G2976" s="17">
        <f>G2974*8</f>
        <v>0</v>
      </c>
      <c r="H2976" s="13">
        <f t="shared" si="46"/>
        <v>0</v>
      </c>
    </row>
    <row r="2977" spans="2:8" ht="13.5" thickBot="1" x14ac:dyDescent="0.35">
      <c r="B2977" s="9"/>
      <c r="C2977" s="14" t="s">
        <v>1457</v>
      </c>
      <c r="D2977" s="14" t="s">
        <v>278</v>
      </c>
      <c r="E2977" s="18" t="s">
        <v>9</v>
      </c>
      <c r="F2977" s="17" t="s">
        <v>23</v>
      </c>
      <c r="G2977" s="17">
        <f>G2974</f>
        <v>0</v>
      </c>
      <c r="H2977" s="13">
        <f t="shared" si="46"/>
        <v>0</v>
      </c>
    </row>
    <row r="2978" spans="2:8" ht="13.5" thickBot="1" x14ac:dyDescent="0.35">
      <c r="B2978" s="9"/>
      <c r="C2978" s="14" t="s">
        <v>1458</v>
      </c>
      <c r="D2978" s="14" t="s">
        <v>278</v>
      </c>
      <c r="E2978" s="18" t="s">
        <v>9</v>
      </c>
      <c r="F2978" s="17" t="s">
        <v>23</v>
      </c>
      <c r="G2978" s="17">
        <f>G2973</f>
        <v>0</v>
      </c>
      <c r="H2978" s="13">
        <f t="shared" si="46"/>
        <v>0</v>
      </c>
    </row>
    <row r="2979" spans="2:8" ht="13.5" thickBot="1" x14ac:dyDescent="0.35">
      <c r="B2979" s="9">
        <f>COUNT($B$4:B2978)+1</f>
        <v>854</v>
      </c>
      <c r="C2979" s="10" t="s">
        <v>1459</v>
      </c>
      <c r="D2979" s="10"/>
      <c r="E2979" s="11" t="s">
        <v>9</v>
      </c>
      <c r="F2979" s="12" t="s">
        <v>23</v>
      </c>
      <c r="G2979" s="12"/>
      <c r="H2979" s="13">
        <f t="shared" si="46"/>
        <v>0</v>
      </c>
    </row>
    <row r="2980" spans="2:8" ht="13.5" thickBot="1" x14ac:dyDescent="0.35">
      <c r="B2980" s="9"/>
      <c r="C2980" s="14" t="s">
        <v>449</v>
      </c>
      <c r="D2980" s="14" t="s">
        <v>278</v>
      </c>
      <c r="E2980" s="18" t="s">
        <v>0</v>
      </c>
      <c r="F2980" s="17" t="s">
        <v>23</v>
      </c>
      <c r="G2980" s="17">
        <f>G2979*8</f>
        <v>0</v>
      </c>
      <c r="H2980" s="13">
        <f t="shared" si="46"/>
        <v>0</v>
      </c>
    </row>
    <row r="2981" spans="2:8" ht="13.5" thickBot="1" x14ac:dyDescent="0.35">
      <c r="B2981" s="9"/>
      <c r="C2981" s="14" t="s">
        <v>451</v>
      </c>
      <c r="D2981" s="14" t="s">
        <v>278</v>
      </c>
      <c r="E2981" s="18" t="s">
        <v>0</v>
      </c>
      <c r="F2981" s="17" t="s">
        <v>23</v>
      </c>
      <c r="G2981" s="17">
        <f>G2979*8</f>
        <v>0</v>
      </c>
      <c r="H2981" s="13">
        <f t="shared" si="46"/>
        <v>0</v>
      </c>
    </row>
    <row r="2982" spans="2:8" ht="13.5" thickBot="1" x14ac:dyDescent="0.35">
      <c r="B2982" s="9"/>
      <c r="C2982" s="14" t="s">
        <v>452</v>
      </c>
      <c r="D2982" s="14" t="s">
        <v>278</v>
      </c>
      <c r="E2982" s="18" t="s">
        <v>0</v>
      </c>
      <c r="F2982" s="17" t="s">
        <v>23</v>
      </c>
      <c r="G2982" s="17">
        <f>G2980*8</f>
        <v>0</v>
      </c>
      <c r="H2982" s="13">
        <f t="shared" si="46"/>
        <v>0</v>
      </c>
    </row>
    <row r="2983" spans="2:8" ht="13.5" thickBot="1" x14ac:dyDescent="0.35">
      <c r="B2983" s="9"/>
      <c r="C2983" s="14" t="s">
        <v>1460</v>
      </c>
      <c r="D2983" s="14" t="s">
        <v>278</v>
      </c>
      <c r="E2983" s="18" t="s">
        <v>9</v>
      </c>
      <c r="F2983" s="17" t="s">
        <v>23</v>
      </c>
      <c r="G2983" s="17">
        <f>G2980</f>
        <v>0</v>
      </c>
      <c r="H2983" s="13">
        <f t="shared" si="46"/>
        <v>0</v>
      </c>
    </row>
    <row r="2984" spans="2:8" ht="13.5" thickBot="1" x14ac:dyDescent="0.35">
      <c r="B2984" s="9"/>
      <c r="C2984" s="14" t="s">
        <v>1461</v>
      </c>
      <c r="D2984" s="14" t="s">
        <v>278</v>
      </c>
      <c r="E2984" s="18" t="s">
        <v>9</v>
      </c>
      <c r="F2984" s="17" t="s">
        <v>23</v>
      </c>
      <c r="G2984" s="17">
        <f>G2979</f>
        <v>0</v>
      </c>
      <c r="H2984" s="13">
        <f t="shared" si="46"/>
        <v>0</v>
      </c>
    </row>
    <row r="2985" spans="2:8" ht="13.5" thickBot="1" x14ac:dyDescent="0.35">
      <c r="B2985" s="9">
        <f>COUNT($B$4:B2984)+1</f>
        <v>855</v>
      </c>
      <c r="C2985" s="10" t="s">
        <v>1462</v>
      </c>
      <c r="D2985" s="10"/>
      <c r="E2985" s="11" t="s">
        <v>9</v>
      </c>
      <c r="F2985" s="12" t="s">
        <v>23</v>
      </c>
      <c r="G2985" s="12"/>
      <c r="H2985" s="13">
        <f t="shared" si="46"/>
        <v>0</v>
      </c>
    </row>
    <row r="2986" spans="2:8" ht="13.5" thickBot="1" x14ac:dyDescent="0.35">
      <c r="B2986" s="9"/>
      <c r="C2986" s="14" t="s">
        <v>449</v>
      </c>
      <c r="D2986" s="14" t="s">
        <v>278</v>
      </c>
      <c r="E2986" s="18" t="s">
        <v>0</v>
      </c>
      <c r="F2986" s="17" t="s">
        <v>23</v>
      </c>
      <c r="G2986" s="17">
        <f>G2985*8</f>
        <v>0</v>
      </c>
      <c r="H2986" s="13">
        <f t="shared" si="46"/>
        <v>0</v>
      </c>
    </row>
    <row r="2987" spans="2:8" ht="13.5" thickBot="1" x14ac:dyDescent="0.35">
      <c r="B2987" s="9"/>
      <c r="C2987" s="14" t="s">
        <v>451</v>
      </c>
      <c r="D2987" s="14" t="s">
        <v>278</v>
      </c>
      <c r="E2987" s="18" t="s">
        <v>0</v>
      </c>
      <c r="F2987" s="17" t="s">
        <v>23</v>
      </c>
      <c r="G2987" s="17">
        <f>G2985*8</f>
        <v>0</v>
      </c>
      <c r="H2987" s="13">
        <f t="shared" si="46"/>
        <v>0</v>
      </c>
    </row>
    <row r="2988" spans="2:8" ht="13.5" thickBot="1" x14ac:dyDescent="0.35">
      <c r="B2988" s="9"/>
      <c r="C2988" s="14" t="s">
        <v>452</v>
      </c>
      <c r="D2988" s="14" t="s">
        <v>278</v>
      </c>
      <c r="E2988" s="18" t="s">
        <v>0</v>
      </c>
      <c r="F2988" s="17" t="s">
        <v>23</v>
      </c>
      <c r="G2988" s="17">
        <f>G2986*8</f>
        <v>0</v>
      </c>
      <c r="H2988" s="13">
        <f t="shared" si="46"/>
        <v>0</v>
      </c>
    </row>
    <row r="2989" spans="2:8" ht="13.5" thickBot="1" x14ac:dyDescent="0.35">
      <c r="B2989" s="9"/>
      <c r="C2989" s="14" t="s">
        <v>1463</v>
      </c>
      <c r="D2989" s="14" t="s">
        <v>278</v>
      </c>
      <c r="E2989" s="18" t="s">
        <v>9</v>
      </c>
      <c r="F2989" s="17" t="s">
        <v>23</v>
      </c>
      <c r="G2989" s="17">
        <f>G2986</f>
        <v>0</v>
      </c>
      <c r="H2989" s="13">
        <f t="shared" si="46"/>
        <v>0</v>
      </c>
    </row>
    <row r="2990" spans="2:8" ht="13.5" thickBot="1" x14ac:dyDescent="0.35">
      <c r="B2990" s="9"/>
      <c r="C2990" s="14" t="s">
        <v>1464</v>
      </c>
      <c r="D2990" s="14" t="s">
        <v>278</v>
      </c>
      <c r="E2990" s="18" t="s">
        <v>9</v>
      </c>
      <c r="F2990" s="17" t="s">
        <v>23</v>
      </c>
      <c r="G2990" s="17">
        <f>G2985</f>
        <v>0</v>
      </c>
      <c r="H2990" s="13">
        <f t="shared" si="46"/>
        <v>0</v>
      </c>
    </row>
    <row r="2991" spans="2:8" ht="13.5" thickBot="1" x14ac:dyDescent="0.35">
      <c r="B2991" s="9">
        <f>COUNT($B$4:B2990)+1</f>
        <v>856</v>
      </c>
      <c r="C2991" s="10" t="s">
        <v>1465</v>
      </c>
      <c r="D2991" s="10"/>
      <c r="E2991" s="11" t="s">
        <v>9</v>
      </c>
      <c r="F2991" s="12" t="s">
        <v>23</v>
      </c>
      <c r="G2991" s="12"/>
      <c r="H2991" s="13">
        <f t="shared" si="46"/>
        <v>0</v>
      </c>
    </row>
    <row r="2992" spans="2:8" ht="13.5" thickBot="1" x14ac:dyDescent="0.35">
      <c r="B2992" s="9"/>
      <c r="C2992" s="14" t="s">
        <v>449</v>
      </c>
      <c r="D2992" s="14" t="s">
        <v>278</v>
      </c>
      <c r="E2992" s="18" t="s">
        <v>0</v>
      </c>
      <c r="F2992" s="17" t="s">
        <v>23</v>
      </c>
      <c r="G2992" s="17">
        <f>G2991*8</f>
        <v>0</v>
      </c>
      <c r="H2992" s="13">
        <f t="shared" si="46"/>
        <v>0</v>
      </c>
    </row>
    <row r="2993" spans="2:8" ht="13.5" thickBot="1" x14ac:dyDescent="0.35">
      <c r="B2993" s="9"/>
      <c r="C2993" s="14" t="s">
        <v>451</v>
      </c>
      <c r="D2993" s="14" t="s">
        <v>278</v>
      </c>
      <c r="E2993" s="18" t="s">
        <v>0</v>
      </c>
      <c r="F2993" s="17" t="s">
        <v>23</v>
      </c>
      <c r="G2993" s="17">
        <f>G2991*8</f>
        <v>0</v>
      </c>
      <c r="H2993" s="13">
        <f t="shared" si="46"/>
        <v>0</v>
      </c>
    </row>
    <row r="2994" spans="2:8" ht="13.5" thickBot="1" x14ac:dyDescent="0.35">
      <c r="B2994" s="9"/>
      <c r="C2994" s="14" t="s">
        <v>452</v>
      </c>
      <c r="D2994" s="14" t="s">
        <v>278</v>
      </c>
      <c r="E2994" s="18" t="s">
        <v>0</v>
      </c>
      <c r="F2994" s="17" t="s">
        <v>23</v>
      </c>
      <c r="G2994" s="17">
        <f>G2992*8</f>
        <v>0</v>
      </c>
      <c r="H2994" s="13">
        <f t="shared" si="46"/>
        <v>0</v>
      </c>
    </row>
    <row r="2995" spans="2:8" ht="13.5" thickBot="1" x14ac:dyDescent="0.35">
      <c r="B2995" s="9"/>
      <c r="C2995" s="14" t="s">
        <v>1466</v>
      </c>
      <c r="D2995" s="14" t="s">
        <v>278</v>
      </c>
      <c r="E2995" s="18" t="s">
        <v>9</v>
      </c>
      <c r="F2995" s="17" t="s">
        <v>23</v>
      </c>
      <c r="G2995" s="17">
        <f>G2992</f>
        <v>0</v>
      </c>
      <c r="H2995" s="13">
        <f t="shared" si="46"/>
        <v>0</v>
      </c>
    </row>
    <row r="2996" spans="2:8" ht="13.5" thickBot="1" x14ac:dyDescent="0.35">
      <c r="B2996" s="9"/>
      <c r="C2996" s="14" t="s">
        <v>1467</v>
      </c>
      <c r="D2996" s="14" t="s">
        <v>278</v>
      </c>
      <c r="E2996" s="18" t="s">
        <v>9</v>
      </c>
      <c r="F2996" s="17" t="s">
        <v>23</v>
      </c>
      <c r="G2996" s="17">
        <f>G2991</f>
        <v>0</v>
      </c>
      <c r="H2996" s="13">
        <f t="shared" si="46"/>
        <v>0</v>
      </c>
    </row>
    <row r="2997" spans="2:8" ht="13.5" thickBot="1" x14ac:dyDescent="0.35">
      <c r="B2997" s="9">
        <f>COUNT($B$4:B2996)+1</f>
        <v>857</v>
      </c>
      <c r="C2997" s="10" t="s">
        <v>1468</v>
      </c>
      <c r="D2997" s="10"/>
      <c r="E2997" s="11" t="s">
        <v>9</v>
      </c>
      <c r="F2997" s="12" t="s">
        <v>23</v>
      </c>
      <c r="G2997" s="12"/>
      <c r="H2997" s="13">
        <f t="shared" si="46"/>
        <v>0</v>
      </c>
    </row>
    <row r="2998" spans="2:8" ht="13.5" thickBot="1" x14ac:dyDescent="0.35">
      <c r="B2998" s="9"/>
      <c r="C2998" s="14" t="s">
        <v>449</v>
      </c>
      <c r="D2998" s="14" t="s">
        <v>278</v>
      </c>
      <c r="E2998" s="18" t="s">
        <v>0</v>
      </c>
      <c r="F2998" s="17" t="s">
        <v>23</v>
      </c>
      <c r="G2998" s="17">
        <f>G2997*8</f>
        <v>0</v>
      </c>
      <c r="H2998" s="13">
        <f t="shared" si="46"/>
        <v>0</v>
      </c>
    </row>
    <row r="2999" spans="2:8" ht="13.5" thickBot="1" x14ac:dyDescent="0.35">
      <c r="B2999" s="9"/>
      <c r="C2999" s="14" t="s">
        <v>451</v>
      </c>
      <c r="D2999" s="14" t="s">
        <v>278</v>
      </c>
      <c r="E2999" s="18" t="s">
        <v>0</v>
      </c>
      <c r="F2999" s="17" t="s">
        <v>23</v>
      </c>
      <c r="G2999" s="17">
        <f>G2997*8</f>
        <v>0</v>
      </c>
      <c r="H2999" s="13">
        <f t="shared" si="46"/>
        <v>0</v>
      </c>
    </row>
    <row r="3000" spans="2:8" ht="13.5" thickBot="1" x14ac:dyDescent="0.35">
      <c r="B3000" s="9"/>
      <c r="C3000" s="14" t="s">
        <v>452</v>
      </c>
      <c r="D3000" s="14" t="s">
        <v>278</v>
      </c>
      <c r="E3000" s="18" t="s">
        <v>0</v>
      </c>
      <c r="F3000" s="17" t="s">
        <v>23</v>
      </c>
      <c r="G3000" s="17">
        <f>G2998*8</f>
        <v>0</v>
      </c>
      <c r="H3000" s="13">
        <f t="shared" si="46"/>
        <v>0</v>
      </c>
    </row>
    <row r="3001" spans="2:8" ht="13.5" thickBot="1" x14ac:dyDescent="0.35">
      <c r="B3001" s="9"/>
      <c r="C3001" s="14" t="s">
        <v>1469</v>
      </c>
      <c r="D3001" s="14" t="s">
        <v>278</v>
      </c>
      <c r="E3001" s="18" t="s">
        <v>9</v>
      </c>
      <c r="F3001" s="17" t="s">
        <v>23</v>
      </c>
      <c r="G3001" s="17">
        <f>G2998</f>
        <v>0</v>
      </c>
      <c r="H3001" s="13">
        <f t="shared" si="46"/>
        <v>0</v>
      </c>
    </row>
    <row r="3002" spans="2:8" ht="13.5" thickBot="1" x14ac:dyDescent="0.35">
      <c r="B3002" s="9"/>
      <c r="C3002" s="14" t="s">
        <v>1470</v>
      </c>
      <c r="D3002" s="14" t="s">
        <v>278</v>
      </c>
      <c r="E3002" s="18" t="s">
        <v>9</v>
      </c>
      <c r="F3002" s="17" t="s">
        <v>23</v>
      </c>
      <c r="G3002" s="17">
        <f>G2997</f>
        <v>0</v>
      </c>
      <c r="H3002" s="13">
        <f t="shared" si="46"/>
        <v>0</v>
      </c>
    </row>
    <row r="3003" spans="2:8" ht="13.5" thickBot="1" x14ac:dyDescent="0.35">
      <c r="B3003" s="9">
        <f>COUNT($B$4:B3002)+1</f>
        <v>858</v>
      </c>
      <c r="C3003" s="10" t="s">
        <v>1471</v>
      </c>
      <c r="D3003" s="10"/>
      <c r="E3003" s="11" t="s">
        <v>9</v>
      </c>
      <c r="F3003" s="12" t="s">
        <v>23</v>
      </c>
      <c r="G3003" s="12"/>
      <c r="H3003" s="13">
        <f t="shared" si="46"/>
        <v>0</v>
      </c>
    </row>
    <row r="3004" spans="2:8" ht="13.5" thickBot="1" x14ac:dyDescent="0.35">
      <c r="B3004" s="9"/>
      <c r="C3004" s="14" t="s">
        <v>449</v>
      </c>
      <c r="D3004" s="14" t="s">
        <v>278</v>
      </c>
      <c r="E3004" s="18" t="s">
        <v>0</v>
      </c>
      <c r="F3004" s="17" t="s">
        <v>23</v>
      </c>
      <c r="G3004" s="17">
        <f>G3003*8</f>
        <v>0</v>
      </c>
      <c r="H3004" s="13">
        <f t="shared" si="46"/>
        <v>0</v>
      </c>
    </row>
    <row r="3005" spans="2:8" ht="13.5" thickBot="1" x14ac:dyDescent="0.35">
      <c r="B3005" s="9"/>
      <c r="C3005" s="14" t="s">
        <v>451</v>
      </c>
      <c r="D3005" s="14" t="s">
        <v>278</v>
      </c>
      <c r="E3005" s="18" t="s">
        <v>0</v>
      </c>
      <c r="F3005" s="17" t="s">
        <v>23</v>
      </c>
      <c r="G3005" s="17">
        <f>G3003*8</f>
        <v>0</v>
      </c>
      <c r="H3005" s="13">
        <f t="shared" si="46"/>
        <v>0</v>
      </c>
    </row>
    <row r="3006" spans="2:8" ht="13.5" thickBot="1" x14ac:dyDescent="0.35">
      <c r="B3006" s="9"/>
      <c r="C3006" s="14" t="s">
        <v>452</v>
      </c>
      <c r="D3006" s="14" t="s">
        <v>278</v>
      </c>
      <c r="E3006" s="18" t="s">
        <v>0</v>
      </c>
      <c r="F3006" s="17" t="s">
        <v>23</v>
      </c>
      <c r="G3006" s="17">
        <f>G3004*8</f>
        <v>0</v>
      </c>
      <c r="H3006" s="13">
        <f t="shared" si="46"/>
        <v>0</v>
      </c>
    </row>
    <row r="3007" spans="2:8" ht="13.5" thickBot="1" x14ac:dyDescent="0.35">
      <c r="B3007" s="9"/>
      <c r="C3007" s="14" t="s">
        <v>1472</v>
      </c>
      <c r="D3007" s="14" t="s">
        <v>278</v>
      </c>
      <c r="E3007" s="18" t="s">
        <v>9</v>
      </c>
      <c r="F3007" s="17" t="s">
        <v>23</v>
      </c>
      <c r="G3007" s="17">
        <f>G3004</f>
        <v>0</v>
      </c>
      <c r="H3007" s="13">
        <f t="shared" si="46"/>
        <v>0</v>
      </c>
    </row>
    <row r="3008" spans="2:8" ht="13.5" thickBot="1" x14ac:dyDescent="0.35">
      <c r="B3008" s="9"/>
      <c r="C3008" s="14" t="s">
        <v>1473</v>
      </c>
      <c r="D3008" s="14" t="s">
        <v>278</v>
      </c>
      <c r="E3008" s="18" t="s">
        <v>9</v>
      </c>
      <c r="F3008" s="17" t="s">
        <v>23</v>
      </c>
      <c r="G3008" s="17">
        <f>G3003</f>
        <v>0</v>
      </c>
      <c r="H3008" s="13">
        <f t="shared" si="46"/>
        <v>0</v>
      </c>
    </row>
    <row r="3009" spans="2:8" ht="13.5" thickBot="1" x14ac:dyDescent="0.35">
      <c r="B3009" s="9">
        <f>COUNT($B$4:B3008)+1</f>
        <v>859</v>
      </c>
      <c r="C3009" s="10" t="s">
        <v>1474</v>
      </c>
      <c r="D3009" s="10"/>
      <c r="E3009" s="11" t="s">
        <v>9</v>
      </c>
      <c r="F3009" s="12" t="s">
        <v>23</v>
      </c>
      <c r="G3009" s="12"/>
      <c r="H3009" s="13">
        <f t="shared" si="46"/>
        <v>0</v>
      </c>
    </row>
    <row r="3010" spans="2:8" ht="13.5" thickBot="1" x14ac:dyDescent="0.35">
      <c r="B3010" s="9"/>
      <c r="C3010" s="14" t="s">
        <v>449</v>
      </c>
      <c r="D3010" s="14" t="s">
        <v>278</v>
      </c>
      <c r="E3010" s="18" t="s">
        <v>0</v>
      </c>
      <c r="F3010" s="17" t="s">
        <v>23</v>
      </c>
      <c r="G3010" s="17">
        <f>G3009*8</f>
        <v>0</v>
      </c>
      <c r="H3010" s="13">
        <f t="shared" si="46"/>
        <v>0</v>
      </c>
    </row>
    <row r="3011" spans="2:8" ht="13.5" thickBot="1" x14ac:dyDescent="0.35">
      <c r="B3011" s="9"/>
      <c r="C3011" s="14" t="s">
        <v>451</v>
      </c>
      <c r="D3011" s="14" t="s">
        <v>278</v>
      </c>
      <c r="E3011" s="18" t="s">
        <v>0</v>
      </c>
      <c r="F3011" s="17" t="s">
        <v>23</v>
      </c>
      <c r="G3011" s="17">
        <f>G3009*8</f>
        <v>0</v>
      </c>
      <c r="H3011" s="13">
        <f t="shared" si="46"/>
        <v>0</v>
      </c>
    </row>
    <row r="3012" spans="2:8" ht="13.5" thickBot="1" x14ac:dyDescent="0.35">
      <c r="B3012" s="9"/>
      <c r="C3012" s="14" t="s">
        <v>452</v>
      </c>
      <c r="D3012" s="14" t="s">
        <v>278</v>
      </c>
      <c r="E3012" s="18" t="s">
        <v>0</v>
      </c>
      <c r="F3012" s="17" t="s">
        <v>23</v>
      </c>
      <c r="G3012" s="17">
        <f>G3010*8</f>
        <v>0</v>
      </c>
      <c r="H3012" s="13">
        <f t="shared" ref="H3012:H3075" si="47">SUM(G3012:G3012)</f>
        <v>0</v>
      </c>
    </row>
    <row r="3013" spans="2:8" ht="13.5" thickBot="1" x14ac:dyDescent="0.35">
      <c r="B3013" s="9"/>
      <c r="C3013" s="14" t="s">
        <v>1475</v>
      </c>
      <c r="D3013" s="14" t="s">
        <v>278</v>
      </c>
      <c r="E3013" s="18" t="s">
        <v>9</v>
      </c>
      <c r="F3013" s="17" t="s">
        <v>23</v>
      </c>
      <c r="G3013" s="17">
        <f>G3010</f>
        <v>0</v>
      </c>
      <c r="H3013" s="13">
        <f t="shared" si="47"/>
        <v>0</v>
      </c>
    </row>
    <row r="3014" spans="2:8" ht="13.5" thickBot="1" x14ac:dyDescent="0.35">
      <c r="B3014" s="9"/>
      <c r="C3014" s="14" t="s">
        <v>1476</v>
      </c>
      <c r="D3014" s="14" t="s">
        <v>278</v>
      </c>
      <c r="E3014" s="18" t="s">
        <v>9</v>
      </c>
      <c r="F3014" s="17" t="s">
        <v>23</v>
      </c>
      <c r="G3014" s="17">
        <f>G3009</f>
        <v>0</v>
      </c>
      <c r="H3014" s="13">
        <f t="shared" si="47"/>
        <v>0</v>
      </c>
    </row>
    <row r="3015" spans="2:8" ht="13.5" thickBot="1" x14ac:dyDescent="0.35">
      <c r="B3015" s="9">
        <f>COUNT($B$4:B3014)+1</f>
        <v>860</v>
      </c>
      <c r="C3015" s="10" t="s">
        <v>1477</v>
      </c>
      <c r="D3015" s="10"/>
      <c r="E3015" s="11" t="s">
        <v>9</v>
      </c>
      <c r="F3015" s="12" t="s">
        <v>23</v>
      </c>
      <c r="G3015" s="12"/>
      <c r="H3015" s="13">
        <f t="shared" si="47"/>
        <v>0</v>
      </c>
    </row>
    <row r="3016" spans="2:8" ht="13.5" thickBot="1" x14ac:dyDescent="0.35">
      <c r="B3016" s="9"/>
      <c r="C3016" s="14" t="s">
        <v>449</v>
      </c>
      <c r="D3016" s="14" t="s">
        <v>278</v>
      </c>
      <c r="E3016" s="18" t="s">
        <v>0</v>
      </c>
      <c r="F3016" s="17" t="s">
        <v>23</v>
      </c>
      <c r="G3016" s="17">
        <f>G3015*8</f>
        <v>0</v>
      </c>
      <c r="H3016" s="13">
        <f t="shared" si="47"/>
        <v>0</v>
      </c>
    </row>
    <row r="3017" spans="2:8" ht="13.5" thickBot="1" x14ac:dyDescent="0.35">
      <c r="B3017" s="9"/>
      <c r="C3017" s="14" t="s">
        <v>451</v>
      </c>
      <c r="D3017" s="14" t="s">
        <v>278</v>
      </c>
      <c r="E3017" s="18" t="s">
        <v>0</v>
      </c>
      <c r="F3017" s="17" t="s">
        <v>23</v>
      </c>
      <c r="G3017" s="17">
        <f>G3015*8</f>
        <v>0</v>
      </c>
      <c r="H3017" s="13">
        <f t="shared" si="47"/>
        <v>0</v>
      </c>
    </row>
    <row r="3018" spans="2:8" ht="13.5" thickBot="1" x14ac:dyDescent="0.35">
      <c r="B3018" s="9"/>
      <c r="C3018" s="14" t="s">
        <v>452</v>
      </c>
      <c r="D3018" s="14" t="s">
        <v>278</v>
      </c>
      <c r="E3018" s="18" t="s">
        <v>0</v>
      </c>
      <c r="F3018" s="17" t="s">
        <v>23</v>
      </c>
      <c r="G3018" s="17">
        <f>G3016*8</f>
        <v>0</v>
      </c>
      <c r="H3018" s="13">
        <f t="shared" si="47"/>
        <v>0</v>
      </c>
    </row>
    <row r="3019" spans="2:8" ht="13.5" thickBot="1" x14ac:dyDescent="0.35">
      <c r="B3019" s="9"/>
      <c r="C3019" s="14" t="s">
        <v>1478</v>
      </c>
      <c r="D3019" s="14" t="s">
        <v>278</v>
      </c>
      <c r="E3019" s="18" t="s">
        <v>9</v>
      </c>
      <c r="F3019" s="17" t="s">
        <v>23</v>
      </c>
      <c r="G3019" s="17">
        <f>G3016</f>
        <v>0</v>
      </c>
      <c r="H3019" s="13">
        <f t="shared" si="47"/>
        <v>0</v>
      </c>
    </row>
    <row r="3020" spans="2:8" ht="13.5" thickBot="1" x14ac:dyDescent="0.35">
      <c r="B3020" s="9"/>
      <c r="C3020" s="14" t="s">
        <v>1479</v>
      </c>
      <c r="D3020" s="14" t="s">
        <v>278</v>
      </c>
      <c r="E3020" s="18" t="s">
        <v>9</v>
      </c>
      <c r="F3020" s="17" t="s">
        <v>23</v>
      </c>
      <c r="G3020" s="17">
        <f>G3015</f>
        <v>0</v>
      </c>
      <c r="H3020" s="13">
        <f t="shared" si="47"/>
        <v>0</v>
      </c>
    </row>
    <row r="3021" spans="2:8" ht="13.5" thickBot="1" x14ac:dyDescent="0.35">
      <c r="B3021" s="9">
        <f>COUNT($B$4:B3020)+1</f>
        <v>861</v>
      </c>
      <c r="C3021" s="10" t="s">
        <v>1480</v>
      </c>
      <c r="D3021" s="10"/>
      <c r="E3021" s="11" t="s">
        <v>9</v>
      </c>
      <c r="F3021" s="12" t="s">
        <v>23</v>
      </c>
      <c r="G3021" s="12"/>
      <c r="H3021" s="13">
        <f t="shared" si="47"/>
        <v>0</v>
      </c>
    </row>
    <row r="3022" spans="2:8" ht="13.5" thickBot="1" x14ac:dyDescent="0.35">
      <c r="B3022" s="9"/>
      <c r="C3022" s="14" t="s">
        <v>449</v>
      </c>
      <c r="D3022" s="14" t="s">
        <v>278</v>
      </c>
      <c r="E3022" s="18" t="s">
        <v>0</v>
      </c>
      <c r="F3022" s="17" t="s">
        <v>23</v>
      </c>
      <c r="G3022" s="17">
        <f>G3021*8</f>
        <v>0</v>
      </c>
      <c r="H3022" s="13">
        <f t="shared" si="47"/>
        <v>0</v>
      </c>
    </row>
    <row r="3023" spans="2:8" ht="13.5" thickBot="1" x14ac:dyDescent="0.35">
      <c r="B3023" s="9"/>
      <c r="C3023" s="14" t="s">
        <v>451</v>
      </c>
      <c r="D3023" s="14" t="s">
        <v>278</v>
      </c>
      <c r="E3023" s="18" t="s">
        <v>0</v>
      </c>
      <c r="F3023" s="17" t="s">
        <v>23</v>
      </c>
      <c r="G3023" s="17">
        <f>G3021*8</f>
        <v>0</v>
      </c>
      <c r="H3023" s="13">
        <f t="shared" si="47"/>
        <v>0</v>
      </c>
    </row>
    <row r="3024" spans="2:8" ht="13.5" thickBot="1" x14ac:dyDescent="0.35">
      <c r="B3024" s="9"/>
      <c r="C3024" s="14" t="s">
        <v>452</v>
      </c>
      <c r="D3024" s="14" t="s">
        <v>278</v>
      </c>
      <c r="E3024" s="18" t="s">
        <v>0</v>
      </c>
      <c r="F3024" s="17" t="s">
        <v>23</v>
      </c>
      <c r="G3024" s="17">
        <f>G3022*8</f>
        <v>0</v>
      </c>
      <c r="H3024" s="13">
        <f t="shared" si="47"/>
        <v>0</v>
      </c>
    </row>
    <row r="3025" spans="2:8" ht="13.5" thickBot="1" x14ac:dyDescent="0.35">
      <c r="B3025" s="9"/>
      <c r="C3025" s="14" t="s">
        <v>1481</v>
      </c>
      <c r="D3025" s="14" t="s">
        <v>278</v>
      </c>
      <c r="E3025" s="18" t="s">
        <v>9</v>
      </c>
      <c r="F3025" s="17" t="s">
        <v>23</v>
      </c>
      <c r="G3025" s="17">
        <f>G3022</f>
        <v>0</v>
      </c>
      <c r="H3025" s="13">
        <f t="shared" si="47"/>
        <v>0</v>
      </c>
    </row>
    <row r="3026" spans="2:8" ht="13.5" thickBot="1" x14ac:dyDescent="0.35">
      <c r="B3026" s="9"/>
      <c r="C3026" s="14" t="s">
        <v>1482</v>
      </c>
      <c r="D3026" s="14" t="s">
        <v>278</v>
      </c>
      <c r="E3026" s="18" t="s">
        <v>9</v>
      </c>
      <c r="F3026" s="17" t="s">
        <v>23</v>
      </c>
      <c r="G3026" s="17">
        <f>G3021</f>
        <v>0</v>
      </c>
      <c r="H3026" s="13">
        <f t="shared" si="47"/>
        <v>0</v>
      </c>
    </row>
    <row r="3027" spans="2:8" ht="13.5" thickBot="1" x14ac:dyDescent="0.35">
      <c r="B3027" s="9">
        <f>COUNT($B$4:B3026)+1</f>
        <v>862</v>
      </c>
      <c r="C3027" s="10" t="s">
        <v>1483</v>
      </c>
      <c r="D3027" s="10"/>
      <c r="E3027" s="11" t="s">
        <v>9</v>
      </c>
      <c r="F3027" s="12" t="s">
        <v>23</v>
      </c>
      <c r="G3027" s="12"/>
      <c r="H3027" s="13">
        <f t="shared" si="47"/>
        <v>0</v>
      </c>
    </row>
    <row r="3028" spans="2:8" ht="13.5" thickBot="1" x14ac:dyDescent="0.35">
      <c r="B3028" s="9"/>
      <c r="C3028" s="14" t="s">
        <v>449</v>
      </c>
      <c r="D3028" s="14" t="s">
        <v>278</v>
      </c>
      <c r="E3028" s="18" t="s">
        <v>0</v>
      </c>
      <c r="F3028" s="17" t="s">
        <v>23</v>
      </c>
      <c r="G3028" s="17">
        <f>G3027*8</f>
        <v>0</v>
      </c>
      <c r="H3028" s="13">
        <f t="shared" si="47"/>
        <v>0</v>
      </c>
    </row>
    <row r="3029" spans="2:8" ht="13.5" thickBot="1" x14ac:dyDescent="0.35">
      <c r="B3029" s="9"/>
      <c r="C3029" s="14" t="s">
        <v>451</v>
      </c>
      <c r="D3029" s="14" t="s">
        <v>278</v>
      </c>
      <c r="E3029" s="18" t="s">
        <v>0</v>
      </c>
      <c r="F3029" s="17" t="s">
        <v>23</v>
      </c>
      <c r="G3029" s="17">
        <f>G3027*8</f>
        <v>0</v>
      </c>
      <c r="H3029" s="13">
        <f t="shared" si="47"/>
        <v>0</v>
      </c>
    </row>
    <row r="3030" spans="2:8" ht="13.5" thickBot="1" x14ac:dyDescent="0.35">
      <c r="B3030" s="9"/>
      <c r="C3030" s="14" t="s">
        <v>452</v>
      </c>
      <c r="D3030" s="14" t="s">
        <v>278</v>
      </c>
      <c r="E3030" s="18" t="s">
        <v>0</v>
      </c>
      <c r="F3030" s="17" t="s">
        <v>23</v>
      </c>
      <c r="G3030" s="17">
        <f>G3028*8</f>
        <v>0</v>
      </c>
      <c r="H3030" s="13">
        <f t="shared" si="47"/>
        <v>0</v>
      </c>
    </row>
    <row r="3031" spans="2:8" ht="13.5" thickBot="1" x14ac:dyDescent="0.35">
      <c r="B3031" s="9"/>
      <c r="C3031" s="14" t="s">
        <v>1484</v>
      </c>
      <c r="D3031" s="14" t="s">
        <v>278</v>
      </c>
      <c r="E3031" s="18" t="s">
        <v>9</v>
      </c>
      <c r="F3031" s="17" t="s">
        <v>23</v>
      </c>
      <c r="G3031" s="17">
        <f>G3028</f>
        <v>0</v>
      </c>
      <c r="H3031" s="13">
        <f t="shared" si="47"/>
        <v>0</v>
      </c>
    </row>
    <row r="3032" spans="2:8" ht="13.5" thickBot="1" x14ac:dyDescent="0.35">
      <c r="B3032" s="9"/>
      <c r="C3032" s="14" t="s">
        <v>1485</v>
      </c>
      <c r="D3032" s="14" t="s">
        <v>278</v>
      </c>
      <c r="E3032" s="18" t="s">
        <v>9</v>
      </c>
      <c r="F3032" s="17" t="s">
        <v>23</v>
      </c>
      <c r="G3032" s="17">
        <f>G3027</f>
        <v>0</v>
      </c>
      <c r="H3032" s="13">
        <f t="shared" si="47"/>
        <v>0</v>
      </c>
    </row>
    <row r="3033" spans="2:8" ht="13.5" thickBot="1" x14ac:dyDescent="0.35">
      <c r="B3033" s="9">
        <f>COUNT($B$4:B3032)+1</f>
        <v>863</v>
      </c>
      <c r="C3033" s="10" t="s">
        <v>1486</v>
      </c>
      <c r="D3033" s="10"/>
      <c r="E3033" s="11" t="s">
        <v>9</v>
      </c>
      <c r="F3033" s="12" t="s">
        <v>23</v>
      </c>
      <c r="G3033" s="12"/>
      <c r="H3033" s="13">
        <f t="shared" si="47"/>
        <v>0</v>
      </c>
    </row>
    <row r="3034" spans="2:8" ht="13.5" thickBot="1" x14ac:dyDescent="0.35">
      <c r="B3034" s="9"/>
      <c r="C3034" s="14" t="s">
        <v>449</v>
      </c>
      <c r="D3034" s="14" t="s">
        <v>278</v>
      </c>
      <c r="E3034" s="18" t="s">
        <v>0</v>
      </c>
      <c r="F3034" s="17" t="s">
        <v>23</v>
      </c>
      <c r="G3034" s="17">
        <f>G3033*8</f>
        <v>0</v>
      </c>
      <c r="H3034" s="13">
        <f t="shared" si="47"/>
        <v>0</v>
      </c>
    </row>
    <row r="3035" spans="2:8" ht="13.5" thickBot="1" x14ac:dyDescent="0.35">
      <c r="B3035" s="9"/>
      <c r="C3035" s="14" t="s">
        <v>451</v>
      </c>
      <c r="D3035" s="14" t="s">
        <v>278</v>
      </c>
      <c r="E3035" s="18" t="s">
        <v>0</v>
      </c>
      <c r="F3035" s="17" t="s">
        <v>23</v>
      </c>
      <c r="G3035" s="17">
        <f>G3033*8</f>
        <v>0</v>
      </c>
      <c r="H3035" s="13">
        <f t="shared" si="47"/>
        <v>0</v>
      </c>
    </row>
    <row r="3036" spans="2:8" ht="13.5" thickBot="1" x14ac:dyDescent="0.35">
      <c r="B3036" s="9"/>
      <c r="C3036" s="14" t="s">
        <v>452</v>
      </c>
      <c r="D3036" s="14" t="s">
        <v>278</v>
      </c>
      <c r="E3036" s="18" t="s">
        <v>0</v>
      </c>
      <c r="F3036" s="17" t="s">
        <v>23</v>
      </c>
      <c r="G3036" s="17">
        <f>G3034*8</f>
        <v>0</v>
      </c>
      <c r="H3036" s="13">
        <f t="shared" si="47"/>
        <v>0</v>
      </c>
    </row>
    <row r="3037" spans="2:8" ht="13.5" thickBot="1" x14ac:dyDescent="0.35">
      <c r="B3037" s="9"/>
      <c r="C3037" s="14" t="s">
        <v>1487</v>
      </c>
      <c r="D3037" s="14" t="s">
        <v>278</v>
      </c>
      <c r="E3037" s="18" t="s">
        <v>9</v>
      </c>
      <c r="F3037" s="17" t="s">
        <v>23</v>
      </c>
      <c r="G3037" s="17">
        <f>G3034</f>
        <v>0</v>
      </c>
      <c r="H3037" s="13">
        <f t="shared" si="47"/>
        <v>0</v>
      </c>
    </row>
    <row r="3038" spans="2:8" ht="13.5" thickBot="1" x14ac:dyDescent="0.35">
      <c r="B3038" s="9"/>
      <c r="C3038" s="14" t="s">
        <v>1488</v>
      </c>
      <c r="D3038" s="14" t="s">
        <v>278</v>
      </c>
      <c r="E3038" s="18" t="s">
        <v>9</v>
      </c>
      <c r="F3038" s="17" t="s">
        <v>23</v>
      </c>
      <c r="G3038" s="17">
        <f>G3033</f>
        <v>0</v>
      </c>
      <c r="H3038" s="13">
        <f t="shared" si="47"/>
        <v>0</v>
      </c>
    </row>
    <row r="3039" spans="2:8" ht="13.5" thickBot="1" x14ac:dyDescent="0.35">
      <c r="B3039" s="9">
        <f>COUNT($B$4:B3038)+1</f>
        <v>864</v>
      </c>
      <c r="C3039" s="10" t="s">
        <v>1489</v>
      </c>
      <c r="D3039" s="10"/>
      <c r="E3039" s="11" t="s">
        <v>9</v>
      </c>
      <c r="F3039" s="12" t="s">
        <v>23</v>
      </c>
      <c r="G3039" s="12"/>
      <c r="H3039" s="13">
        <f t="shared" si="47"/>
        <v>0</v>
      </c>
    </row>
    <row r="3040" spans="2:8" ht="13.5" thickBot="1" x14ac:dyDescent="0.35">
      <c r="B3040" s="9"/>
      <c r="C3040" s="14" t="s">
        <v>449</v>
      </c>
      <c r="D3040" s="14" t="s">
        <v>278</v>
      </c>
      <c r="E3040" s="18" t="s">
        <v>0</v>
      </c>
      <c r="F3040" s="17" t="s">
        <v>23</v>
      </c>
      <c r="G3040" s="17">
        <f>G3039*8</f>
        <v>0</v>
      </c>
      <c r="H3040" s="13">
        <f t="shared" si="47"/>
        <v>0</v>
      </c>
    </row>
    <row r="3041" spans="1:8" ht="13.5" thickBot="1" x14ac:dyDescent="0.35">
      <c r="B3041" s="9"/>
      <c r="C3041" s="14" t="s">
        <v>451</v>
      </c>
      <c r="D3041" s="14" t="s">
        <v>278</v>
      </c>
      <c r="E3041" s="18" t="s">
        <v>0</v>
      </c>
      <c r="F3041" s="17" t="s">
        <v>23</v>
      </c>
      <c r="G3041" s="17">
        <f>G3039*8</f>
        <v>0</v>
      </c>
      <c r="H3041" s="13">
        <f t="shared" si="47"/>
        <v>0</v>
      </c>
    </row>
    <row r="3042" spans="1:8" ht="13.5" thickBot="1" x14ac:dyDescent="0.35">
      <c r="B3042" s="9"/>
      <c r="C3042" s="14" t="s">
        <v>452</v>
      </c>
      <c r="D3042" s="14" t="s">
        <v>278</v>
      </c>
      <c r="E3042" s="18" t="s">
        <v>0</v>
      </c>
      <c r="F3042" s="17" t="s">
        <v>23</v>
      </c>
      <c r="G3042" s="17">
        <f>G3040*8</f>
        <v>0</v>
      </c>
      <c r="H3042" s="13">
        <f t="shared" si="47"/>
        <v>0</v>
      </c>
    </row>
    <row r="3043" spans="1:8" ht="13.5" thickBot="1" x14ac:dyDescent="0.35">
      <c r="B3043" s="9"/>
      <c r="C3043" s="14" t="s">
        <v>1490</v>
      </c>
      <c r="D3043" s="14" t="s">
        <v>278</v>
      </c>
      <c r="E3043" s="18" t="s">
        <v>9</v>
      </c>
      <c r="F3043" s="17" t="s">
        <v>23</v>
      </c>
      <c r="G3043" s="17">
        <f>G3040</f>
        <v>0</v>
      </c>
      <c r="H3043" s="13">
        <f t="shared" si="47"/>
        <v>0</v>
      </c>
    </row>
    <row r="3044" spans="1:8" ht="13.5" thickBot="1" x14ac:dyDescent="0.35">
      <c r="B3044" s="9"/>
      <c r="C3044" s="14" t="s">
        <v>1491</v>
      </c>
      <c r="D3044" s="14" t="s">
        <v>278</v>
      </c>
      <c r="E3044" s="18" t="s">
        <v>9</v>
      </c>
      <c r="F3044" s="17" t="s">
        <v>23</v>
      </c>
      <c r="G3044" s="17">
        <f>G3039</f>
        <v>0</v>
      </c>
      <c r="H3044" s="13">
        <f t="shared" si="47"/>
        <v>0</v>
      </c>
    </row>
    <row r="3045" spans="1:8" ht="13.5" thickBot="1" x14ac:dyDescent="0.35">
      <c r="A3045" s="2"/>
      <c r="B3045" s="9">
        <f>COUNT($B$4:B3044)+1</f>
        <v>865</v>
      </c>
      <c r="C3045" s="10" t="s">
        <v>1492</v>
      </c>
      <c r="D3045" s="10"/>
      <c r="E3045" s="11" t="s">
        <v>0</v>
      </c>
      <c r="F3045" s="12" t="s">
        <v>23</v>
      </c>
      <c r="G3045" s="12"/>
      <c r="H3045" s="13">
        <f t="shared" si="47"/>
        <v>0</v>
      </c>
    </row>
    <row r="3046" spans="1:8" ht="13.5" thickBot="1" x14ac:dyDescent="0.35">
      <c r="A3046" s="2"/>
      <c r="B3046" s="9"/>
      <c r="C3046" s="14" t="s">
        <v>449</v>
      </c>
      <c r="D3046" s="14" t="s">
        <v>278</v>
      </c>
      <c r="E3046" s="18" t="s">
        <v>0</v>
      </c>
      <c r="F3046" s="17" t="s">
        <v>23</v>
      </c>
      <c r="G3046" s="17">
        <f>G3045*2</f>
        <v>0</v>
      </c>
      <c r="H3046" s="13">
        <f t="shared" si="47"/>
        <v>0</v>
      </c>
    </row>
    <row r="3047" spans="1:8" ht="13.5" thickBot="1" x14ac:dyDescent="0.35">
      <c r="A3047" s="2"/>
      <c r="B3047" s="9"/>
      <c r="C3047" s="14" t="s">
        <v>746</v>
      </c>
      <c r="D3047" s="14" t="s">
        <v>278</v>
      </c>
      <c r="E3047" s="18" t="s">
        <v>0</v>
      </c>
      <c r="F3047" s="17" t="s">
        <v>23</v>
      </c>
      <c r="G3047" s="17">
        <f>G3045*2</f>
        <v>0</v>
      </c>
      <c r="H3047" s="13">
        <f t="shared" si="47"/>
        <v>0</v>
      </c>
    </row>
    <row r="3048" spans="1:8" ht="13.5" thickBot="1" x14ac:dyDescent="0.35">
      <c r="A3048" s="2"/>
      <c r="B3048" s="9"/>
      <c r="C3048" s="14" t="s">
        <v>452</v>
      </c>
      <c r="D3048" s="14" t="s">
        <v>278</v>
      </c>
      <c r="E3048" s="18" t="s">
        <v>0</v>
      </c>
      <c r="F3048" s="17" t="s">
        <v>23</v>
      </c>
      <c r="G3048" s="17">
        <f>G3045*2</f>
        <v>0</v>
      </c>
      <c r="H3048" s="13">
        <f t="shared" si="47"/>
        <v>0</v>
      </c>
    </row>
    <row r="3049" spans="1:8" ht="13.5" thickBot="1" x14ac:dyDescent="0.35">
      <c r="A3049" s="2"/>
      <c r="B3049" s="9"/>
      <c r="C3049" s="14" t="s">
        <v>1492</v>
      </c>
      <c r="D3049" s="14" t="s">
        <v>278</v>
      </c>
      <c r="E3049" s="18" t="s">
        <v>0</v>
      </c>
      <c r="F3049" s="17" t="s">
        <v>23</v>
      </c>
      <c r="G3049" s="17">
        <f>G3045</f>
        <v>0</v>
      </c>
      <c r="H3049" s="13">
        <f t="shared" si="47"/>
        <v>0</v>
      </c>
    </row>
    <row r="3050" spans="1:8" ht="13.5" thickBot="1" x14ac:dyDescent="0.35">
      <c r="A3050" s="2"/>
      <c r="B3050" s="9">
        <f>COUNT($B$4:B3049)+1</f>
        <v>866</v>
      </c>
      <c r="C3050" s="10" t="s">
        <v>1493</v>
      </c>
      <c r="D3050" s="10"/>
      <c r="E3050" s="11" t="s">
        <v>0</v>
      </c>
      <c r="F3050" s="12" t="s">
        <v>23</v>
      </c>
      <c r="G3050" s="12"/>
      <c r="H3050" s="13">
        <f t="shared" si="47"/>
        <v>0</v>
      </c>
    </row>
    <row r="3051" spans="1:8" ht="13.5" thickBot="1" x14ac:dyDescent="0.35">
      <c r="A3051" s="2"/>
      <c r="B3051" s="9"/>
      <c r="C3051" s="14" t="s">
        <v>449</v>
      </c>
      <c r="D3051" s="14" t="s">
        <v>278</v>
      </c>
      <c r="E3051" s="18" t="s">
        <v>0</v>
      </c>
      <c r="F3051" s="17" t="s">
        <v>23</v>
      </c>
      <c r="G3051" s="17">
        <f>G3050*2</f>
        <v>0</v>
      </c>
      <c r="H3051" s="13">
        <f t="shared" si="47"/>
        <v>0</v>
      </c>
    </row>
    <row r="3052" spans="1:8" ht="13.5" thickBot="1" x14ac:dyDescent="0.35">
      <c r="A3052" s="2"/>
      <c r="B3052" s="9"/>
      <c r="C3052" s="14" t="s">
        <v>746</v>
      </c>
      <c r="D3052" s="14" t="s">
        <v>278</v>
      </c>
      <c r="E3052" s="18" t="s">
        <v>0</v>
      </c>
      <c r="F3052" s="17" t="s">
        <v>23</v>
      </c>
      <c r="G3052" s="17">
        <f>G3050*2</f>
        <v>0</v>
      </c>
      <c r="H3052" s="13">
        <f t="shared" si="47"/>
        <v>0</v>
      </c>
    </row>
    <row r="3053" spans="1:8" ht="13.5" thickBot="1" x14ac:dyDescent="0.35">
      <c r="A3053" s="2"/>
      <c r="B3053" s="9"/>
      <c r="C3053" s="14" t="s">
        <v>452</v>
      </c>
      <c r="D3053" s="14" t="s">
        <v>278</v>
      </c>
      <c r="E3053" s="18" t="s">
        <v>0</v>
      </c>
      <c r="F3053" s="17" t="s">
        <v>23</v>
      </c>
      <c r="G3053" s="17">
        <f>G3050*2</f>
        <v>0</v>
      </c>
      <c r="H3053" s="13">
        <f t="shared" si="47"/>
        <v>0</v>
      </c>
    </row>
    <row r="3054" spans="1:8" ht="13.5" thickBot="1" x14ac:dyDescent="0.35">
      <c r="A3054" s="2"/>
      <c r="B3054" s="9"/>
      <c r="C3054" s="14" t="s">
        <v>1493</v>
      </c>
      <c r="D3054" s="14" t="s">
        <v>278</v>
      </c>
      <c r="E3054" s="18" t="s">
        <v>0</v>
      </c>
      <c r="F3054" s="17" t="s">
        <v>23</v>
      </c>
      <c r="G3054" s="17">
        <f>G3050</f>
        <v>0</v>
      </c>
      <c r="H3054" s="13">
        <f t="shared" si="47"/>
        <v>0</v>
      </c>
    </row>
    <row r="3055" spans="1:8" ht="13.5" thickBot="1" x14ac:dyDescent="0.35">
      <c r="B3055" s="9">
        <f>COUNT($B$4:B3054)+1</f>
        <v>867</v>
      </c>
      <c r="C3055" s="10" t="s">
        <v>1494</v>
      </c>
      <c r="D3055" s="10"/>
      <c r="E3055" s="11" t="s">
        <v>0</v>
      </c>
      <c r="F3055" s="12" t="s">
        <v>23</v>
      </c>
      <c r="G3055" s="12"/>
      <c r="H3055" s="13">
        <f t="shared" si="47"/>
        <v>0</v>
      </c>
    </row>
    <row r="3056" spans="1:8" ht="13.5" thickBot="1" x14ac:dyDescent="0.35">
      <c r="B3056" s="9"/>
      <c r="C3056" s="14" t="s">
        <v>449</v>
      </c>
      <c r="D3056" s="14" t="s">
        <v>278</v>
      </c>
      <c r="E3056" s="18" t="s">
        <v>0</v>
      </c>
      <c r="F3056" s="17" t="s">
        <v>23</v>
      </c>
      <c r="G3056" s="17">
        <f>G3055*2</f>
        <v>0</v>
      </c>
      <c r="H3056" s="13">
        <f t="shared" si="47"/>
        <v>0</v>
      </c>
    </row>
    <row r="3057" spans="2:8" ht="13.5" thickBot="1" x14ac:dyDescent="0.35">
      <c r="B3057" s="9"/>
      <c r="C3057" s="14" t="s">
        <v>746</v>
      </c>
      <c r="D3057" s="14" t="s">
        <v>278</v>
      </c>
      <c r="E3057" s="18" t="s">
        <v>0</v>
      </c>
      <c r="F3057" s="17" t="s">
        <v>23</v>
      </c>
      <c r="G3057" s="17">
        <f>G3055*2</f>
        <v>0</v>
      </c>
      <c r="H3057" s="13">
        <f t="shared" si="47"/>
        <v>0</v>
      </c>
    </row>
    <row r="3058" spans="2:8" ht="13.5" thickBot="1" x14ac:dyDescent="0.35">
      <c r="B3058" s="9"/>
      <c r="C3058" s="14" t="s">
        <v>452</v>
      </c>
      <c r="D3058" s="14" t="s">
        <v>278</v>
      </c>
      <c r="E3058" s="18" t="s">
        <v>0</v>
      </c>
      <c r="F3058" s="17" t="s">
        <v>23</v>
      </c>
      <c r="G3058" s="17">
        <f>G3055*2</f>
        <v>0</v>
      </c>
      <c r="H3058" s="13">
        <f t="shared" si="47"/>
        <v>0</v>
      </c>
    </row>
    <row r="3059" spans="2:8" ht="13.5" thickBot="1" x14ac:dyDescent="0.35">
      <c r="B3059" s="9"/>
      <c r="C3059" s="14" t="s">
        <v>1494</v>
      </c>
      <c r="D3059" s="14" t="s">
        <v>278</v>
      </c>
      <c r="E3059" s="18" t="s">
        <v>0</v>
      </c>
      <c r="F3059" s="17" t="s">
        <v>23</v>
      </c>
      <c r="G3059" s="17">
        <f>G3055</f>
        <v>0</v>
      </c>
      <c r="H3059" s="13">
        <f t="shared" si="47"/>
        <v>0</v>
      </c>
    </row>
    <row r="3060" spans="2:8" ht="13.5" thickBot="1" x14ac:dyDescent="0.35">
      <c r="B3060" s="9">
        <f>COUNT($B$4:B3059)+1</f>
        <v>868</v>
      </c>
      <c r="C3060" s="10" t="s">
        <v>1495</v>
      </c>
      <c r="D3060" s="10"/>
      <c r="E3060" s="11" t="s">
        <v>0</v>
      </c>
      <c r="F3060" s="12" t="s">
        <v>23</v>
      </c>
      <c r="G3060" s="12"/>
      <c r="H3060" s="13">
        <f t="shared" si="47"/>
        <v>0</v>
      </c>
    </row>
    <row r="3061" spans="2:8" ht="13.5" thickBot="1" x14ac:dyDescent="0.35">
      <c r="B3061" s="9"/>
      <c r="C3061" s="14" t="s">
        <v>449</v>
      </c>
      <c r="D3061" s="14" t="s">
        <v>278</v>
      </c>
      <c r="E3061" s="18" t="s">
        <v>0</v>
      </c>
      <c r="F3061" s="17" t="s">
        <v>23</v>
      </c>
      <c r="G3061" s="17">
        <f>G3060*2</f>
        <v>0</v>
      </c>
      <c r="H3061" s="13">
        <f t="shared" si="47"/>
        <v>0</v>
      </c>
    </row>
    <row r="3062" spans="2:8" ht="13.5" thickBot="1" x14ac:dyDescent="0.35">
      <c r="B3062" s="9"/>
      <c r="C3062" s="14" t="s">
        <v>746</v>
      </c>
      <c r="D3062" s="14" t="s">
        <v>278</v>
      </c>
      <c r="E3062" s="18" t="s">
        <v>0</v>
      </c>
      <c r="F3062" s="17" t="s">
        <v>23</v>
      </c>
      <c r="G3062" s="17">
        <f>G3060*2</f>
        <v>0</v>
      </c>
      <c r="H3062" s="13">
        <f t="shared" si="47"/>
        <v>0</v>
      </c>
    </row>
    <row r="3063" spans="2:8" ht="13.5" thickBot="1" x14ac:dyDescent="0.35">
      <c r="B3063" s="9"/>
      <c r="C3063" s="14" t="s">
        <v>452</v>
      </c>
      <c r="D3063" s="14" t="s">
        <v>278</v>
      </c>
      <c r="E3063" s="18" t="s">
        <v>0</v>
      </c>
      <c r="F3063" s="17" t="s">
        <v>23</v>
      </c>
      <c r="G3063" s="17">
        <f>G3060*2</f>
        <v>0</v>
      </c>
      <c r="H3063" s="13">
        <f t="shared" si="47"/>
        <v>0</v>
      </c>
    </row>
    <row r="3064" spans="2:8" ht="13.5" thickBot="1" x14ac:dyDescent="0.35">
      <c r="B3064" s="9"/>
      <c r="C3064" s="14" t="s">
        <v>1495</v>
      </c>
      <c r="D3064" s="14" t="s">
        <v>278</v>
      </c>
      <c r="E3064" s="18" t="s">
        <v>0</v>
      </c>
      <c r="F3064" s="17" t="s">
        <v>23</v>
      </c>
      <c r="G3064" s="17">
        <f>G3060</f>
        <v>0</v>
      </c>
      <c r="H3064" s="13">
        <f t="shared" si="47"/>
        <v>0</v>
      </c>
    </row>
    <row r="3065" spans="2:8" ht="13.5" thickBot="1" x14ac:dyDescent="0.35">
      <c r="B3065" s="9">
        <f>COUNT($B$4:B3064)+1</f>
        <v>869</v>
      </c>
      <c r="C3065" s="10" t="s">
        <v>1496</v>
      </c>
      <c r="D3065" s="10"/>
      <c r="E3065" s="11" t="s">
        <v>0</v>
      </c>
      <c r="F3065" s="12" t="s">
        <v>23</v>
      </c>
      <c r="G3065" s="12"/>
      <c r="H3065" s="13">
        <f t="shared" si="47"/>
        <v>0</v>
      </c>
    </row>
    <row r="3066" spans="2:8" ht="13.5" thickBot="1" x14ac:dyDescent="0.35">
      <c r="B3066" s="9"/>
      <c r="C3066" s="14" t="s">
        <v>449</v>
      </c>
      <c r="D3066" s="14" t="s">
        <v>278</v>
      </c>
      <c r="E3066" s="18" t="s">
        <v>0</v>
      </c>
      <c r="F3066" s="17" t="s">
        <v>23</v>
      </c>
      <c r="G3066" s="17">
        <f>G3065*2</f>
        <v>0</v>
      </c>
      <c r="H3066" s="13">
        <f t="shared" si="47"/>
        <v>0</v>
      </c>
    </row>
    <row r="3067" spans="2:8" ht="13.5" thickBot="1" x14ac:dyDescent="0.35">
      <c r="B3067" s="9"/>
      <c r="C3067" s="14" t="s">
        <v>746</v>
      </c>
      <c r="D3067" s="14" t="s">
        <v>278</v>
      </c>
      <c r="E3067" s="18" t="s">
        <v>0</v>
      </c>
      <c r="F3067" s="17" t="s">
        <v>23</v>
      </c>
      <c r="G3067" s="17">
        <f>G3065*2</f>
        <v>0</v>
      </c>
      <c r="H3067" s="13">
        <f t="shared" si="47"/>
        <v>0</v>
      </c>
    </row>
    <row r="3068" spans="2:8" ht="13.5" thickBot="1" x14ac:dyDescent="0.35">
      <c r="B3068" s="9"/>
      <c r="C3068" s="14" t="s">
        <v>452</v>
      </c>
      <c r="D3068" s="14" t="s">
        <v>278</v>
      </c>
      <c r="E3068" s="18" t="s">
        <v>0</v>
      </c>
      <c r="F3068" s="17" t="s">
        <v>23</v>
      </c>
      <c r="G3068" s="17">
        <f>G3065*2</f>
        <v>0</v>
      </c>
      <c r="H3068" s="13">
        <f t="shared" si="47"/>
        <v>0</v>
      </c>
    </row>
    <row r="3069" spans="2:8" ht="13.5" thickBot="1" x14ac:dyDescent="0.35">
      <c r="B3069" s="9"/>
      <c r="C3069" s="14" t="s">
        <v>1496</v>
      </c>
      <c r="D3069" s="14" t="s">
        <v>278</v>
      </c>
      <c r="E3069" s="18" t="s">
        <v>0</v>
      </c>
      <c r="F3069" s="17" t="s">
        <v>23</v>
      </c>
      <c r="G3069" s="17">
        <f>G3065</f>
        <v>0</v>
      </c>
      <c r="H3069" s="13">
        <f t="shared" si="47"/>
        <v>0</v>
      </c>
    </row>
    <row r="3070" spans="2:8" ht="13.5" thickBot="1" x14ac:dyDescent="0.35">
      <c r="B3070" s="9">
        <f>COUNT($B$4:B3069)+1</f>
        <v>870</v>
      </c>
      <c r="C3070" s="10" t="s">
        <v>1497</v>
      </c>
      <c r="D3070" s="10"/>
      <c r="E3070" s="11" t="s">
        <v>0</v>
      </c>
      <c r="F3070" s="12" t="s">
        <v>23</v>
      </c>
      <c r="G3070" s="12"/>
      <c r="H3070" s="13">
        <f t="shared" si="47"/>
        <v>0</v>
      </c>
    </row>
    <row r="3071" spans="2:8" ht="13.5" thickBot="1" x14ac:dyDescent="0.35">
      <c r="B3071" s="9"/>
      <c r="C3071" s="14" t="s">
        <v>449</v>
      </c>
      <c r="D3071" s="14" t="s">
        <v>278</v>
      </c>
      <c r="E3071" s="18" t="s">
        <v>0</v>
      </c>
      <c r="F3071" s="17" t="s">
        <v>23</v>
      </c>
      <c r="G3071" s="17">
        <f>G3070*2</f>
        <v>0</v>
      </c>
      <c r="H3071" s="13">
        <f t="shared" si="47"/>
        <v>0</v>
      </c>
    </row>
    <row r="3072" spans="2:8" ht="13.5" thickBot="1" x14ac:dyDescent="0.35">
      <c r="B3072" s="9"/>
      <c r="C3072" s="14" t="s">
        <v>746</v>
      </c>
      <c r="D3072" s="14" t="s">
        <v>278</v>
      </c>
      <c r="E3072" s="18" t="s">
        <v>0</v>
      </c>
      <c r="F3072" s="17" t="s">
        <v>23</v>
      </c>
      <c r="G3072" s="17">
        <f>G3070*2</f>
        <v>0</v>
      </c>
      <c r="H3072" s="13">
        <f t="shared" si="47"/>
        <v>0</v>
      </c>
    </row>
    <row r="3073" spans="2:8" ht="13.5" thickBot="1" x14ac:dyDescent="0.35">
      <c r="B3073" s="9"/>
      <c r="C3073" s="14" t="s">
        <v>452</v>
      </c>
      <c r="D3073" s="14" t="s">
        <v>278</v>
      </c>
      <c r="E3073" s="18" t="s">
        <v>0</v>
      </c>
      <c r="F3073" s="17" t="s">
        <v>23</v>
      </c>
      <c r="G3073" s="17">
        <f>G3070*2</f>
        <v>0</v>
      </c>
      <c r="H3073" s="13">
        <f t="shared" si="47"/>
        <v>0</v>
      </c>
    </row>
    <row r="3074" spans="2:8" ht="13.5" thickBot="1" x14ac:dyDescent="0.35">
      <c r="B3074" s="9"/>
      <c r="C3074" s="14" t="s">
        <v>1497</v>
      </c>
      <c r="D3074" s="14" t="s">
        <v>278</v>
      </c>
      <c r="E3074" s="18" t="s">
        <v>0</v>
      </c>
      <c r="F3074" s="17" t="s">
        <v>23</v>
      </c>
      <c r="G3074" s="17">
        <f>G3070</f>
        <v>0</v>
      </c>
      <c r="H3074" s="13">
        <f t="shared" si="47"/>
        <v>0</v>
      </c>
    </row>
    <row r="3075" spans="2:8" ht="13.5" thickBot="1" x14ac:dyDescent="0.35">
      <c r="B3075" s="9">
        <f>COUNT($B$4:B3074)+1</f>
        <v>871</v>
      </c>
      <c r="C3075" s="10" t="s">
        <v>1498</v>
      </c>
      <c r="D3075" s="10"/>
      <c r="E3075" s="11" t="s">
        <v>0</v>
      </c>
      <c r="F3075" s="12" t="s">
        <v>23</v>
      </c>
      <c r="G3075" s="12"/>
      <c r="H3075" s="13">
        <f t="shared" si="47"/>
        <v>0</v>
      </c>
    </row>
    <row r="3076" spans="2:8" ht="13.5" thickBot="1" x14ac:dyDescent="0.35">
      <c r="B3076" s="9"/>
      <c r="C3076" s="14" t="s">
        <v>449</v>
      </c>
      <c r="D3076" s="14" t="s">
        <v>278</v>
      </c>
      <c r="E3076" s="18" t="s">
        <v>0</v>
      </c>
      <c r="F3076" s="17" t="s">
        <v>23</v>
      </c>
      <c r="G3076" s="17">
        <f>G3075*2</f>
        <v>0</v>
      </c>
      <c r="H3076" s="13">
        <f t="shared" ref="H3076:H3139" si="48">SUM(G3076:G3076)</f>
        <v>0</v>
      </c>
    </row>
    <row r="3077" spans="2:8" ht="13.5" thickBot="1" x14ac:dyDescent="0.35">
      <c r="B3077" s="9"/>
      <c r="C3077" s="14" t="s">
        <v>746</v>
      </c>
      <c r="D3077" s="14" t="s">
        <v>278</v>
      </c>
      <c r="E3077" s="18" t="s">
        <v>0</v>
      </c>
      <c r="F3077" s="17" t="s">
        <v>23</v>
      </c>
      <c r="G3077" s="17">
        <f>G3075*2</f>
        <v>0</v>
      </c>
      <c r="H3077" s="13">
        <f t="shared" si="48"/>
        <v>0</v>
      </c>
    </row>
    <row r="3078" spans="2:8" ht="13.5" thickBot="1" x14ac:dyDescent="0.35">
      <c r="B3078" s="9"/>
      <c r="C3078" s="14" t="s">
        <v>452</v>
      </c>
      <c r="D3078" s="14" t="s">
        <v>278</v>
      </c>
      <c r="E3078" s="18" t="s">
        <v>0</v>
      </c>
      <c r="F3078" s="17" t="s">
        <v>23</v>
      </c>
      <c r="G3078" s="17">
        <f>G3075*2</f>
        <v>0</v>
      </c>
      <c r="H3078" s="13">
        <f t="shared" si="48"/>
        <v>0</v>
      </c>
    </row>
    <row r="3079" spans="2:8" ht="13.5" thickBot="1" x14ac:dyDescent="0.35">
      <c r="B3079" s="9"/>
      <c r="C3079" s="14" t="s">
        <v>1498</v>
      </c>
      <c r="D3079" s="14" t="s">
        <v>278</v>
      </c>
      <c r="E3079" s="18" t="s">
        <v>0</v>
      </c>
      <c r="F3079" s="17" t="s">
        <v>23</v>
      </c>
      <c r="G3079" s="17">
        <f>G3075</f>
        <v>0</v>
      </c>
      <c r="H3079" s="13">
        <f t="shared" si="48"/>
        <v>0</v>
      </c>
    </row>
    <row r="3080" spans="2:8" ht="13.5" thickBot="1" x14ac:dyDescent="0.35">
      <c r="B3080" s="9">
        <f>COUNT($B$4:B3079)+1</f>
        <v>872</v>
      </c>
      <c r="C3080" s="10" t="s">
        <v>1499</v>
      </c>
      <c r="D3080" s="10"/>
      <c r="E3080" s="11" t="s">
        <v>0</v>
      </c>
      <c r="F3080" s="12" t="s">
        <v>23</v>
      </c>
      <c r="G3080" s="12"/>
      <c r="H3080" s="13">
        <f t="shared" si="48"/>
        <v>0</v>
      </c>
    </row>
    <row r="3081" spans="2:8" ht="13.5" thickBot="1" x14ac:dyDescent="0.35">
      <c r="B3081" s="9"/>
      <c r="C3081" s="14" t="s">
        <v>449</v>
      </c>
      <c r="D3081" s="14" t="s">
        <v>278</v>
      </c>
      <c r="E3081" s="18" t="s">
        <v>0</v>
      </c>
      <c r="F3081" s="17" t="s">
        <v>23</v>
      </c>
      <c r="G3081" s="17">
        <f>G3080*2</f>
        <v>0</v>
      </c>
      <c r="H3081" s="13">
        <f t="shared" si="48"/>
        <v>0</v>
      </c>
    </row>
    <row r="3082" spans="2:8" ht="13.5" thickBot="1" x14ac:dyDescent="0.35">
      <c r="B3082" s="9"/>
      <c r="C3082" s="14" t="s">
        <v>746</v>
      </c>
      <c r="D3082" s="14" t="s">
        <v>278</v>
      </c>
      <c r="E3082" s="18" t="s">
        <v>0</v>
      </c>
      <c r="F3082" s="17" t="s">
        <v>23</v>
      </c>
      <c r="G3082" s="17">
        <f>G3080*2</f>
        <v>0</v>
      </c>
      <c r="H3082" s="13">
        <f t="shared" si="48"/>
        <v>0</v>
      </c>
    </row>
    <row r="3083" spans="2:8" ht="13.5" thickBot="1" x14ac:dyDescent="0.35">
      <c r="B3083" s="9"/>
      <c r="C3083" s="14" t="s">
        <v>452</v>
      </c>
      <c r="D3083" s="14" t="s">
        <v>278</v>
      </c>
      <c r="E3083" s="18" t="s">
        <v>0</v>
      </c>
      <c r="F3083" s="17" t="s">
        <v>23</v>
      </c>
      <c r="G3083" s="17">
        <f>G3080*2</f>
        <v>0</v>
      </c>
      <c r="H3083" s="13">
        <f t="shared" si="48"/>
        <v>0</v>
      </c>
    </row>
    <row r="3084" spans="2:8" ht="13.5" thickBot="1" x14ac:dyDescent="0.35">
      <c r="B3084" s="9"/>
      <c r="C3084" s="14" t="s">
        <v>1499</v>
      </c>
      <c r="D3084" s="14" t="s">
        <v>278</v>
      </c>
      <c r="E3084" s="18" t="s">
        <v>0</v>
      </c>
      <c r="F3084" s="17" t="s">
        <v>23</v>
      </c>
      <c r="G3084" s="17">
        <f>G3080</f>
        <v>0</v>
      </c>
      <c r="H3084" s="13">
        <f t="shared" si="48"/>
        <v>0</v>
      </c>
    </row>
    <row r="3085" spans="2:8" ht="13.5" thickBot="1" x14ac:dyDescent="0.35">
      <c r="B3085" s="9">
        <f>COUNT($B$4:B3084)+1</f>
        <v>873</v>
      </c>
      <c r="C3085" s="10" t="s">
        <v>1500</v>
      </c>
      <c r="D3085" s="10"/>
      <c r="E3085" s="11" t="s">
        <v>0</v>
      </c>
      <c r="F3085" s="12" t="s">
        <v>23</v>
      </c>
      <c r="G3085" s="12"/>
      <c r="H3085" s="13">
        <f t="shared" si="48"/>
        <v>0</v>
      </c>
    </row>
    <row r="3086" spans="2:8" ht="13.5" thickBot="1" x14ac:dyDescent="0.35">
      <c r="B3086" s="9"/>
      <c r="C3086" s="14" t="s">
        <v>449</v>
      </c>
      <c r="D3086" s="14" t="s">
        <v>278</v>
      </c>
      <c r="E3086" s="18" t="s">
        <v>0</v>
      </c>
      <c r="F3086" s="17" t="s">
        <v>23</v>
      </c>
      <c r="G3086" s="17">
        <f>G3085*2</f>
        <v>0</v>
      </c>
      <c r="H3086" s="13">
        <f t="shared" si="48"/>
        <v>0</v>
      </c>
    </row>
    <row r="3087" spans="2:8" ht="13.5" thickBot="1" x14ac:dyDescent="0.35">
      <c r="B3087" s="9"/>
      <c r="C3087" s="14" t="s">
        <v>746</v>
      </c>
      <c r="D3087" s="14" t="s">
        <v>278</v>
      </c>
      <c r="E3087" s="18" t="s">
        <v>0</v>
      </c>
      <c r="F3087" s="17" t="s">
        <v>23</v>
      </c>
      <c r="G3087" s="17">
        <f>G3085*2</f>
        <v>0</v>
      </c>
      <c r="H3087" s="13">
        <f t="shared" si="48"/>
        <v>0</v>
      </c>
    </row>
    <row r="3088" spans="2:8" ht="13.5" thickBot="1" x14ac:dyDescent="0.35">
      <c r="B3088" s="9"/>
      <c r="C3088" s="14" t="s">
        <v>452</v>
      </c>
      <c r="D3088" s="14" t="s">
        <v>278</v>
      </c>
      <c r="E3088" s="18" t="s">
        <v>0</v>
      </c>
      <c r="F3088" s="17" t="s">
        <v>23</v>
      </c>
      <c r="G3088" s="17">
        <f>G3085*2</f>
        <v>0</v>
      </c>
      <c r="H3088" s="13">
        <f t="shared" si="48"/>
        <v>0</v>
      </c>
    </row>
    <row r="3089" spans="2:8" ht="13.5" thickBot="1" x14ac:dyDescent="0.35">
      <c r="B3089" s="9"/>
      <c r="C3089" s="14" t="s">
        <v>1500</v>
      </c>
      <c r="D3089" s="14" t="s">
        <v>278</v>
      </c>
      <c r="E3089" s="18" t="s">
        <v>0</v>
      </c>
      <c r="F3089" s="17" t="s">
        <v>23</v>
      </c>
      <c r="G3089" s="17">
        <f>G3085</f>
        <v>0</v>
      </c>
      <c r="H3089" s="13">
        <f t="shared" si="48"/>
        <v>0</v>
      </c>
    </row>
    <row r="3090" spans="2:8" ht="13.5" thickBot="1" x14ac:dyDescent="0.35">
      <c r="B3090" s="9">
        <f>COUNT($B$4:B3089)+1</f>
        <v>874</v>
      </c>
      <c r="C3090" s="10" t="s">
        <v>1501</v>
      </c>
      <c r="D3090" s="10"/>
      <c r="E3090" s="11" t="s">
        <v>0</v>
      </c>
      <c r="F3090" s="12" t="s">
        <v>23</v>
      </c>
      <c r="G3090" s="12"/>
      <c r="H3090" s="13">
        <f t="shared" si="48"/>
        <v>0</v>
      </c>
    </row>
    <row r="3091" spans="2:8" ht="13.5" thickBot="1" x14ac:dyDescent="0.35">
      <c r="B3091" s="9"/>
      <c r="C3091" s="14" t="s">
        <v>449</v>
      </c>
      <c r="D3091" s="14" t="s">
        <v>278</v>
      </c>
      <c r="E3091" s="18" t="s">
        <v>0</v>
      </c>
      <c r="F3091" s="17" t="s">
        <v>23</v>
      </c>
      <c r="G3091" s="17">
        <f>G3090*2</f>
        <v>0</v>
      </c>
      <c r="H3091" s="13">
        <f t="shared" si="48"/>
        <v>0</v>
      </c>
    </row>
    <row r="3092" spans="2:8" ht="13.5" thickBot="1" x14ac:dyDescent="0.35">
      <c r="B3092" s="9"/>
      <c r="C3092" s="14" t="s">
        <v>746</v>
      </c>
      <c r="D3092" s="14" t="s">
        <v>278</v>
      </c>
      <c r="E3092" s="18" t="s">
        <v>0</v>
      </c>
      <c r="F3092" s="17" t="s">
        <v>23</v>
      </c>
      <c r="G3092" s="17">
        <f>G3090*2</f>
        <v>0</v>
      </c>
      <c r="H3092" s="13">
        <f t="shared" si="48"/>
        <v>0</v>
      </c>
    </row>
    <row r="3093" spans="2:8" ht="13.5" thickBot="1" x14ac:dyDescent="0.35">
      <c r="B3093" s="9"/>
      <c r="C3093" s="14" t="s">
        <v>452</v>
      </c>
      <c r="D3093" s="14" t="s">
        <v>278</v>
      </c>
      <c r="E3093" s="18" t="s">
        <v>0</v>
      </c>
      <c r="F3093" s="17" t="s">
        <v>23</v>
      </c>
      <c r="G3093" s="17">
        <f>G3090*2</f>
        <v>0</v>
      </c>
      <c r="H3093" s="13">
        <f t="shared" si="48"/>
        <v>0</v>
      </c>
    </row>
    <row r="3094" spans="2:8" ht="13.5" thickBot="1" x14ac:dyDescent="0.35">
      <c r="B3094" s="9"/>
      <c r="C3094" s="14" t="s">
        <v>1501</v>
      </c>
      <c r="D3094" s="14" t="s">
        <v>278</v>
      </c>
      <c r="E3094" s="18" t="s">
        <v>0</v>
      </c>
      <c r="F3094" s="17" t="s">
        <v>23</v>
      </c>
      <c r="G3094" s="17">
        <f>G3090</f>
        <v>0</v>
      </c>
      <c r="H3094" s="13">
        <f t="shared" si="48"/>
        <v>0</v>
      </c>
    </row>
    <row r="3095" spans="2:8" ht="13.5" thickBot="1" x14ac:dyDescent="0.35">
      <c r="B3095" s="9">
        <f>COUNT($B$4:B3094)+1</f>
        <v>875</v>
      </c>
      <c r="C3095" s="10" t="s">
        <v>1502</v>
      </c>
      <c r="D3095" s="10"/>
      <c r="E3095" s="11" t="s">
        <v>9</v>
      </c>
      <c r="F3095" s="12" t="s">
        <v>23</v>
      </c>
      <c r="G3095" s="12"/>
      <c r="H3095" s="13">
        <f t="shared" si="48"/>
        <v>0</v>
      </c>
    </row>
    <row r="3096" spans="2:8" ht="13.5" thickBot="1" x14ac:dyDescent="0.35">
      <c r="B3096" s="9"/>
      <c r="C3096" s="14" t="s">
        <v>449</v>
      </c>
      <c r="D3096" s="14" t="s">
        <v>278</v>
      </c>
      <c r="E3096" s="18" t="s">
        <v>0</v>
      </c>
      <c r="F3096" s="17" t="s">
        <v>23</v>
      </c>
      <c r="G3096" s="17">
        <f>G3095*2</f>
        <v>0</v>
      </c>
      <c r="H3096" s="13">
        <f t="shared" si="48"/>
        <v>0</v>
      </c>
    </row>
    <row r="3097" spans="2:8" ht="13.5" thickBot="1" x14ac:dyDescent="0.35">
      <c r="B3097" s="9"/>
      <c r="C3097" s="14" t="s">
        <v>743</v>
      </c>
      <c r="D3097" s="14" t="s">
        <v>278</v>
      </c>
      <c r="E3097" s="18" t="s">
        <v>0</v>
      </c>
      <c r="F3097" s="17" t="s">
        <v>23</v>
      </c>
      <c r="G3097" s="17">
        <f>G3095*2</f>
        <v>0</v>
      </c>
      <c r="H3097" s="13">
        <f t="shared" si="48"/>
        <v>0</v>
      </c>
    </row>
    <row r="3098" spans="2:8" ht="13.5" thickBot="1" x14ac:dyDescent="0.35">
      <c r="B3098" s="9"/>
      <c r="C3098" s="14" t="s">
        <v>746</v>
      </c>
      <c r="D3098" s="14" t="s">
        <v>278</v>
      </c>
      <c r="E3098" s="18" t="s">
        <v>0</v>
      </c>
      <c r="F3098" s="17" t="s">
        <v>23</v>
      </c>
      <c r="G3098" s="17">
        <f>G3095*2</f>
        <v>0</v>
      </c>
      <c r="H3098" s="13">
        <f t="shared" si="48"/>
        <v>0</v>
      </c>
    </row>
    <row r="3099" spans="2:8" ht="13.5" thickBot="1" x14ac:dyDescent="0.35">
      <c r="B3099" s="9"/>
      <c r="C3099" s="14" t="s">
        <v>452</v>
      </c>
      <c r="D3099" s="14" t="s">
        <v>278</v>
      </c>
      <c r="E3099" s="18" t="s">
        <v>0</v>
      </c>
      <c r="F3099" s="17" t="s">
        <v>23</v>
      </c>
      <c r="G3099" s="17">
        <f>G3095*2</f>
        <v>0</v>
      </c>
      <c r="H3099" s="13">
        <f t="shared" si="48"/>
        <v>0</v>
      </c>
    </row>
    <row r="3100" spans="2:8" ht="13.5" thickBot="1" x14ac:dyDescent="0.35">
      <c r="B3100" s="9"/>
      <c r="C3100" s="14" t="s">
        <v>1502</v>
      </c>
      <c r="D3100" s="14" t="s">
        <v>278</v>
      </c>
      <c r="E3100" s="18" t="s">
        <v>9</v>
      </c>
      <c r="F3100" s="17" t="s">
        <v>23</v>
      </c>
      <c r="G3100" s="17">
        <f>G3095</f>
        <v>0</v>
      </c>
      <c r="H3100" s="13">
        <f t="shared" si="48"/>
        <v>0</v>
      </c>
    </row>
    <row r="3101" spans="2:8" ht="13.5" thickBot="1" x14ac:dyDescent="0.35">
      <c r="B3101" s="9">
        <f>COUNT($B$4:B3100)+1</f>
        <v>876</v>
      </c>
      <c r="C3101" s="10" t="s">
        <v>1503</v>
      </c>
      <c r="D3101" s="10"/>
      <c r="E3101" s="11" t="s">
        <v>9</v>
      </c>
      <c r="F3101" s="12" t="s">
        <v>23</v>
      </c>
      <c r="G3101" s="12"/>
      <c r="H3101" s="13">
        <f t="shared" si="48"/>
        <v>0</v>
      </c>
    </row>
    <row r="3102" spans="2:8" ht="13.5" thickBot="1" x14ac:dyDescent="0.35">
      <c r="B3102" s="9"/>
      <c r="C3102" s="14" t="s">
        <v>449</v>
      </c>
      <c r="D3102" s="14" t="s">
        <v>278</v>
      </c>
      <c r="E3102" s="18" t="s">
        <v>0</v>
      </c>
      <c r="F3102" s="17" t="s">
        <v>23</v>
      </c>
      <c r="G3102" s="17">
        <f>G3101*2</f>
        <v>0</v>
      </c>
      <c r="H3102" s="13">
        <f t="shared" si="48"/>
        <v>0</v>
      </c>
    </row>
    <row r="3103" spans="2:8" ht="13.5" thickBot="1" x14ac:dyDescent="0.35">
      <c r="B3103" s="9"/>
      <c r="C3103" s="14" t="s">
        <v>743</v>
      </c>
      <c r="D3103" s="14" t="s">
        <v>278</v>
      </c>
      <c r="E3103" s="18" t="s">
        <v>0</v>
      </c>
      <c r="F3103" s="17" t="s">
        <v>23</v>
      </c>
      <c r="G3103" s="17">
        <f>G3101*2</f>
        <v>0</v>
      </c>
      <c r="H3103" s="13">
        <f t="shared" si="48"/>
        <v>0</v>
      </c>
    </row>
    <row r="3104" spans="2:8" ht="13.5" thickBot="1" x14ac:dyDescent="0.35">
      <c r="B3104" s="9"/>
      <c r="C3104" s="14" t="s">
        <v>746</v>
      </c>
      <c r="D3104" s="14" t="s">
        <v>278</v>
      </c>
      <c r="E3104" s="18" t="s">
        <v>0</v>
      </c>
      <c r="F3104" s="17" t="s">
        <v>23</v>
      </c>
      <c r="G3104" s="17">
        <f>G3101*2</f>
        <v>0</v>
      </c>
      <c r="H3104" s="13">
        <f t="shared" si="48"/>
        <v>0</v>
      </c>
    </row>
    <row r="3105" spans="2:8" ht="13.5" thickBot="1" x14ac:dyDescent="0.35">
      <c r="B3105" s="9"/>
      <c r="C3105" s="14" t="s">
        <v>452</v>
      </c>
      <c r="D3105" s="14" t="s">
        <v>278</v>
      </c>
      <c r="E3105" s="18" t="s">
        <v>0</v>
      </c>
      <c r="F3105" s="17" t="s">
        <v>23</v>
      </c>
      <c r="G3105" s="17">
        <f>G3101*2</f>
        <v>0</v>
      </c>
      <c r="H3105" s="13">
        <f t="shared" si="48"/>
        <v>0</v>
      </c>
    </row>
    <row r="3106" spans="2:8" ht="13.5" thickBot="1" x14ac:dyDescent="0.35">
      <c r="B3106" s="9"/>
      <c r="C3106" s="14" t="s">
        <v>1503</v>
      </c>
      <c r="D3106" s="14" t="s">
        <v>278</v>
      </c>
      <c r="E3106" s="18" t="s">
        <v>9</v>
      </c>
      <c r="F3106" s="17" t="s">
        <v>23</v>
      </c>
      <c r="G3106" s="17">
        <f>G3101</f>
        <v>0</v>
      </c>
      <c r="H3106" s="13">
        <f t="shared" si="48"/>
        <v>0</v>
      </c>
    </row>
    <row r="3107" spans="2:8" ht="13.5" thickBot="1" x14ac:dyDescent="0.35">
      <c r="B3107" s="9">
        <f>COUNT($B$4:B3044)+1</f>
        <v>865</v>
      </c>
      <c r="C3107" s="10" t="s">
        <v>1504</v>
      </c>
      <c r="D3107" s="10"/>
      <c r="E3107" s="11" t="s">
        <v>8</v>
      </c>
      <c r="F3107" s="12" t="s">
        <v>23</v>
      </c>
      <c r="G3107" s="12"/>
      <c r="H3107" s="13">
        <f t="shared" si="48"/>
        <v>0</v>
      </c>
    </row>
    <row r="3108" spans="2:8" ht="13.5" thickBot="1" x14ac:dyDescent="0.35">
      <c r="B3108" s="9"/>
      <c r="C3108" s="14" t="s">
        <v>24</v>
      </c>
      <c r="D3108" s="15" t="s">
        <v>25</v>
      </c>
      <c r="E3108" s="16" t="s">
        <v>9</v>
      </c>
      <c r="F3108" s="17" t="s">
        <v>23</v>
      </c>
      <c r="G3108" s="17">
        <f>G3107</f>
        <v>0</v>
      </c>
      <c r="H3108" s="13">
        <f t="shared" si="48"/>
        <v>0</v>
      </c>
    </row>
    <row r="3109" spans="2:8" ht="13.5" thickBot="1" x14ac:dyDescent="0.35">
      <c r="B3109" s="9"/>
      <c r="C3109" s="14" t="s">
        <v>1108</v>
      </c>
      <c r="D3109" s="14" t="s">
        <v>302</v>
      </c>
      <c r="E3109" s="16" t="s">
        <v>9</v>
      </c>
      <c r="F3109" s="17" t="s">
        <v>23</v>
      </c>
      <c r="G3109" s="17">
        <f>G3107</f>
        <v>0</v>
      </c>
      <c r="H3109" s="13">
        <f t="shared" si="48"/>
        <v>0</v>
      </c>
    </row>
    <row r="3110" spans="2:8" ht="13.5" thickBot="1" x14ac:dyDescent="0.35">
      <c r="B3110" s="9"/>
      <c r="C3110" s="14" t="s">
        <v>31</v>
      </c>
      <c r="D3110" s="14" t="s">
        <v>32</v>
      </c>
      <c r="E3110" s="18" t="s">
        <v>8</v>
      </c>
      <c r="F3110" s="17" t="s">
        <v>23</v>
      </c>
      <c r="G3110" s="17">
        <f>G3107</f>
        <v>0</v>
      </c>
      <c r="H3110" s="13">
        <f t="shared" si="48"/>
        <v>0</v>
      </c>
    </row>
    <row r="3111" spans="2:8" ht="13.5" thickBot="1" x14ac:dyDescent="0.35">
      <c r="B3111" s="9"/>
      <c r="C3111" s="14" t="s">
        <v>406</v>
      </c>
      <c r="D3111" s="14" t="s">
        <v>302</v>
      </c>
      <c r="E3111" s="16" t="s">
        <v>9</v>
      </c>
      <c r="F3111" s="17" t="s">
        <v>23</v>
      </c>
      <c r="G3111" s="17">
        <f>G3107</f>
        <v>0</v>
      </c>
      <c r="H3111" s="13">
        <f t="shared" si="48"/>
        <v>0</v>
      </c>
    </row>
    <row r="3112" spans="2:8" ht="13.5" thickBot="1" x14ac:dyDescent="0.35">
      <c r="B3112" s="9">
        <f>COUNT($B$4:B3111)+1</f>
        <v>878</v>
      </c>
      <c r="C3112" s="10" t="s">
        <v>1505</v>
      </c>
      <c r="D3112" s="10"/>
      <c r="E3112" s="11" t="s">
        <v>8</v>
      </c>
      <c r="F3112" s="12" t="s">
        <v>23</v>
      </c>
      <c r="G3112" s="12"/>
      <c r="H3112" s="13">
        <f t="shared" si="48"/>
        <v>0</v>
      </c>
    </row>
    <row r="3113" spans="2:8" ht="13.5" thickBot="1" x14ac:dyDescent="0.35">
      <c r="B3113" s="9"/>
      <c r="C3113" s="14" t="s">
        <v>1506</v>
      </c>
      <c r="D3113" s="14"/>
      <c r="E3113" s="18" t="s">
        <v>8</v>
      </c>
      <c r="F3113" s="17" t="s">
        <v>23</v>
      </c>
      <c r="G3113" s="17">
        <f>G3112</f>
        <v>0</v>
      </c>
      <c r="H3113" s="13">
        <f t="shared" si="48"/>
        <v>0</v>
      </c>
    </row>
    <row r="3114" spans="2:8" ht="13.5" thickBot="1" x14ac:dyDescent="0.35">
      <c r="B3114" s="9"/>
      <c r="C3114" s="14" t="s">
        <v>1507</v>
      </c>
      <c r="D3114" s="14" t="s">
        <v>1508</v>
      </c>
      <c r="E3114" s="18" t="s">
        <v>8</v>
      </c>
      <c r="F3114" s="17" t="s">
        <v>23</v>
      </c>
      <c r="G3114" s="17">
        <f>G3112*2</f>
        <v>0</v>
      </c>
      <c r="H3114" s="13">
        <f t="shared" si="48"/>
        <v>0</v>
      </c>
    </row>
    <row r="3115" spans="2:8" ht="13.5" thickBot="1" x14ac:dyDescent="0.35">
      <c r="B3115" s="9">
        <f>COUNT($B$4:B3114)+1</f>
        <v>879</v>
      </c>
      <c r="C3115" s="10" t="s">
        <v>1509</v>
      </c>
      <c r="D3115" s="10"/>
      <c r="E3115" s="11" t="s">
        <v>3</v>
      </c>
      <c r="F3115" s="12" t="s">
        <v>23</v>
      </c>
      <c r="G3115" s="12"/>
      <c r="H3115" s="13">
        <f t="shared" si="48"/>
        <v>0</v>
      </c>
    </row>
    <row r="3116" spans="2:8" ht="13.5" thickBot="1" x14ac:dyDescent="0.35">
      <c r="B3116" s="9"/>
      <c r="C3116" s="14" t="s">
        <v>1509</v>
      </c>
      <c r="D3116" s="14"/>
      <c r="E3116" s="18" t="s">
        <v>5</v>
      </c>
      <c r="F3116" s="17" t="s">
        <v>23</v>
      </c>
      <c r="G3116" s="17">
        <f>G3115</f>
        <v>0</v>
      </c>
      <c r="H3116" s="13">
        <f t="shared" si="48"/>
        <v>0</v>
      </c>
    </row>
    <row r="3117" spans="2:8" ht="13.5" thickBot="1" x14ac:dyDescent="0.35">
      <c r="B3117" s="9"/>
      <c r="C3117" s="14" t="s">
        <v>65</v>
      </c>
      <c r="D3117" s="14" t="s">
        <v>42</v>
      </c>
      <c r="E3117" s="18" t="s">
        <v>5</v>
      </c>
      <c r="F3117" s="17" t="s">
        <v>23</v>
      </c>
      <c r="G3117" s="17">
        <f>G3115</f>
        <v>0</v>
      </c>
      <c r="H3117" s="13">
        <f t="shared" si="48"/>
        <v>0</v>
      </c>
    </row>
    <row r="3118" spans="2:8" ht="13.5" thickBot="1" x14ac:dyDescent="0.35">
      <c r="B3118" s="9">
        <f>COUNT($B$4:B3117)+1</f>
        <v>880</v>
      </c>
      <c r="C3118" s="10" t="s">
        <v>1510</v>
      </c>
      <c r="D3118" s="10" t="s">
        <v>49</v>
      </c>
      <c r="E3118" s="11" t="s">
        <v>6</v>
      </c>
      <c r="F3118" s="12" t="s">
        <v>23</v>
      </c>
      <c r="G3118" s="17"/>
      <c r="H3118" s="13">
        <f t="shared" si="48"/>
        <v>0</v>
      </c>
    </row>
    <row r="3119" spans="2:8" ht="13.5" thickBot="1" x14ac:dyDescent="0.35">
      <c r="B3119" s="9">
        <f>COUNT($B$4:B3118)+1</f>
        <v>881</v>
      </c>
      <c r="C3119" s="10" t="s">
        <v>1511</v>
      </c>
      <c r="D3119" s="10" t="s">
        <v>49</v>
      </c>
      <c r="E3119" s="11" t="s">
        <v>6</v>
      </c>
      <c r="F3119" s="12" t="s">
        <v>51</v>
      </c>
      <c r="G3119" s="17"/>
      <c r="H3119" s="13">
        <f t="shared" si="48"/>
        <v>0</v>
      </c>
    </row>
    <row r="3120" spans="2:8" ht="13.5" thickBot="1" x14ac:dyDescent="0.35">
      <c r="B3120" s="9">
        <f>COUNT($B$4:B3119)+1</f>
        <v>882</v>
      </c>
      <c r="C3120" s="10" t="s">
        <v>1512</v>
      </c>
      <c r="D3120" s="10"/>
      <c r="E3120" s="11" t="s">
        <v>3</v>
      </c>
      <c r="F3120" s="12" t="s">
        <v>23</v>
      </c>
      <c r="G3120" s="17"/>
      <c r="H3120" s="13">
        <f t="shared" si="48"/>
        <v>0</v>
      </c>
    </row>
    <row r="3121" spans="2:8" ht="13.5" thickBot="1" x14ac:dyDescent="0.35">
      <c r="B3121" s="9"/>
      <c r="C3121" s="14" t="s">
        <v>1513</v>
      </c>
      <c r="D3121" s="14" t="s">
        <v>49</v>
      </c>
      <c r="E3121" s="18" t="s">
        <v>6</v>
      </c>
      <c r="F3121" s="17" t="s">
        <v>23</v>
      </c>
      <c r="G3121" s="17">
        <f>G3120</f>
        <v>0</v>
      </c>
      <c r="H3121" s="13">
        <f t="shared" si="48"/>
        <v>0</v>
      </c>
    </row>
    <row r="3122" spans="2:8" ht="13.5" thickBot="1" x14ac:dyDescent="0.35">
      <c r="B3122" s="9"/>
      <c r="C3122" s="14" t="s">
        <v>1514</v>
      </c>
      <c r="D3122" s="14" t="s">
        <v>49</v>
      </c>
      <c r="E3122" s="18" t="s">
        <v>6</v>
      </c>
      <c r="F3122" s="17" t="s">
        <v>23</v>
      </c>
      <c r="G3122" s="17">
        <f>G3120</f>
        <v>0</v>
      </c>
      <c r="H3122" s="13">
        <f t="shared" si="48"/>
        <v>0</v>
      </c>
    </row>
    <row r="3123" spans="2:8" ht="13.5" thickBot="1" x14ac:dyDescent="0.35">
      <c r="B3123" s="9"/>
      <c r="C3123" s="14" t="s">
        <v>1515</v>
      </c>
      <c r="D3123" s="14" t="s">
        <v>49</v>
      </c>
      <c r="E3123" s="18" t="s">
        <v>6</v>
      </c>
      <c r="F3123" s="17" t="s">
        <v>23</v>
      </c>
      <c r="G3123" s="17">
        <f>G3120</f>
        <v>0</v>
      </c>
      <c r="H3123" s="13">
        <f t="shared" si="48"/>
        <v>0</v>
      </c>
    </row>
    <row r="3124" spans="2:8" ht="13.5" thickBot="1" x14ac:dyDescent="0.35">
      <c r="B3124" s="9">
        <f>COUNT($B$4:B3123)+1</f>
        <v>883</v>
      </c>
      <c r="C3124" s="10" t="s">
        <v>1516</v>
      </c>
      <c r="D3124" s="10"/>
      <c r="E3124" s="11" t="s">
        <v>3</v>
      </c>
      <c r="F3124" s="12" t="s">
        <v>23</v>
      </c>
      <c r="G3124" s="17"/>
      <c r="H3124" s="13">
        <f t="shared" si="48"/>
        <v>0</v>
      </c>
    </row>
    <row r="3125" spans="2:8" ht="13.5" thickBot="1" x14ac:dyDescent="0.35">
      <c r="B3125" s="9"/>
      <c r="C3125" s="14" t="s">
        <v>1517</v>
      </c>
      <c r="D3125" s="14" t="s">
        <v>49</v>
      </c>
      <c r="E3125" s="18" t="s">
        <v>6</v>
      </c>
      <c r="F3125" s="17" t="s">
        <v>23</v>
      </c>
      <c r="G3125" s="17">
        <f>G3124</f>
        <v>0</v>
      </c>
      <c r="H3125" s="13">
        <f t="shared" si="48"/>
        <v>0</v>
      </c>
    </row>
    <row r="3126" spans="2:8" ht="13.5" thickBot="1" x14ac:dyDescent="0.35">
      <c r="B3126" s="9"/>
      <c r="C3126" s="14" t="s">
        <v>1518</v>
      </c>
      <c r="D3126" s="14" t="s">
        <v>49</v>
      </c>
      <c r="E3126" s="18" t="s">
        <v>6</v>
      </c>
      <c r="F3126" s="17" t="s">
        <v>23</v>
      </c>
      <c r="G3126" s="17">
        <f>G3124</f>
        <v>0</v>
      </c>
      <c r="H3126" s="13">
        <f t="shared" si="48"/>
        <v>0</v>
      </c>
    </row>
    <row r="3127" spans="2:8" ht="13.5" thickBot="1" x14ac:dyDescent="0.35">
      <c r="B3127" s="9"/>
      <c r="C3127" s="14" t="s">
        <v>1515</v>
      </c>
      <c r="D3127" s="14" t="s">
        <v>49</v>
      </c>
      <c r="E3127" s="18" t="s">
        <v>6</v>
      </c>
      <c r="F3127" s="17" t="s">
        <v>23</v>
      </c>
      <c r="G3127" s="17">
        <f>G3124</f>
        <v>0</v>
      </c>
      <c r="H3127" s="13">
        <f t="shared" si="48"/>
        <v>0</v>
      </c>
    </row>
    <row r="3128" spans="2:8" ht="13.5" thickBot="1" x14ac:dyDescent="0.35">
      <c r="B3128" s="9">
        <f>COUNT($B$4:B3127)+1</f>
        <v>884</v>
      </c>
      <c r="C3128" s="10" t="s">
        <v>1519</v>
      </c>
      <c r="D3128" s="10"/>
      <c r="E3128" s="11" t="s">
        <v>3</v>
      </c>
      <c r="F3128" s="12" t="s">
        <v>23</v>
      </c>
      <c r="G3128" s="17"/>
      <c r="H3128" s="13">
        <f t="shared" si="48"/>
        <v>0</v>
      </c>
    </row>
    <row r="3129" spans="2:8" ht="13.5" thickBot="1" x14ac:dyDescent="0.35">
      <c r="B3129" s="9"/>
      <c r="C3129" s="14" t="s">
        <v>1517</v>
      </c>
      <c r="D3129" s="14" t="s">
        <v>49</v>
      </c>
      <c r="E3129" s="18" t="s">
        <v>6</v>
      </c>
      <c r="F3129" s="17" t="s">
        <v>23</v>
      </c>
      <c r="G3129" s="17">
        <f>G3128</f>
        <v>0</v>
      </c>
      <c r="H3129" s="13">
        <f t="shared" si="48"/>
        <v>0</v>
      </c>
    </row>
    <row r="3130" spans="2:8" ht="13.5" thickBot="1" x14ac:dyDescent="0.35">
      <c r="B3130" s="9"/>
      <c r="C3130" s="14" t="s">
        <v>1520</v>
      </c>
      <c r="D3130" s="14" t="s">
        <v>49</v>
      </c>
      <c r="E3130" s="18" t="s">
        <v>6</v>
      </c>
      <c r="F3130" s="17" t="s">
        <v>23</v>
      </c>
      <c r="G3130" s="17">
        <f>G3128</f>
        <v>0</v>
      </c>
      <c r="H3130" s="13">
        <f t="shared" si="48"/>
        <v>0</v>
      </c>
    </row>
    <row r="3131" spans="2:8" ht="13.5" thickBot="1" x14ac:dyDescent="0.35">
      <c r="B3131" s="9"/>
      <c r="C3131" s="14" t="s">
        <v>1515</v>
      </c>
      <c r="D3131" s="14" t="s">
        <v>49</v>
      </c>
      <c r="E3131" s="18" t="s">
        <v>6</v>
      </c>
      <c r="F3131" s="17" t="s">
        <v>23</v>
      </c>
      <c r="G3131" s="17">
        <f>G3128</f>
        <v>0</v>
      </c>
      <c r="H3131" s="13">
        <f t="shared" si="48"/>
        <v>0</v>
      </c>
    </row>
    <row r="3132" spans="2:8" ht="13.5" thickBot="1" x14ac:dyDescent="0.35">
      <c r="B3132" s="9">
        <f>COUNT($B$4:B3131)+1</f>
        <v>885</v>
      </c>
      <c r="C3132" s="10" t="s">
        <v>1521</v>
      </c>
      <c r="D3132" s="10"/>
      <c r="E3132" s="11" t="s">
        <v>3</v>
      </c>
      <c r="F3132" s="12" t="s">
        <v>23</v>
      </c>
      <c r="G3132" s="17"/>
      <c r="H3132" s="13">
        <f t="shared" si="48"/>
        <v>0</v>
      </c>
    </row>
    <row r="3133" spans="2:8" ht="13.5" thickBot="1" x14ac:dyDescent="0.35">
      <c r="B3133" s="9"/>
      <c r="C3133" s="14" t="s">
        <v>1522</v>
      </c>
      <c r="D3133" s="14" t="s">
        <v>49</v>
      </c>
      <c r="E3133" s="18" t="s">
        <v>0</v>
      </c>
      <c r="F3133" s="17" t="s">
        <v>23</v>
      </c>
      <c r="G3133" s="17">
        <f>G3132</f>
        <v>0</v>
      </c>
      <c r="H3133" s="13">
        <f t="shared" si="48"/>
        <v>0</v>
      </c>
    </row>
    <row r="3134" spans="2:8" ht="13.5" thickBot="1" x14ac:dyDescent="0.35">
      <c r="B3134" s="9"/>
      <c r="C3134" s="14" t="s">
        <v>1523</v>
      </c>
      <c r="D3134" s="14" t="s">
        <v>49</v>
      </c>
      <c r="E3134" s="18" t="s">
        <v>6</v>
      </c>
      <c r="F3134" s="17" t="s">
        <v>23</v>
      </c>
      <c r="G3134" s="17">
        <f>G3132</f>
        <v>0</v>
      </c>
      <c r="H3134" s="13">
        <f t="shared" si="48"/>
        <v>0</v>
      </c>
    </row>
    <row r="3135" spans="2:8" ht="13.5" thickBot="1" x14ac:dyDescent="0.35">
      <c r="B3135" s="9"/>
      <c r="C3135" s="14" t="s">
        <v>1524</v>
      </c>
      <c r="D3135" s="14" t="s">
        <v>49</v>
      </c>
      <c r="E3135" s="18" t="s">
        <v>0</v>
      </c>
      <c r="F3135" s="17" t="s">
        <v>23</v>
      </c>
      <c r="G3135" s="17">
        <f>G3132</f>
        <v>0</v>
      </c>
      <c r="H3135" s="13">
        <f t="shared" si="48"/>
        <v>0</v>
      </c>
    </row>
    <row r="3136" spans="2:8" ht="13.5" thickBot="1" x14ac:dyDescent="0.35">
      <c r="B3136" s="9">
        <f>COUNT($B$4:B3135)+1</f>
        <v>886</v>
      </c>
      <c r="C3136" s="10" t="s">
        <v>1525</v>
      </c>
      <c r="D3136" s="10"/>
      <c r="E3136" s="11" t="s">
        <v>3</v>
      </c>
      <c r="F3136" s="12" t="s">
        <v>23</v>
      </c>
      <c r="G3136" s="17"/>
      <c r="H3136" s="13">
        <f t="shared" si="48"/>
        <v>0</v>
      </c>
    </row>
    <row r="3137" spans="2:8" ht="13.5" thickBot="1" x14ac:dyDescent="0.35">
      <c r="B3137" s="9"/>
      <c r="C3137" s="14" t="s">
        <v>1522</v>
      </c>
      <c r="D3137" s="14" t="s">
        <v>49</v>
      </c>
      <c r="E3137" s="18" t="s">
        <v>0</v>
      </c>
      <c r="F3137" s="17" t="s">
        <v>23</v>
      </c>
      <c r="G3137" s="17">
        <f>G3136</f>
        <v>0</v>
      </c>
      <c r="H3137" s="13">
        <f t="shared" si="48"/>
        <v>0</v>
      </c>
    </row>
    <row r="3138" spans="2:8" ht="13.5" thickBot="1" x14ac:dyDescent="0.35">
      <c r="B3138" s="9"/>
      <c r="C3138" s="14" t="s">
        <v>1515</v>
      </c>
      <c r="D3138" s="14" t="s">
        <v>49</v>
      </c>
      <c r="E3138" s="18" t="s">
        <v>6</v>
      </c>
      <c r="F3138" s="17" t="s">
        <v>23</v>
      </c>
      <c r="G3138" s="17">
        <f>G3136</f>
        <v>0</v>
      </c>
      <c r="H3138" s="13">
        <f t="shared" si="48"/>
        <v>0</v>
      </c>
    </row>
    <row r="3139" spans="2:8" ht="13.5" thickBot="1" x14ac:dyDescent="0.35">
      <c r="B3139" s="9"/>
      <c r="C3139" s="14" t="s">
        <v>1524</v>
      </c>
      <c r="D3139" s="14" t="s">
        <v>49</v>
      </c>
      <c r="E3139" s="18" t="s">
        <v>0</v>
      </c>
      <c r="F3139" s="17" t="s">
        <v>23</v>
      </c>
      <c r="G3139" s="17">
        <f>G3136</f>
        <v>0</v>
      </c>
      <c r="H3139" s="13">
        <f t="shared" si="48"/>
        <v>0</v>
      </c>
    </row>
    <row r="3140" spans="2:8" ht="13.5" thickBot="1" x14ac:dyDescent="0.35">
      <c r="B3140" s="9">
        <f>COUNT($B$4:B3139)+1</f>
        <v>887</v>
      </c>
      <c r="C3140" s="10" t="s">
        <v>1526</v>
      </c>
      <c r="D3140" s="10"/>
      <c r="E3140" s="11" t="s">
        <v>3</v>
      </c>
      <c r="F3140" s="12" t="s">
        <v>23</v>
      </c>
      <c r="G3140" s="12">
        <v>2</v>
      </c>
      <c r="H3140" s="13">
        <f t="shared" ref="H3140:H3203" si="49">SUM(G3140:G3140)</f>
        <v>2</v>
      </c>
    </row>
    <row r="3141" spans="2:8" ht="13.5" thickBot="1" x14ac:dyDescent="0.35">
      <c r="B3141" s="9"/>
      <c r="C3141" s="14" t="s">
        <v>24</v>
      </c>
      <c r="D3141" s="15" t="s">
        <v>25</v>
      </c>
      <c r="E3141" s="16" t="s">
        <v>9</v>
      </c>
      <c r="F3141" s="17" t="s">
        <v>23</v>
      </c>
      <c r="G3141" s="17">
        <f>G3140</f>
        <v>2</v>
      </c>
      <c r="H3141" s="13">
        <f t="shared" si="49"/>
        <v>2</v>
      </c>
    </row>
    <row r="3142" spans="2:8" ht="13.5" thickBot="1" x14ac:dyDescent="0.35">
      <c r="B3142" s="9"/>
      <c r="C3142" s="14" t="s">
        <v>889</v>
      </c>
      <c r="D3142" s="14" t="s">
        <v>302</v>
      </c>
      <c r="E3142" s="16" t="s">
        <v>9</v>
      </c>
      <c r="F3142" s="17" t="s">
        <v>23</v>
      </c>
      <c r="G3142" s="17">
        <f>G3140</f>
        <v>2</v>
      </c>
      <c r="H3142" s="13">
        <f t="shared" si="49"/>
        <v>2</v>
      </c>
    </row>
    <row r="3143" spans="2:8" ht="13.5" thickBot="1" x14ac:dyDescent="0.35">
      <c r="B3143" s="9"/>
      <c r="C3143" s="14" t="s">
        <v>413</v>
      </c>
      <c r="D3143" s="14" t="s">
        <v>302</v>
      </c>
      <c r="E3143" s="18" t="s">
        <v>3</v>
      </c>
      <c r="F3143" s="17" t="s">
        <v>23</v>
      </c>
      <c r="G3143" s="17">
        <f>G3140</f>
        <v>2</v>
      </c>
      <c r="H3143" s="13">
        <f t="shared" si="49"/>
        <v>2</v>
      </c>
    </row>
    <row r="3144" spans="2:8" ht="13.5" thickBot="1" x14ac:dyDescent="0.35">
      <c r="B3144" s="9"/>
      <c r="C3144" s="14" t="s">
        <v>406</v>
      </c>
      <c r="D3144" s="14" t="s">
        <v>302</v>
      </c>
      <c r="E3144" s="16" t="s">
        <v>9</v>
      </c>
      <c r="F3144" s="17" t="s">
        <v>23</v>
      </c>
      <c r="G3144" s="17">
        <f>G3140</f>
        <v>2</v>
      </c>
      <c r="H3144" s="13">
        <f t="shared" si="49"/>
        <v>2</v>
      </c>
    </row>
    <row r="3145" spans="2:8" ht="13.5" thickBot="1" x14ac:dyDescent="0.35">
      <c r="B3145" s="9">
        <f>COUNT($B$4:B3144)+1</f>
        <v>888</v>
      </c>
      <c r="C3145" s="10" t="s">
        <v>1527</v>
      </c>
      <c r="D3145" s="10"/>
      <c r="E3145" s="11" t="s">
        <v>3</v>
      </c>
      <c r="F3145" s="12" t="s">
        <v>23</v>
      </c>
      <c r="G3145" s="12"/>
      <c r="H3145" s="13">
        <f t="shared" si="49"/>
        <v>0</v>
      </c>
    </row>
    <row r="3146" spans="2:8" ht="13.5" thickBot="1" x14ac:dyDescent="0.35">
      <c r="B3146" s="9"/>
      <c r="C3146" s="14" t="s">
        <v>413</v>
      </c>
      <c r="D3146" s="14" t="s">
        <v>302</v>
      </c>
      <c r="E3146" s="18" t="s">
        <v>3</v>
      </c>
      <c r="F3146" s="17" t="s">
        <v>23</v>
      </c>
      <c r="G3146" s="17">
        <f>G3145</f>
        <v>0</v>
      </c>
      <c r="H3146" s="13">
        <f t="shared" si="49"/>
        <v>0</v>
      </c>
    </row>
    <row r="3147" spans="2:8" ht="13.5" thickBot="1" x14ac:dyDescent="0.35">
      <c r="B3147" s="9"/>
      <c r="C3147" s="14" t="s">
        <v>1528</v>
      </c>
      <c r="D3147" s="14" t="s">
        <v>302</v>
      </c>
      <c r="E3147" s="16" t="s">
        <v>9</v>
      </c>
      <c r="F3147" s="17" t="s">
        <v>23</v>
      </c>
      <c r="G3147" s="17">
        <f>G3145</f>
        <v>0</v>
      </c>
      <c r="H3147" s="13">
        <f t="shared" si="49"/>
        <v>0</v>
      </c>
    </row>
    <row r="3148" spans="2:8" ht="13.5" thickBot="1" x14ac:dyDescent="0.35">
      <c r="B3148" s="9">
        <f>COUNT($B$4:B3147)+1</f>
        <v>889</v>
      </c>
      <c r="C3148" s="10" t="s">
        <v>1529</v>
      </c>
      <c r="D3148" s="10"/>
      <c r="E3148" s="11" t="s">
        <v>3</v>
      </c>
      <c r="F3148" s="12" t="s">
        <v>23</v>
      </c>
      <c r="G3148" s="12">
        <v>12</v>
      </c>
      <c r="H3148" s="13">
        <f t="shared" si="49"/>
        <v>12</v>
      </c>
    </row>
    <row r="3149" spans="2:8" ht="13.5" thickBot="1" x14ac:dyDescent="0.35">
      <c r="B3149" s="9"/>
      <c r="C3149" s="14" t="s">
        <v>41</v>
      </c>
      <c r="D3149" s="15" t="s">
        <v>42</v>
      </c>
      <c r="E3149" s="16" t="s">
        <v>9</v>
      </c>
      <c r="F3149" s="17" t="s">
        <v>23</v>
      </c>
      <c r="G3149" s="17">
        <f>G3148</f>
        <v>12</v>
      </c>
      <c r="H3149" s="13">
        <f t="shared" si="49"/>
        <v>12</v>
      </c>
    </row>
    <row r="3150" spans="2:8" ht="13.5" thickBot="1" x14ac:dyDescent="0.35">
      <c r="B3150" s="9"/>
      <c r="C3150" s="14" t="s">
        <v>415</v>
      </c>
      <c r="D3150" s="15" t="s">
        <v>42</v>
      </c>
      <c r="E3150" s="16" t="s">
        <v>9</v>
      </c>
      <c r="F3150" s="17" t="s">
        <v>23</v>
      </c>
      <c r="G3150" s="17">
        <f>G3148</f>
        <v>12</v>
      </c>
      <c r="H3150" s="13">
        <f t="shared" si="49"/>
        <v>12</v>
      </c>
    </row>
    <row r="3151" spans="2:8" ht="13.5" thickBot="1" x14ac:dyDescent="0.35">
      <c r="B3151" s="9"/>
      <c r="C3151" s="14" t="s">
        <v>417</v>
      </c>
      <c r="D3151" s="15" t="s">
        <v>42</v>
      </c>
      <c r="E3151" s="18" t="s">
        <v>3</v>
      </c>
      <c r="F3151" s="17" t="s">
        <v>23</v>
      </c>
      <c r="G3151" s="17">
        <f>G3148*2</f>
        <v>24</v>
      </c>
      <c r="H3151" s="13">
        <f t="shared" si="49"/>
        <v>24</v>
      </c>
    </row>
    <row r="3152" spans="2:8" ht="13.5" thickBot="1" x14ac:dyDescent="0.35">
      <c r="B3152" s="9"/>
      <c r="C3152" s="14" t="s">
        <v>418</v>
      </c>
      <c r="D3152" s="15" t="s">
        <v>42</v>
      </c>
      <c r="E3152" s="16" t="s">
        <v>9</v>
      </c>
      <c r="F3152" s="17" t="s">
        <v>23</v>
      </c>
      <c r="G3152" s="17">
        <f>G3148</f>
        <v>12</v>
      </c>
      <c r="H3152" s="13">
        <f t="shared" si="49"/>
        <v>12</v>
      </c>
    </row>
    <row r="3153" spans="2:8" ht="13.5" thickBot="1" x14ac:dyDescent="0.35">
      <c r="B3153" s="9">
        <f>COUNT($B$4:B3152)+1</f>
        <v>890</v>
      </c>
      <c r="C3153" s="10" t="s">
        <v>1530</v>
      </c>
      <c r="D3153" s="10"/>
      <c r="E3153" s="11" t="s">
        <v>3</v>
      </c>
      <c r="F3153" s="12" t="s">
        <v>23</v>
      </c>
      <c r="G3153" s="12"/>
      <c r="H3153" s="13">
        <f t="shared" si="49"/>
        <v>0</v>
      </c>
    </row>
    <row r="3154" spans="2:8" ht="13.5" thickBot="1" x14ac:dyDescent="0.35">
      <c r="B3154" s="9"/>
      <c r="C3154" s="14" t="s">
        <v>24</v>
      </c>
      <c r="D3154" s="15" t="s">
        <v>25</v>
      </c>
      <c r="E3154" s="16" t="s">
        <v>9</v>
      </c>
      <c r="F3154" s="17" t="s">
        <v>23</v>
      </c>
      <c r="G3154" s="17">
        <f>G3153</f>
        <v>0</v>
      </c>
      <c r="H3154" s="13">
        <f t="shared" si="49"/>
        <v>0</v>
      </c>
    </row>
    <row r="3155" spans="2:8" ht="13.5" thickBot="1" x14ac:dyDescent="0.35">
      <c r="B3155" s="9"/>
      <c r="C3155" s="14" t="s">
        <v>1531</v>
      </c>
      <c r="D3155" s="14" t="s">
        <v>430</v>
      </c>
      <c r="E3155" s="16" t="s">
        <v>9</v>
      </c>
      <c r="F3155" s="17" t="s">
        <v>23</v>
      </c>
      <c r="G3155" s="17">
        <f>G3153</f>
        <v>0</v>
      </c>
      <c r="H3155" s="13">
        <f t="shared" si="49"/>
        <v>0</v>
      </c>
    </row>
    <row r="3156" spans="2:8" ht="13.5" thickBot="1" x14ac:dyDescent="0.35">
      <c r="B3156" s="9"/>
      <c r="C3156" s="14" t="s">
        <v>413</v>
      </c>
      <c r="D3156" s="14" t="s">
        <v>430</v>
      </c>
      <c r="E3156" s="18" t="s">
        <v>3</v>
      </c>
      <c r="F3156" s="17" t="s">
        <v>23</v>
      </c>
      <c r="G3156" s="17">
        <f>G3153</f>
        <v>0</v>
      </c>
      <c r="H3156" s="13">
        <f t="shared" si="49"/>
        <v>0</v>
      </c>
    </row>
    <row r="3157" spans="2:8" ht="13.5" thickBot="1" x14ac:dyDescent="0.35">
      <c r="B3157" s="9"/>
      <c r="C3157" s="14" t="s">
        <v>1532</v>
      </c>
      <c r="D3157" s="14" t="s">
        <v>430</v>
      </c>
      <c r="E3157" s="16" t="s">
        <v>9</v>
      </c>
      <c r="F3157" s="17" t="s">
        <v>23</v>
      </c>
      <c r="G3157" s="17">
        <f>G3153</f>
        <v>0</v>
      </c>
      <c r="H3157" s="13">
        <f t="shared" si="49"/>
        <v>0</v>
      </c>
    </row>
    <row r="3158" spans="2:8" ht="13.5" thickBot="1" x14ac:dyDescent="0.35">
      <c r="B3158" s="9">
        <f>COUNT($B$4:B3157)+1</f>
        <v>891</v>
      </c>
      <c r="C3158" s="10" t="s">
        <v>1533</v>
      </c>
      <c r="D3158" s="10"/>
      <c r="E3158" s="11" t="s">
        <v>3</v>
      </c>
      <c r="F3158" s="12" t="s">
        <v>23</v>
      </c>
      <c r="G3158" s="12"/>
      <c r="H3158" s="13">
        <f t="shared" si="49"/>
        <v>0</v>
      </c>
    </row>
    <row r="3159" spans="2:8" ht="13.5" thickBot="1" x14ac:dyDescent="0.35">
      <c r="B3159" s="9"/>
      <c r="C3159" s="14" t="s">
        <v>24</v>
      </c>
      <c r="D3159" s="15" t="s">
        <v>25</v>
      </c>
      <c r="E3159" s="16" t="s">
        <v>9</v>
      </c>
      <c r="F3159" s="17" t="s">
        <v>23</v>
      </c>
      <c r="G3159" s="17">
        <f>G3158</f>
        <v>0</v>
      </c>
      <c r="H3159" s="13">
        <f t="shared" si="49"/>
        <v>0</v>
      </c>
    </row>
    <row r="3160" spans="2:8" ht="13.5" thickBot="1" x14ac:dyDescent="0.35">
      <c r="B3160" s="9"/>
      <c r="C3160" s="14" t="s">
        <v>889</v>
      </c>
      <c r="D3160" s="14" t="s">
        <v>302</v>
      </c>
      <c r="E3160" s="16" t="s">
        <v>9</v>
      </c>
      <c r="F3160" s="17" t="s">
        <v>23</v>
      </c>
      <c r="G3160" s="17">
        <f>G3158</f>
        <v>0</v>
      </c>
      <c r="H3160" s="13">
        <f t="shared" si="49"/>
        <v>0</v>
      </c>
    </row>
    <row r="3161" spans="2:8" ht="13.5" thickBot="1" x14ac:dyDescent="0.35">
      <c r="B3161" s="9"/>
      <c r="C3161" s="14" t="s">
        <v>411</v>
      </c>
      <c r="D3161" s="14" t="s">
        <v>302</v>
      </c>
      <c r="E3161" s="18" t="s">
        <v>3</v>
      </c>
      <c r="F3161" s="17" t="s">
        <v>23</v>
      </c>
      <c r="G3161" s="17">
        <f>G3158</f>
        <v>0</v>
      </c>
      <c r="H3161" s="13">
        <f t="shared" si="49"/>
        <v>0</v>
      </c>
    </row>
    <row r="3162" spans="2:8" ht="13.5" thickBot="1" x14ac:dyDescent="0.35">
      <c r="B3162" s="9"/>
      <c r="C3162" s="14" t="s">
        <v>406</v>
      </c>
      <c r="D3162" s="14" t="s">
        <v>302</v>
      </c>
      <c r="E3162" s="16" t="s">
        <v>9</v>
      </c>
      <c r="F3162" s="17" t="s">
        <v>23</v>
      </c>
      <c r="G3162" s="17">
        <f>G3158</f>
        <v>0</v>
      </c>
      <c r="H3162" s="13">
        <f t="shared" si="49"/>
        <v>0</v>
      </c>
    </row>
    <row r="3163" spans="2:8" ht="13.5" thickBot="1" x14ac:dyDescent="0.35">
      <c r="B3163" s="9">
        <f>COUNT($B$4:B3162)+1</f>
        <v>892</v>
      </c>
      <c r="C3163" s="10" t="s">
        <v>1534</v>
      </c>
      <c r="D3163" s="10"/>
      <c r="E3163" s="11" t="s">
        <v>3</v>
      </c>
      <c r="F3163" s="12" t="s">
        <v>23</v>
      </c>
      <c r="G3163" s="12"/>
      <c r="H3163" s="13">
        <f t="shared" si="49"/>
        <v>0</v>
      </c>
    </row>
    <row r="3164" spans="2:8" ht="13.5" thickBot="1" x14ac:dyDescent="0.35">
      <c r="B3164" s="9"/>
      <c r="C3164" s="14" t="s">
        <v>24</v>
      </c>
      <c r="D3164" s="15" t="s">
        <v>25</v>
      </c>
      <c r="E3164" s="16" t="s">
        <v>9</v>
      </c>
      <c r="F3164" s="17" t="s">
        <v>23</v>
      </c>
      <c r="G3164" s="17">
        <f>G3163</f>
        <v>0</v>
      </c>
      <c r="H3164" s="13">
        <f t="shared" si="49"/>
        <v>0</v>
      </c>
    </row>
    <row r="3165" spans="2:8" ht="13.5" thickBot="1" x14ac:dyDescent="0.35">
      <c r="B3165" s="9"/>
      <c r="C3165" s="14" t="s">
        <v>1531</v>
      </c>
      <c r="D3165" s="14" t="s">
        <v>430</v>
      </c>
      <c r="E3165" s="16" t="s">
        <v>9</v>
      </c>
      <c r="F3165" s="17" t="s">
        <v>23</v>
      </c>
      <c r="G3165" s="17">
        <f>G3163</f>
        <v>0</v>
      </c>
      <c r="H3165" s="13">
        <f t="shared" si="49"/>
        <v>0</v>
      </c>
    </row>
    <row r="3166" spans="2:8" ht="13.5" thickBot="1" x14ac:dyDescent="0.35">
      <c r="B3166" s="9"/>
      <c r="C3166" s="14" t="s">
        <v>1535</v>
      </c>
      <c r="D3166" s="14" t="s">
        <v>430</v>
      </c>
      <c r="E3166" s="18" t="s">
        <v>3</v>
      </c>
      <c r="F3166" s="17" t="s">
        <v>23</v>
      </c>
      <c r="G3166" s="17">
        <f>G3163</f>
        <v>0</v>
      </c>
      <c r="H3166" s="13">
        <f t="shared" si="49"/>
        <v>0</v>
      </c>
    </row>
    <row r="3167" spans="2:8" ht="13.5" thickBot="1" x14ac:dyDescent="0.35">
      <c r="B3167" s="9"/>
      <c r="C3167" s="14" t="s">
        <v>1532</v>
      </c>
      <c r="D3167" s="14" t="s">
        <v>430</v>
      </c>
      <c r="E3167" s="16" t="s">
        <v>9</v>
      </c>
      <c r="F3167" s="17" t="s">
        <v>23</v>
      </c>
      <c r="G3167" s="17">
        <f>G3163</f>
        <v>0</v>
      </c>
      <c r="H3167" s="13">
        <f t="shared" si="49"/>
        <v>0</v>
      </c>
    </row>
    <row r="3168" spans="2:8" ht="13.5" thickBot="1" x14ac:dyDescent="0.35">
      <c r="B3168" s="9">
        <f>COUNT($B$4:B3167)+1</f>
        <v>893</v>
      </c>
      <c r="C3168" s="10" t="s">
        <v>1536</v>
      </c>
      <c r="D3168" s="10"/>
      <c r="E3168" s="11" t="s">
        <v>3</v>
      </c>
      <c r="F3168" s="12" t="s">
        <v>23</v>
      </c>
      <c r="G3168" s="12"/>
      <c r="H3168" s="13">
        <f t="shared" si="49"/>
        <v>0</v>
      </c>
    </row>
    <row r="3169" spans="2:8" ht="13.5" thickBot="1" x14ac:dyDescent="0.35">
      <c r="B3169" s="9"/>
      <c r="C3169" s="14" t="s">
        <v>24</v>
      </c>
      <c r="D3169" s="15" t="s">
        <v>25</v>
      </c>
      <c r="E3169" s="16" t="s">
        <v>9</v>
      </c>
      <c r="F3169" s="17" t="s">
        <v>23</v>
      </c>
      <c r="G3169" s="17">
        <f>G3168</f>
        <v>0</v>
      </c>
      <c r="H3169" s="13">
        <f t="shared" si="49"/>
        <v>0</v>
      </c>
    </row>
    <row r="3170" spans="2:8" ht="13.5" thickBot="1" x14ac:dyDescent="0.35">
      <c r="B3170" s="9"/>
      <c r="C3170" s="14" t="s">
        <v>889</v>
      </c>
      <c r="D3170" s="14" t="s">
        <v>302</v>
      </c>
      <c r="E3170" s="16" t="s">
        <v>9</v>
      </c>
      <c r="F3170" s="17" t="s">
        <v>23</v>
      </c>
      <c r="G3170" s="17">
        <f>G3168</f>
        <v>0</v>
      </c>
      <c r="H3170" s="13">
        <f t="shared" si="49"/>
        <v>0</v>
      </c>
    </row>
    <row r="3171" spans="2:8" ht="13.5" thickBot="1" x14ac:dyDescent="0.35">
      <c r="B3171" s="9"/>
      <c r="C3171" s="14" t="s">
        <v>1537</v>
      </c>
      <c r="D3171" s="14" t="s">
        <v>302</v>
      </c>
      <c r="E3171" s="18" t="s">
        <v>3</v>
      </c>
      <c r="F3171" s="17" t="s">
        <v>23</v>
      </c>
      <c r="G3171" s="17">
        <f>G3168</f>
        <v>0</v>
      </c>
      <c r="H3171" s="13">
        <f t="shared" si="49"/>
        <v>0</v>
      </c>
    </row>
    <row r="3172" spans="2:8" ht="13.5" thickBot="1" x14ac:dyDescent="0.35">
      <c r="B3172" s="9"/>
      <c r="C3172" s="14" t="s">
        <v>406</v>
      </c>
      <c r="D3172" s="14" t="s">
        <v>302</v>
      </c>
      <c r="E3172" s="16" t="s">
        <v>9</v>
      </c>
      <c r="F3172" s="17" t="s">
        <v>23</v>
      </c>
      <c r="G3172" s="17">
        <f>G3168</f>
        <v>0</v>
      </c>
      <c r="H3172" s="13">
        <f t="shared" si="49"/>
        <v>0</v>
      </c>
    </row>
    <row r="3173" spans="2:8" ht="13.5" thickBot="1" x14ac:dyDescent="0.35">
      <c r="B3173" s="9">
        <f>COUNT($B$4:B3172)+1</f>
        <v>894</v>
      </c>
      <c r="C3173" s="10" t="s">
        <v>1538</v>
      </c>
      <c r="D3173" s="10"/>
      <c r="E3173" s="11" t="s">
        <v>3</v>
      </c>
      <c r="F3173" s="12" t="s">
        <v>23</v>
      </c>
      <c r="G3173" s="12"/>
      <c r="H3173" s="13">
        <f t="shared" si="49"/>
        <v>0</v>
      </c>
    </row>
    <row r="3174" spans="2:8" ht="13.5" thickBot="1" x14ac:dyDescent="0.35">
      <c r="B3174" s="9"/>
      <c r="C3174" s="14" t="s">
        <v>423</v>
      </c>
      <c r="D3174" s="14" t="s">
        <v>302</v>
      </c>
      <c r="E3174" s="18" t="s">
        <v>3</v>
      </c>
      <c r="F3174" s="17" t="s">
        <v>23</v>
      </c>
      <c r="G3174" s="17">
        <f>G3173</f>
        <v>0</v>
      </c>
      <c r="H3174" s="13">
        <f t="shared" si="49"/>
        <v>0</v>
      </c>
    </row>
    <row r="3175" spans="2:8" ht="13.5" thickBot="1" x14ac:dyDescent="0.35">
      <c r="B3175" s="9"/>
      <c r="C3175" s="14" t="s">
        <v>1528</v>
      </c>
      <c r="D3175" s="14" t="s">
        <v>302</v>
      </c>
      <c r="E3175" s="16" t="s">
        <v>9</v>
      </c>
      <c r="F3175" s="17" t="s">
        <v>23</v>
      </c>
      <c r="G3175" s="17">
        <f>G3173</f>
        <v>0</v>
      </c>
      <c r="H3175" s="13">
        <f t="shared" si="49"/>
        <v>0</v>
      </c>
    </row>
    <row r="3176" spans="2:8" ht="13.5" thickBot="1" x14ac:dyDescent="0.35">
      <c r="B3176" s="9">
        <f>COUNT($B$4:B3175)+1</f>
        <v>895</v>
      </c>
      <c r="C3176" s="10" t="s">
        <v>1539</v>
      </c>
      <c r="D3176" s="10"/>
      <c r="E3176" s="11" t="s">
        <v>3</v>
      </c>
      <c r="F3176" s="12" t="s">
        <v>23</v>
      </c>
      <c r="G3176" s="12"/>
      <c r="H3176" s="13">
        <f t="shared" si="49"/>
        <v>0</v>
      </c>
    </row>
    <row r="3177" spans="2:8" ht="13.5" thickBot="1" x14ac:dyDescent="0.35">
      <c r="B3177" s="9"/>
      <c r="C3177" s="14" t="s">
        <v>24</v>
      </c>
      <c r="D3177" s="15" t="s">
        <v>25</v>
      </c>
      <c r="E3177" s="16" t="s">
        <v>9</v>
      </c>
      <c r="F3177" s="17" t="s">
        <v>23</v>
      </c>
      <c r="G3177" s="17">
        <f>G3176</f>
        <v>0</v>
      </c>
      <c r="H3177" s="13">
        <f t="shared" si="49"/>
        <v>0</v>
      </c>
    </row>
    <row r="3178" spans="2:8" ht="13.5" thickBot="1" x14ac:dyDescent="0.35">
      <c r="B3178" s="9"/>
      <c r="C3178" s="14" t="s">
        <v>1531</v>
      </c>
      <c r="D3178" s="14" t="s">
        <v>430</v>
      </c>
      <c r="E3178" s="16" t="s">
        <v>9</v>
      </c>
      <c r="F3178" s="17" t="s">
        <v>23</v>
      </c>
      <c r="G3178" s="17">
        <f>G3176</f>
        <v>0</v>
      </c>
      <c r="H3178" s="13">
        <f t="shared" si="49"/>
        <v>0</v>
      </c>
    </row>
    <row r="3179" spans="2:8" ht="13.5" thickBot="1" x14ac:dyDescent="0.35">
      <c r="B3179" s="9"/>
      <c r="C3179" s="14" t="s">
        <v>1537</v>
      </c>
      <c r="D3179" s="14" t="s">
        <v>430</v>
      </c>
      <c r="E3179" s="18" t="s">
        <v>3</v>
      </c>
      <c r="F3179" s="17" t="s">
        <v>23</v>
      </c>
      <c r="G3179" s="17">
        <f>G3176</f>
        <v>0</v>
      </c>
      <c r="H3179" s="13">
        <f t="shared" si="49"/>
        <v>0</v>
      </c>
    </row>
    <row r="3180" spans="2:8" ht="13.5" thickBot="1" x14ac:dyDescent="0.35">
      <c r="B3180" s="9"/>
      <c r="C3180" s="14" t="s">
        <v>1532</v>
      </c>
      <c r="D3180" s="14" t="s">
        <v>430</v>
      </c>
      <c r="E3180" s="16" t="s">
        <v>9</v>
      </c>
      <c r="F3180" s="17" t="s">
        <v>23</v>
      </c>
      <c r="G3180" s="17">
        <f>G3176</f>
        <v>0</v>
      </c>
      <c r="H3180" s="13">
        <f t="shared" si="49"/>
        <v>0</v>
      </c>
    </row>
    <row r="3181" spans="2:8" ht="13.5" thickBot="1" x14ac:dyDescent="0.35">
      <c r="B3181" s="9">
        <f>COUNT($B$4:B3180)+1</f>
        <v>896</v>
      </c>
      <c r="C3181" s="10" t="s">
        <v>1540</v>
      </c>
      <c r="D3181" s="10"/>
      <c r="E3181" s="11" t="s">
        <v>3</v>
      </c>
      <c r="F3181" s="12" t="s">
        <v>23</v>
      </c>
      <c r="G3181" s="12"/>
      <c r="H3181" s="13">
        <f t="shared" si="49"/>
        <v>0</v>
      </c>
    </row>
    <row r="3182" spans="2:8" ht="13.5" thickBot="1" x14ac:dyDescent="0.35">
      <c r="B3182" s="9"/>
      <c r="C3182" s="14" t="s">
        <v>24</v>
      </c>
      <c r="D3182" s="15" t="s">
        <v>25</v>
      </c>
      <c r="E3182" s="16" t="s">
        <v>9</v>
      </c>
      <c r="F3182" s="17" t="s">
        <v>23</v>
      </c>
      <c r="G3182" s="17">
        <f>G3181</f>
        <v>0</v>
      </c>
      <c r="H3182" s="13">
        <f t="shared" si="49"/>
        <v>0</v>
      </c>
    </row>
    <row r="3183" spans="2:8" ht="13.5" thickBot="1" x14ac:dyDescent="0.35">
      <c r="B3183" s="9"/>
      <c r="C3183" s="14" t="s">
        <v>889</v>
      </c>
      <c r="D3183" s="14" t="s">
        <v>302</v>
      </c>
      <c r="E3183" s="16" t="s">
        <v>9</v>
      </c>
      <c r="F3183" s="17" t="s">
        <v>23</v>
      </c>
      <c r="G3183" s="17">
        <f>G3181</f>
        <v>0</v>
      </c>
      <c r="H3183" s="13">
        <f t="shared" si="49"/>
        <v>0</v>
      </c>
    </row>
    <row r="3184" spans="2:8" ht="13.5" thickBot="1" x14ac:dyDescent="0.35">
      <c r="B3184" s="9"/>
      <c r="C3184" s="14" t="s">
        <v>408</v>
      </c>
      <c r="D3184" s="14" t="s">
        <v>302</v>
      </c>
      <c r="E3184" s="18" t="s">
        <v>3</v>
      </c>
      <c r="F3184" s="17" t="s">
        <v>23</v>
      </c>
      <c r="G3184" s="17">
        <f>G3181</f>
        <v>0</v>
      </c>
      <c r="H3184" s="13">
        <f t="shared" si="49"/>
        <v>0</v>
      </c>
    </row>
    <row r="3185" spans="2:8" ht="13.5" thickBot="1" x14ac:dyDescent="0.35">
      <c r="B3185" s="9"/>
      <c r="C3185" s="14" t="s">
        <v>406</v>
      </c>
      <c r="D3185" s="14" t="s">
        <v>302</v>
      </c>
      <c r="E3185" s="16" t="s">
        <v>9</v>
      </c>
      <c r="F3185" s="17" t="s">
        <v>23</v>
      </c>
      <c r="G3185" s="17">
        <f>G3181</f>
        <v>0</v>
      </c>
      <c r="H3185" s="13">
        <f t="shared" si="49"/>
        <v>0</v>
      </c>
    </row>
    <row r="3186" spans="2:8" ht="13.5" thickBot="1" x14ac:dyDescent="0.35">
      <c r="B3186" s="9">
        <f>COUNT($B$4:B3185)+1</f>
        <v>897</v>
      </c>
      <c r="C3186" s="10" t="s">
        <v>1541</v>
      </c>
      <c r="D3186" s="10"/>
      <c r="E3186" s="11" t="s">
        <v>3</v>
      </c>
      <c r="F3186" s="12" t="s">
        <v>23</v>
      </c>
      <c r="G3186" s="12"/>
      <c r="H3186" s="13">
        <f t="shared" si="49"/>
        <v>0</v>
      </c>
    </row>
    <row r="3187" spans="2:8" ht="13.5" thickBot="1" x14ac:dyDescent="0.35">
      <c r="B3187" s="9"/>
      <c r="C3187" s="14" t="s">
        <v>24</v>
      </c>
      <c r="D3187" s="15" t="s">
        <v>25</v>
      </c>
      <c r="E3187" s="16" t="s">
        <v>9</v>
      </c>
      <c r="F3187" s="17" t="s">
        <v>23</v>
      </c>
      <c r="G3187" s="17">
        <f>G3186</f>
        <v>0</v>
      </c>
      <c r="H3187" s="13">
        <f t="shared" si="49"/>
        <v>0</v>
      </c>
    </row>
    <row r="3188" spans="2:8" ht="13.5" thickBot="1" x14ac:dyDescent="0.35">
      <c r="B3188" s="9"/>
      <c r="C3188" s="14" t="s">
        <v>1531</v>
      </c>
      <c r="D3188" s="14" t="s">
        <v>430</v>
      </c>
      <c r="E3188" s="16" t="s">
        <v>9</v>
      </c>
      <c r="F3188" s="17" t="s">
        <v>23</v>
      </c>
      <c r="G3188" s="17">
        <f>G3186</f>
        <v>0</v>
      </c>
      <c r="H3188" s="13">
        <f t="shared" si="49"/>
        <v>0</v>
      </c>
    </row>
    <row r="3189" spans="2:8" ht="13.5" thickBot="1" x14ac:dyDescent="0.35">
      <c r="B3189" s="9"/>
      <c r="C3189" s="14" t="s">
        <v>408</v>
      </c>
      <c r="D3189" s="14" t="s">
        <v>430</v>
      </c>
      <c r="E3189" s="18" t="s">
        <v>3</v>
      </c>
      <c r="F3189" s="17" t="s">
        <v>23</v>
      </c>
      <c r="G3189" s="17">
        <f>G3186</f>
        <v>0</v>
      </c>
      <c r="H3189" s="13">
        <f t="shared" si="49"/>
        <v>0</v>
      </c>
    </row>
    <row r="3190" spans="2:8" ht="13.5" thickBot="1" x14ac:dyDescent="0.35">
      <c r="B3190" s="9"/>
      <c r="C3190" s="14" t="s">
        <v>1532</v>
      </c>
      <c r="D3190" s="14" t="s">
        <v>430</v>
      </c>
      <c r="E3190" s="16" t="s">
        <v>9</v>
      </c>
      <c r="F3190" s="17" t="s">
        <v>23</v>
      </c>
      <c r="G3190" s="17">
        <f>G3186</f>
        <v>0</v>
      </c>
      <c r="H3190" s="13">
        <f t="shared" si="49"/>
        <v>0</v>
      </c>
    </row>
    <row r="3191" spans="2:8" ht="13.5" thickBot="1" x14ac:dyDescent="0.35">
      <c r="B3191" s="9">
        <f>COUNT($B$4:B3190)+1</f>
        <v>898</v>
      </c>
      <c r="C3191" s="10" t="s">
        <v>1542</v>
      </c>
      <c r="D3191" s="10"/>
      <c r="E3191" s="11" t="s">
        <v>3</v>
      </c>
      <c r="F3191" s="12" t="s">
        <v>23</v>
      </c>
      <c r="G3191" s="12"/>
      <c r="H3191" s="13">
        <f t="shared" si="49"/>
        <v>0</v>
      </c>
    </row>
    <row r="3192" spans="2:8" ht="13.5" thickBot="1" x14ac:dyDescent="0.35">
      <c r="B3192" s="9"/>
      <c r="C3192" s="14" t="s">
        <v>24</v>
      </c>
      <c r="D3192" s="15" t="s">
        <v>25</v>
      </c>
      <c r="E3192" s="16" t="s">
        <v>9</v>
      </c>
      <c r="F3192" s="17" t="s">
        <v>23</v>
      </c>
      <c r="G3192" s="17">
        <f>G3191</f>
        <v>0</v>
      </c>
      <c r="H3192" s="13">
        <f t="shared" si="49"/>
        <v>0</v>
      </c>
    </row>
    <row r="3193" spans="2:8" ht="13.5" thickBot="1" x14ac:dyDescent="0.35">
      <c r="B3193" s="9"/>
      <c r="C3193" s="14" t="s">
        <v>889</v>
      </c>
      <c r="D3193" s="14" t="s">
        <v>302</v>
      </c>
      <c r="E3193" s="16" t="s">
        <v>9</v>
      </c>
      <c r="F3193" s="17" t="s">
        <v>23</v>
      </c>
      <c r="G3193" s="17">
        <f>G3191</f>
        <v>0</v>
      </c>
      <c r="H3193" s="13">
        <f t="shared" si="49"/>
        <v>0</v>
      </c>
    </row>
    <row r="3194" spans="2:8" ht="13.5" thickBot="1" x14ac:dyDescent="0.35">
      <c r="B3194" s="9"/>
      <c r="C3194" s="14" t="s">
        <v>409</v>
      </c>
      <c r="D3194" s="14" t="s">
        <v>302</v>
      </c>
      <c r="E3194" s="18" t="s">
        <v>3</v>
      </c>
      <c r="F3194" s="17" t="s">
        <v>23</v>
      </c>
      <c r="G3194" s="17">
        <f>G3191</f>
        <v>0</v>
      </c>
      <c r="H3194" s="13">
        <f t="shared" si="49"/>
        <v>0</v>
      </c>
    </row>
    <row r="3195" spans="2:8" ht="13.5" thickBot="1" x14ac:dyDescent="0.35">
      <c r="B3195" s="9"/>
      <c r="C3195" s="14" t="s">
        <v>406</v>
      </c>
      <c r="D3195" s="14" t="s">
        <v>302</v>
      </c>
      <c r="E3195" s="16" t="s">
        <v>9</v>
      </c>
      <c r="F3195" s="17" t="s">
        <v>23</v>
      </c>
      <c r="G3195" s="17">
        <f>G3191</f>
        <v>0</v>
      </c>
      <c r="H3195" s="13">
        <f t="shared" si="49"/>
        <v>0</v>
      </c>
    </row>
    <row r="3196" spans="2:8" ht="13.5" thickBot="1" x14ac:dyDescent="0.35">
      <c r="B3196" s="9">
        <f>COUNT($B$4:B3195)+1</f>
        <v>899</v>
      </c>
      <c r="C3196" s="10" t="s">
        <v>1543</v>
      </c>
      <c r="D3196" s="10"/>
      <c r="E3196" s="11" t="s">
        <v>3</v>
      </c>
      <c r="F3196" s="12" t="s">
        <v>23</v>
      </c>
      <c r="G3196" s="12"/>
      <c r="H3196" s="13">
        <f t="shared" si="49"/>
        <v>0</v>
      </c>
    </row>
    <row r="3197" spans="2:8" ht="13.5" thickBot="1" x14ac:dyDescent="0.35">
      <c r="B3197" s="9"/>
      <c r="C3197" s="14" t="s">
        <v>24</v>
      </c>
      <c r="D3197" s="15" t="s">
        <v>25</v>
      </c>
      <c r="E3197" s="16" t="s">
        <v>9</v>
      </c>
      <c r="F3197" s="17" t="s">
        <v>23</v>
      </c>
      <c r="G3197" s="17">
        <f>G3196</f>
        <v>0</v>
      </c>
      <c r="H3197" s="13">
        <f t="shared" si="49"/>
        <v>0</v>
      </c>
    </row>
    <row r="3198" spans="2:8" ht="13.5" thickBot="1" x14ac:dyDescent="0.35">
      <c r="B3198" s="9"/>
      <c r="C3198" s="14" t="s">
        <v>1531</v>
      </c>
      <c r="D3198" s="14" t="s">
        <v>430</v>
      </c>
      <c r="E3198" s="16" t="s">
        <v>9</v>
      </c>
      <c r="F3198" s="17" t="s">
        <v>23</v>
      </c>
      <c r="G3198" s="17">
        <f>G3196</f>
        <v>0</v>
      </c>
      <c r="H3198" s="13">
        <f t="shared" si="49"/>
        <v>0</v>
      </c>
    </row>
    <row r="3199" spans="2:8" ht="13.5" thickBot="1" x14ac:dyDescent="0.35">
      <c r="B3199" s="9"/>
      <c r="C3199" s="14" t="s">
        <v>409</v>
      </c>
      <c r="D3199" s="14" t="s">
        <v>430</v>
      </c>
      <c r="E3199" s="18" t="s">
        <v>3</v>
      </c>
      <c r="F3199" s="17" t="s">
        <v>23</v>
      </c>
      <c r="G3199" s="17">
        <f>G3196</f>
        <v>0</v>
      </c>
      <c r="H3199" s="13">
        <f t="shared" si="49"/>
        <v>0</v>
      </c>
    </row>
    <row r="3200" spans="2:8" ht="13.5" thickBot="1" x14ac:dyDescent="0.35">
      <c r="B3200" s="9"/>
      <c r="C3200" s="14" t="s">
        <v>1532</v>
      </c>
      <c r="D3200" s="14" t="s">
        <v>430</v>
      </c>
      <c r="E3200" s="16" t="s">
        <v>9</v>
      </c>
      <c r="F3200" s="17" t="s">
        <v>23</v>
      </c>
      <c r="G3200" s="17">
        <f>G3196</f>
        <v>0</v>
      </c>
      <c r="H3200" s="13">
        <f t="shared" si="49"/>
        <v>0</v>
      </c>
    </row>
    <row r="3201" spans="2:8" ht="13.5" thickBot="1" x14ac:dyDescent="0.35">
      <c r="B3201" s="9">
        <f>COUNT($B$4:B3200)+1</f>
        <v>900</v>
      </c>
      <c r="C3201" s="10" t="s">
        <v>1544</v>
      </c>
      <c r="D3201" s="10"/>
      <c r="E3201" s="11" t="s">
        <v>3</v>
      </c>
      <c r="F3201" s="12" t="s">
        <v>23</v>
      </c>
      <c r="G3201" s="12">
        <v>88</v>
      </c>
      <c r="H3201" s="13">
        <f t="shared" si="49"/>
        <v>88</v>
      </c>
    </row>
    <row r="3202" spans="2:8" ht="13.5" thickBot="1" x14ac:dyDescent="0.35">
      <c r="B3202" s="9"/>
      <c r="C3202" s="14" t="s">
        <v>24</v>
      </c>
      <c r="D3202" s="15" t="s">
        <v>25</v>
      </c>
      <c r="E3202" s="16" t="s">
        <v>9</v>
      </c>
      <c r="F3202" s="17" t="s">
        <v>23</v>
      </c>
      <c r="G3202" s="17">
        <f>G3201</f>
        <v>88</v>
      </c>
      <c r="H3202" s="13">
        <f t="shared" si="49"/>
        <v>88</v>
      </c>
    </row>
    <row r="3203" spans="2:8" ht="13.5" thickBot="1" x14ac:dyDescent="0.35">
      <c r="B3203" s="9"/>
      <c r="C3203" s="14" t="s">
        <v>889</v>
      </c>
      <c r="D3203" s="14" t="s">
        <v>302</v>
      </c>
      <c r="E3203" s="16" t="s">
        <v>9</v>
      </c>
      <c r="F3203" s="17" t="s">
        <v>23</v>
      </c>
      <c r="G3203" s="17">
        <f>G3201</f>
        <v>88</v>
      </c>
      <c r="H3203" s="13">
        <f t="shared" si="49"/>
        <v>88</v>
      </c>
    </row>
    <row r="3204" spans="2:8" ht="13.5" thickBot="1" x14ac:dyDescent="0.35">
      <c r="B3204" s="9"/>
      <c r="C3204" s="14" t="s">
        <v>405</v>
      </c>
      <c r="D3204" s="14" t="s">
        <v>302</v>
      </c>
      <c r="E3204" s="18" t="s">
        <v>3</v>
      </c>
      <c r="F3204" s="17" t="s">
        <v>23</v>
      </c>
      <c r="G3204" s="17">
        <f>G3201</f>
        <v>88</v>
      </c>
      <c r="H3204" s="13">
        <f t="shared" ref="H3204:H3267" si="50">SUM(G3204:G3204)</f>
        <v>88</v>
      </c>
    </row>
    <row r="3205" spans="2:8" ht="13.5" thickBot="1" x14ac:dyDescent="0.35">
      <c r="B3205" s="9"/>
      <c r="C3205" s="14" t="s">
        <v>406</v>
      </c>
      <c r="D3205" s="14" t="s">
        <v>302</v>
      </c>
      <c r="E3205" s="16" t="s">
        <v>9</v>
      </c>
      <c r="F3205" s="17" t="s">
        <v>23</v>
      </c>
      <c r="G3205" s="17">
        <f>G3201</f>
        <v>88</v>
      </c>
      <c r="H3205" s="13">
        <f t="shared" si="50"/>
        <v>88</v>
      </c>
    </row>
    <row r="3206" spans="2:8" ht="13.5" thickBot="1" x14ac:dyDescent="0.35">
      <c r="B3206" s="9">
        <f>COUNT($B$4:B3205)+1</f>
        <v>901</v>
      </c>
      <c r="C3206" s="10" t="s">
        <v>1527</v>
      </c>
      <c r="D3206" s="10"/>
      <c r="E3206" s="11" t="s">
        <v>3</v>
      </c>
      <c r="F3206" s="12" t="s">
        <v>23</v>
      </c>
      <c r="G3206" s="12"/>
      <c r="H3206" s="13">
        <f t="shared" si="50"/>
        <v>0</v>
      </c>
    </row>
    <row r="3207" spans="2:8" ht="13.5" thickBot="1" x14ac:dyDescent="0.35">
      <c r="B3207" s="9"/>
      <c r="C3207" s="14" t="s">
        <v>405</v>
      </c>
      <c r="D3207" s="14" t="s">
        <v>302</v>
      </c>
      <c r="E3207" s="18" t="s">
        <v>3</v>
      </c>
      <c r="F3207" s="17" t="s">
        <v>23</v>
      </c>
      <c r="G3207" s="17">
        <f>G3206</f>
        <v>0</v>
      </c>
      <c r="H3207" s="13">
        <f t="shared" si="50"/>
        <v>0</v>
      </c>
    </row>
    <row r="3208" spans="2:8" ht="13.5" thickBot="1" x14ac:dyDescent="0.35">
      <c r="B3208" s="9"/>
      <c r="C3208" s="14" t="s">
        <v>1528</v>
      </c>
      <c r="D3208" s="14" t="s">
        <v>302</v>
      </c>
      <c r="E3208" s="16" t="s">
        <v>9</v>
      </c>
      <c r="F3208" s="17" t="s">
        <v>23</v>
      </c>
      <c r="G3208" s="17">
        <f>G3206</f>
        <v>0</v>
      </c>
      <c r="H3208" s="13">
        <f t="shared" si="50"/>
        <v>0</v>
      </c>
    </row>
    <row r="3209" spans="2:8" ht="13.5" thickBot="1" x14ac:dyDescent="0.35">
      <c r="B3209" s="9">
        <f>COUNT($B$4:B3208)+1</f>
        <v>902</v>
      </c>
      <c r="C3209" s="10" t="s">
        <v>1545</v>
      </c>
      <c r="D3209" s="10"/>
      <c r="E3209" s="11" t="s">
        <v>3</v>
      </c>
      <c r="F3209" s="12" t="s">
        <v>23</v>
      </c>
      <c r="G3209" s="12"/>
      <c r="H3209" s="13">
        <f t="shared" si="50"/>
        <v>0</v>
      </c>
    </row>
    <row r="3210" spans="2:8" ht="13.5" thickBot="1" x14ac:dyDescent="0.35">
      <c r="B3210" s="9"/>
      <c r="C3210" s="14" t="s">
        <v>41</v>
      </c>
      <c r="D3210" s="15" t="s">
        <v>42</v>
      </c>
      <c r="E3210" s="16" t="s">
        <v>9</v>
      </c>
      <c r="F3210" s="17" t="s">
        <v>23</v>
      </c>
      <c r="G3210" s="17">
        <f>G3209</f>
        <v>0</v>
      </c>
      <c r="H3210" s="13">
        <f t="shared" si="50"/>
        <v>0</v>
      </c>
    </row>
    <row r="3211" spans="2:8" ht="13.5" thickBot="1" x14ac:dyDescent="0.35">
      <c r="B3211" s="9"/>
      <c r="C3211" s="14" t="s">
        <v>897</v>
      </c>
      <c r="D3211" s="15" t="s">
        <v>42</v>
      </c>
      <c r="E3211" s="16" t="s">
        <v>9</v>
      </c>
      <c r="F3211" s="17" t="s">
        <v>23</v>
      </c>
      <c r="G3211" s="17">
        <f>G3209</f>
        <v>0</v>
      </c>
      <c r="H3211" s="13">
        <f t="shared" si="50"/>
        <v>0</v>
      </c>
    </row>
    <row r="3212" spans="2:8" ht="13.5" thickBot="1" x14ac:dyDescent="0.35">
      <c r="B3212" s="9"/>
      <c r="C3212" s="14" t="s">
        <v>416</v>
      </c>
      <c r="D3212" s="15" t="s">
        <v>42</v>
      </c>
      <c r="E3212" s="18" t="s">
        <v>3</v>
      </c>
      <c r="F3212" s="17" t="s">
        <v>23</v>
      </c>
      <c r="G3212" s="17">
        <f>G3209</f>
        <v>0</v>
      </c>
      <c r="H3212" s="13">
        <f t="shared" si="50"/>
        <v>0</v>
      </c>
    </row>
    <row r="3213" spans="2:8" ht="13.5" thickBot="1" x14ac:dyDescent="0.35">
      <c r="B3213" s="9"/>
      <c r="C3213" s="14" t="s">
        <v>418</v>
      </c>
      <c r="D3213" s="15" t="s">
        <v>42</v>
      </c>
      <c r="E3213" s="16" t="s">
        <v>9</v>
      </c>
      <c r="F3213" s="17" t="s">
        <v>23</v>
      </c>
      <c r="G3213" s="17">
        <f>G3209</f>
        <v>0</v>
      </c>
      <c r="H3213" s="13">
        <f t="shared" si="50"/>
        <v>0</v>
      </c>
    </row>
    <row r="3214" spans="2:8" ht="13.5" thickBot="1" x14ac:dyDescent="0.35">
      <c r="B3214" s="9">
        <f>COUNT($B$4:B3213)+1</f>
        <v>903</v>
      </c>
      <c r="C3214" s="10" t="s">
        <v>1546</v>
      </c>
      <c r="D3214" s="10"/>
      <c r="E3214" s="11" t="s">
        <v>3</v>
      </c>
      <c r="F3214" s="12" t="s">
        <v>23</v>
      </c>
      <c r="G3214" s="12"/>
      <c r="H3214" s="13">
        <f t="shared" si="50"/>
        <v>0</v>
      </c>
    </row>
    <row r="3215" spans="2:8" ht="13.5" thickBot="1" x14ac:dyDescent="0.35">
      <c r="B3215" s="9"/>
      <c r="C3215" s="14" t="s">
        <v>24</v>
      </c>
      <c r="D3215" s="15" t="s">
        <v>25</v>
      </c>
      <c r="E3215" s="16" t="s">
        <v>9</v>
      </c>
      <c r="F3215" s="17" t="s">
        <v>23</v>
      </c>
      <c r="G3215" s="17">
        <f>G3214</f>
        <v>0</v>
      </c>
      <c r="H3215" s="13">
        <f t="shared" si="50"/>
        <v>0</v>
      </c>
    </row>
    <row r="3216" spans="2:8" ht="13.5" thickBot="1" x14ac:dyDescent="0.35">
      <c r="B3216" s="9"/>
      <c r="C3216" s="14" t="s">
        <v>1531</v>
      </c>
      <c r="D3216" s="14" t="s">
        <v>430</v>
      </c>
      <c r="E3216" s="16" t="s">
        <v>9</v>
      </c>
      <c r="F3216" s="17" t="s">
        <v>23</v>
      </c>
      <c r="G3216" s="17">
        <f>G3214</f>
        <v>0</v>
      </c>
      <c r="H3216" s="13">
        <f t="shared" si="50"/>
        <v>0</v>
      </c>
    </row>
    <row r="3217" spans="2:8" ht="13.5" thickBot="1" x14ac:dyDescent="0.35">
      <c r="B3217" s="9"/>
      <c r="C3217" s="14" t="s">
        <v>405</v>
      </c>
      <c r="D3217" s="14" t="s">
        <v>430</v>
      </c>
      <c r="E3217" s="18" t="s">
        <v>3</v>
      </c>
      <c r="F3217" s="17" t="s">
        <v>23</v>
      </c>
      <c r="G3217" s="17">
        <f>G3214</f>
        <v>0</v>
      </c>
      <c r="H3217" s="13">
        <f t="shared" si="50"/>
        <v>0</v>
      </c>
    </row>
    <row r="3218" spans="2:8" ht="13.5" thickBot="1" x14ac:dyDescent="0.35">
      <c r="B3218" s="9"/>
      <c r="C3218" s="14" t="s">
        <v>1532</v>
      </c>
      <c r="D3218" s="14" t="s">
        <v>430</v>
      </c>
      <c r="E3218" s="16" t="s">
        <v>9</v>
      </c>
      <c r="F3218" s="17" t="s">
        <v>23</v>
      </c>
      <c r="G3218" s="17">
        <f>G3214</f>
        <v>0</v>
      </c>
      <c r="H3218" s="13">
        <f t="shared" si="50"/>
        <v>0</v>
      </c>
    </row>
    <row r="3219" spans="2:8" ht="13.5" thickBot="1" x14ac:dyDescent="0.35">
      <c r="B3219" s="9">
        <f>COUNT($B$4:B3218)+1</f>
        <v>904</v>
      </c>
      <c r="C3219" s="10" t="s">
        <v>1547</v>
      </c>
      <c r="D3219" s="10"/>
      <c r="E3219" s="11" t="s">
        <v>3</v>
      </c>
      <c r="F3219" s="12" t="s">
        <v>23</v>
      </c>
      <c r="G3219" s="12">
        <v>27</v>
      </c>
      <c r="H3219" s="13">
        <f t="shared" si="50"/>
        <v>27</v>
      </c>
    </row>
    <row r="3220" spans="2:8" ht="13.5" thickBot="1" x14ac:dyDescent="0.35">
      <c r="B3220" s="9"/>
      <c r="C3220" s="14" t="s">
        <v>59</v>
      </c>
      <c r="D3220" s="14" t="s">
        <v>60</v>
      </c>
      <c r="E3220" s="18" t="s">
        <v>5</v>
      </c>
      <c r="F3220" s="17" t="s">
        <v>23</v>
      </c>
      <c r="G3220" s="17">
        <f>G3219</f>
        <v>27</v>
      </c>
      <c r="H3220" s="13">
        <f t="shared" si="50"/>
        <v>27</v>
      </c>
    </row>
    <row r="3221" spans="2:8" ht="13.5" thickBot="1" x14ac:dyDescent="0.35">
      <c r="B3221" s="9"/>
      <c r="C3221" s="14" t="s">
        <v>24</v>
      </c>
      <c r="D3221" s="15" t="s">
        <v>25</v>
      </c>
      <c r="E3221" s="16" t="s">
        <v>9</v>
      </c>
      <c r="F3221" s="17" t="s">
        <v>23</v>
      </c>
      <c r="G3221" s="17">
        <f>G3219</f>
        <v>27</v>
      </c>
      <c r="H3221" s="13">
        <f t="shared" si="50"/>
        <v>27</v>
      </c>
    </row>
    <row r="3222" spans="2:8" ht="13.5" thickBot="1" x14ac:dyDescent="0.35">
      <c r="B3222" s="9"/>
      <c r="C3222" s="14" t="s">
        <v>889</v>
      </c>
      <c r="D3222" s="14" t="s">
        <v>302</v>
      </c>
      <c r="E3222" s="16" t="s">
        <v>9</v>
      </c>
      <c r="F3222" s="17" t="s">
        <v>23</v>
      </c>
      <c r="G3222" s="17">
        <f>G3219</f>
        <v>27</v>
      </c>
      <c r="H3222" s="13">
        <f t="shared" si="50"/>
        <v>27</v>
      </c>
    </row>
    <row r="3223" spans="2:8" ht="13.5" thickBot="1" x14ac:dyDescent="0.35">
      <c r="B3223" s="9"/>
      <c r="C3223" s="14" t="s">
        <v>405</v>
      </c>
      <c r="D3223" s="14" t="s">
        <v>302</v>
      </c>
      <c r="E3223" s="18" t="s">
        <v>3</v>
      </c>
      <c r="F3223" s="17" t="s">
        <v>23</v>
      </c>
      <c r="G3223" s="17">
        <f>G3219</f>
        <v>27</v>
      </c>
      <c r="H3223" s="13">
        <f t="shared" si="50"/>
        <v>27</v>
      </c>
    </row>
    <row r="3224" spans="2:8" ht="13.5" thickBot="1" x14ac:dyDescent="0.35">
      <c r="B3224" s="9"/>
      <c r="C3224" s="14" t="s">
        <v>406</v>
      </c>
      <c r="D3224" s="14" t="s">
        <v>302</v>
      </c>
      <c r="E3224" s="16" t="s">
        <v>9</v>
      </c>
      <c r="F3224" s="17" t="s">
        <v>23</v>
      </c>
      <c r="G3224" s="17">
        <f>G3219</f>
        <v>27</v>
      </c>
      <c r="H3224" s="13">
        <f t="shared" si="50"/>
        <v>27</v>
      </c>
    </row>
    <row r="3225" spans="2:8" ht="13.5" thickBot="1" x14ac:dyDescent="0.35">
      <c r="B3225" s="9">
        <f>COUNT($B$4:B3224)+1</f>
        <v>905</v>
      </c>
      <c r="C3225" s="10" t="s">
        <v>1548</v>
      </c>
      <c r="D3225" s="10"/>
      <c r="E3225" s="11" t="s">
        <v>3</v>
      </c>
      <c r="F3225" s="12" t="s">
        <v>23</v>
      </c>
      <c r="G3225" s="12"/>
      <c r="H3225" s="13">
        <f t="shared" si="50"/>
        <v>0</v>
      </c>
    </row>
    <row r="3226" spans="2:8" ht="13.5" thickBot="1" x14ac:dyDescent="0.35">
      <c r="B3226" s="9"/>
      <c r="C3226" s="14" t="s">
        <v>59</v>
      </c>
      <c r="D3226" s="14" t="s">
        <v>60</v>
      </c>
      <c r="E3226" s="18" t="s">
        <v>5</v>
      </c>
      <c r="F3226" s="17" t="s">
        <v>23</v>
      </c>
      <c r="G3226" s="17">
        <f>G3225</f>
        <v>0</v>
      </c>
      <c r="H3226" s="13">
        <f t="shared" si="50"/>
        <v>0</v>
      </c>
    </row>
    <row r="3227" spans="2:8" ht="13.5" thickBot="1" x14ac:dyDescent="0.35">
      <c r="B3227" s="9"/>
      <c r="C3227" s="14" t="s">
        <v>41</v>
      </c>
      <c r="D3227" s="15" t="s">
        <v>42</v>
      </c>
      <c r="E3227" s="16" t="s">
        <v>9</v>
      </c>
      <c r="F3227" s="17" t="s">
        <v>23</v>
      </c>
      <c r="G3227" s="17">
        <f>G3225</f>
        <v>0</v>
      </c>
      <c r="H3227" s="13">
        <f t="shared" si="50"/>
        <v>0</v>
      </c>
    </row>
    <row r="3228" spans="2:8" ht="13.5" thickBot="1" x14ac:dyDescent="0.35">
      <c r="B3228" s="9"/>
      <c r="C3228" s="14" t="s">
        <v>897</v>
      </c>
      <c r="D3228" s="15" t="s">
        <v>42</v>
      </c>
      <c r="E3228" s="16" t="s">
        <v>9</v>
      </c>
      <c r="F3228" s="17" t="s">
        <v>23</v>
      </c>
      <c r="G3228" s="17">
        <f>G3225</f>
        <v>0</v>
      </c>
      <c r="H3228" s="13">
        <f t="shared" si="50"/>
        <v>0</v>
      </c>
    </row>
    <row r="3229" spans="2:8" ht="13.5" thickBot="1" x14ac:dyDescent="0.35">
      <c r="B3229" s="9"/>
      <c r="C3229" s="14" t="s">
        <v>416</v>
      </c>
      <c r="D3229" s="15" t="s">
        <v>42</v>
      </c>
      <c r="E3229" s="18" t="s">
        <v>3</v>
      </c>
      <c r="F3229" s="17" t="s">
        <v>23</v>
      </c>
      <c r="G3229" s="17">
        <f>G3225</f>
        <v>0</v>
      </c>
      <c r="H3229" s="13">
        <f t="shared" si="50"/>
        <v>0</v>
      </c>
    </row>
    <row r="3230" spans="2:8" ht="13.5" thickBot="1" x14ac:dyDescent="0.35">
      <c r="B3230" s="9"/>
      <c r="C3230" s="14" t="s">
        <v>418</v>
      </c>
      <c r="D3230" s="15" t="s">
        <v>42</v>
      </c>
      <c r="E3230" s="16" t="s">
        <v>9</v>
      </c>
      <c r="F3230" s="17" t="s">
        <v>23</v>
      </c>
      <c r="G3230" s="17">
        <f>G3225</f>
        <v>0</v>
      </c>
      <c r="H3230" s="13">
        <f t="shared" si="50"/>
        <v>0</v>
      </c>
    </row>
    <row r="3231" spans="2:8" ht="13.5" thickBot="1" x14ac:dyDescent="0.35">
      <c r="B3231" s="9">
        <f>COUNT($B$4:B3230)+1</f>
        <v>906</v>
      </c>
      <c r="C3231" s="10" t="s">
        <v>1549</v>
      </c>
      <c r="D3231" s="10"/>
      <c r="E3231" s="11" t="s">
        <v>3</v>
      </c>
      <c r="F3231" s="12" t="s">
        <v>23</v>
      </c>
      <c r="G3231" s="12"/>
      <c r="H3231" s="13">
        <f t="shared" si="50"/>
        <v>0</v>
      </c>
    </row>
    <row r="3232" spans="2:8" ht="13.5" thickBot="1" x14ac:dyDescent="0.35">
      <c r="B3232" s="9"/>
      <c r="C3232" s="14" t="s">
        <v>24</v>
      </c>
      <c r="D3232" s="15" t="s">
        <v>25</v>
      </c>
      <c r="E3232" s="16" t="s">
        <v>9</v>
      </c>
      <c r="F3232" s="17" t="s">
        <v>23</v>
      </c>
      <c r="G3232" s="17">
        <f>G3231</f>
        <v>0</v>
      </c>
      <c r="H3232" s="13">
        <f t="shared" si="50"/>
        <v>0</v>
      </c>
    </row>
    <row r="3233" spans="2:8" ht="13.5" thickBot="1" x14ac:dyDescent="0.35">
      <c r="B3233" s="9"/>
      <c r="C3233" s="14" t="s">
        <v>889</v>
      </c>
      <c r="D3233" s="14" t="s">
        <v>302</v>
      </c>
      <c r="E3233" s="16" t="s">
        <v>9</v>
      </c>
      <c r="F3233" s="17" t="s">
        <v>23</v>
      </c>
      <c r="G3233" s="17">
        <f>G3231</f>
        <v>0</v>
      </c>
      <c r="H3233" s="13">
        <f t="shared" si="50"/>
        <v>0</v>
      </c>
    </row>
    <row r="3234" spans="2:8" ht="13.5" thickBot="1" x14ac:dyDescent="0.35">
      <c r="B3234" s="9"/>
      <c r="C3234" s="14" t="s">
        <v>1550</v>
      </c>
      <c r="D3234" s="14" t="s">
        <v>302</v>
      </c>
      <c r="E3234" s="18" t="s">
        <v>3</v>
      </c>
      <c r="F3234" s="17" t="s">
        <v>23</v>
      </c>
      <c r="G3234" s="17">
        <f>G3231</f>
        <v>0</v>
      </c>
      <c r="H3234" s="13">
        <f t="shared" si="50"/>
        <v>0</v>
      </c>
    </row>
    <row r="3235" spans="2:8" ht="13.5" thickBot="1" x14ac:dyDescent="0.35">
      <c r="B3235" s="9"/>
      <c r="C3235" s="14" t="s">
        <v>406</v>
      </c>
      <c r="D3235" s="14" t="s">
        <v>302</v>
      </c>
      <c r="E3235" s="16" t="s">
        <v>9</v>
      </c>
      <c r="F3235" s="17" t="s">
        <v>23</v>
      </c>
      <c r="G3235" s="17">
        <f>G3231</f>
        <v>0</v>
      </c>
      <c r="H3235" s="13">
        <f t="shared" si="50"/>
        <v>0</v>
      </c>
    </row>
    <row r="3236" spans="2:8" ht="13.5" thickBot="1" x14ac:dyDescent="0.35">
      <c r="B3236" s="9">
        <f>COUNT($B$4:B3235)+1</f>
        <v>907</v>
      </c>
      <c r="C3236" s="10" t="s">
        <v>1551</v>
      </c>
      <c r="D3236" s="10"/>
      <c r="E3236" s="11" t="s">
        <v>3</v>
      </c>
      <c r="F3236" s="12" t="s">
        <v>23</v>
      </c>
      <c r="G3236" s="12"/>
      <c r="H3236" s="13">
        <f t="shared" si="50"/>
        <v>0</v>
      </c>
    </row>
    <row r="3237" spans="2:8" ht="13.5" thickBot="1" x14ac:dyDescent="0.35">
      <c r="B3237" s="9"/>
      <c r="C3237" s="14" t="s">
        <v>41</v>
      </c>
      <c r="D3237" s="15" t="s">
        <v>42</v>
      </c>
      <c r="E3237" s="16" t="s">
        <v>9</v>
      </c>
      <c r="F3237" s="17" t="s">
        <v>23</v>
      </c>
      <c r="G3237" s="17">
        <f>G3236</f>
        <v>0</v>
      </c>
      <c r="H3237" s="13">
        <f t="shared" si="50"/>
        <v>0</v>
      </c>
    </row>
    <row r="3238" spans="2:8" ht="13.5" thickBot="1" x14ac:dyDescent="0.35">
      <c r="B3238" s="9"/>
      <c r="C3238" s="14" t="s">
        <v>897</v>
      </c>
      <c r="D3238" s="15" t="s">
        <v>42</v>
      </c>
      <c r="E3238" s="16" t="s">
        <v>9</v>
      </c>
      <c r="F3238" s="17" t="s">
        <v>23</v>
      </c>
      <c r="G3238" s="17">
        <f>G3236</f>
        <v>0</v>
      </c>
      <c r="H3238" s="13">
        <f t="shared" si="50"/>
        <v>0</v>
      </c>
    </row>
    <row r="3239" spans="2:8" ht="13.5" thickBot="1" x14ac:dyDescent="0.35">
      <c r="B3239" s="9"/>
      <c r="C3239" s="14" t="s">
        <v>1552</v>
      </c>
      <c r="D3239" s="15" t="s">
        <v>42</v>
      </c>
      <c r="E3239" s="18" t="s">
        <v>3</v>
      </c>
      <c r="F3239" s="17" t="s">
        <v>23</v>
      </c>
      <c r="G3239" s="17">
        <f>G3236</f>
        <v>0</v>
      </c>
      <c r="H3239" s="13">
        <f t="shared" si="50"/>
        <v>0</v>
      </c>
    </row>
    <row r="3240" spans="2:8" ht="13.5" thickBot="1" x14ac:dyDescent="0.35">
      <c r="B3240" s="9"/>
      <c r="C3240" s="14" t="s">
        <v>418</v>
      </c>
      <c r="D3240" s="15" t="s">
        <v>42</v>
      </c>
      <c r="E3240" s="16" t="s">
        <v>9</v>
      </c>
      <c r="F3240" s="17" t="s">
        <v>23</v>
      </c>
      <c r="G3240" s="17">
        <f>G3236</f>
        <v>0</v>
      </c>
      <c r="H3240" s="13">
        <f t="shared" si="50"/>
        <v>0</v>
      </c>
    </row>
    <row r="3241" spans="2:8" ht="13.5" thickBot="1" x14ac:dyDescent="0.35">
      <c r="B3241" s="9">
        <f>COUNT($B$4:B3240)+1</f>
        <v>908</v>
      </c>
      <c r="C3241" s="10" t="s">
        <v>1553</v>
      </c>
      <c r="D3241" s="10"/>
      <c r="E3241" s="11" t="s">
        <v>9</v>
      </c>
      <c r="F3241" s="12" t="s">
        <v>23</v>
      </c>
      <c r="G3241" s="12"/>
      <c r="H3241" s="13">
        <f t="shared" si="50"/>
        <v>0</v>
      </c>
    </row>
    <row r="3242" spans="2:8" ht="13.5" thickBot="1" x14ac:dyDescent="0.35">
      <c r="B3242" s="9"/>
      <c r="C3242" s="14" t="s">
        <v>449</v>
      </c>
      <c r="D3242" s="14" t="s">
        <v>278</v>
      </c>
      <c r="E3242" s="18" t="s">
        <v>0</v>
      </c>
      <c r="F3242" s="17" t="s">
        <v>23</v>
      </c>
      <c r="G3242" s="17">
        <f>G3241*12</f>
        <v>0</v>
      </c>
      <c r="H3242" s="13">
        <f t="shared" si="50"/>
        <v>0</v>
      </c>
    </row>
    <row r="3243" spans="2:8" ht="13.5" thickBot="1" x14ac:dyDescent="0.35">
      <c r="B3243" s="9"/>
      <c r="C3243" s="14" t="s">
        <v>451</v>
      </c>
      <c r="D3243" s="14" t="s">
        <v>278</v>
      </c>
      <c r="E3243" s="18" t="s">
        <v>0</v>
      </c>
      <c r="F3243" s="17" t="s">
        <v>23</v>
      </c>
      <c r="G3243" s="17">
        <f>G3241*12</f>
        <v>0</v>
      </c>
      <c r="H3243" s="13">
        <f t="shared" si="50"/>
        <v>0</v>
      </c>
    </row>
    <row r="3244" spans="2:8" ht="13.5" thickBot="1" x14ac:dyDescent="0.35">
      <c r="B3244" s="9"/>
      <c r="C3244" s="14" t="s">
        <v>452</v>
      </c>
      <c r="D3244" s="14" t="s">
        <v>278</v>
      </c>
      <c r="E3244" s="18" t="s">
        <v>0</v>
      </c>
      <c r="F3244" s="17" t="s">
        <v>23</v>
      </c>
      <c r="G3244" s="17">
        <f>G3241*12</f>
        <v>0</v>
      </c>
      <c r="H3244" s="13">
        <f t="shared" si="50"/>
        <v>0</v>
      </c>
    </row>
    <row r="3245" spans="2:8" ht="13.5" thickBot="1" x14ac:dyDescent="0.35">
      <c r="B3245" s="9"/>
      <c r="C3245" s="14" t="s">
        <v>1554</v>
      </c>
      <c r="D3245" s="14" t="s">
        <v>278</v>
      </c>
      <c r="E3245" s="18" t="s">
        <v>9</v>
      </c>
      <c r="F3245" s="17" t="s">
        <v>23</v>
      </c>
      <c r="G3245" s="17">
        <f>G3241</f>
        <v>0</v>
      </c>
      <c r="H3245" s="13">
        <f t="shared" si="50"/>
        <v>0</v>
      </c>
    </row>
    <row r="3246" spans="2:8" ht="13.5" thickBot="1" x14ac:dyDescent="0.35">
      <c r="B3246" s="9"/>
      <c r="C3246" s="14" t="s">
        <v>1555</v>
      </c>
      <c r="D3246" s="14" t="s">
        <v>278</v>
      </c>
      <c r="E3246" s="18" t="s">
        <v>9</v>
      </c>
      <c r="F3246" s="17" t="s">
        <v>23</v>
      </c>
      <c r="G3246" s="17">
        <f>G3241</f>
        <v>0</v>
      </c>
      <c r="H3246" s="13">
        <f t="shared" si="50"/>
        <v>0</v>
      </c>
    </row>
    <row r="3247" spans="2:8" ht="13.5" thickBot="1" x14ac:dyDescent="0.35">
      <c r="B3247" s="9">
        <f>COUNT($B$4:B3246)+1</f>
        <v>909</v>
      </c>
      <c r="C3247" s="10" t="s">
        <v>1556</v>
      </c>
      <c r="D3247" s="10"/>
      <c r="E3247" s="11" t="s">
        <v>9</v>
      </c>
      <c r="F3247" s="12" t="s">
        <v>23</v>
      </c>
      <c r="G3247" s="12"/>
      <c r="H3247" s="13">
        <f t="shared" si="50"/>
        <v>0</v>
      </c>
    </row>
    <row r="3248" spans="2:8" ht="13.5" thickBot="1" x14ac:dyDescent="0.35">
      <c r="B3248" s="9"/>
      <c r="C3248" s="14" t="s">
        <v>449</v>
      </c>
      <c r="D3248" s="14" t="s">
        <v>278</v>
      </c>
      <c r="E3248" s="18" t="s">
        <v>0</v>
      </c>
      <c r="F3248" s="17" t="s">
        <v>23</v>
      </c>
      <c r="G3248" s="17">
        <f>G3247*12</f>
        <v>0</v>
      </c>
      <c r="H3248" s="13">
        <f t="shared" si="50"/>
        <v>0</v>
      </c>
    </row>
    <row r="3249" spans="2:8" ht="13.5" thickBot="1" x14ac:dyDescent="0.35">
      <c r="B3249" s="9"/>
      <c r="C3249" s="14" t="s">
        <v>451</v>
      </c>
      <c r="D3249" s="14" t="s">
        <v>278</v>
      </c>
      <c r="E3249" s="18" t="s">
        <v>0</v>
      </c>
      <c r="F3249" s="17" t="s">
        <v>23</v>
      </c>
      <c r="G3249" s="17">
        <f>G3247*12</f>
        <v>0</v>
      </c>
      <c r="H3249" s="13">
        <f t="shared" si="50"/>
        <v>0</v>
      </c>
    </row>
    <row r="3250" spans="2:8" ht="13.5" thickBot="1" x14ac:dyDescent="0.35">
      <c r="B3250" s="9"/>
      <c r="C3250" s="14" t="s">
        <v>452</v>
      </c>
      <c r="D3250" s="14" t="s">
        <v>278</v>
      </c>
      <c r="E3250" s="18" t="s">
        <v>0</v>
      </c>
      <c r="F3250" s="17" t="s">
        <v>23</v>
      </c>
      <c r="G3250" s="17">
        <f>G3247*12</f>
        <v>0</v>
      </c>
      <c r="H3250" s="13">
        <f t="shared" si="50"/>
        <v>0</v>
      </c>
    </row>
    <row r="3251" spans="2:8" ht="13.5" thickBot="1" x14ac:dyDescent="0.35">
      <c r="B3251" s="9"/>
      <c r="C3251" s="14" t="s">
        <v>1557</v>
      </c>
      <c r="D3251" s="14" t="s">
        <v>278</v>
      </c>
      <c r="E3251" s="18" t="s">
        <v>9</v>
      </c>
      <c r="F3251" s="17" t="s">
        <v>23</v>
      </c>
      <c r="G3251" s="17">
        <f>G3247</f>
        <v>0</v>
      </c>
      <c r="H3251" s="13">
        <f t="shared" si="50"/>
        <v>0</v>
      </c>
    </row>
    <row r="3252" spans="2:8" ht="13.5" thickBot="1" x14ac:dyDescent="0.35">
      <c r="B3252" s="9"/>
      <c r="C3252" s="14" t="s">
        <v>1558</v>
      </c>
      <c r="D3252" s="14" t="s">
        <v>278</v>
      </c>
      <c r="E3252" s="18" t="s">
        <v>9</v>
      </c>
      <c r="F3252" s="17" t="s">
        <v>23</v>
      </c>
      <c r="G3252" s="17">
        <f>G3247</f>
        <v>0</v>
      </c>
      <c r="H3252" s="13">
        <f t="shared" si="50"/>
        <v>0</v>
      </c>
    </row>
    <row r="3253" spans="2:8" ht="13.5" thickBot="1" x14ac:dyDescent="0.35">
      <c r="B3253" s="9">
        <f>COUNT($B$4:B3252)+1</f>
        <v>910</v>
      </c>
      <c r="C3253" s="10" t="s">
        <v>1559</v>
      </c>
      <c r="D3253" s="10"/>
      <c r="E3253" s="11" t="s">
        <v>9</v>
      </c>
      <c r="F3253" s="12" t="s">
        <v>23</v>
      </c>
      <c r="G3253" s="12"/>
      <c r="H3253" s="13">
        <f t="shared" si="50"/>
        <v>0</v>
      </c>
    </row>
    <row r="3254" spans="2:8" ht="13.5" thickBot="1" x14ac:dyDescent="0.35">
      <c r="B3254" s="9"/>
      <c r="C3254" s="14" t="s">
        <v>449</v>
      </c>
      <c r="D3254" s="14" t="s">
        <v>278</v>
      </c>
      <c r="E3254" s="18" t="s">
        <v>0</v>
      </c>
      <c r="F3254" s="17" t="s">
        <v>23</v>
      </c>
      <c r="G3254" s="17">
        <f>G3253*12</f>
        <v>0</v>
      </c>
      <c r="H3254" s="13">
        <f t="shared" si="50"/>
        <v>0</v>
      </c>
    </row>
    <row r="3255" spans="2:8" ht="13.5" thickBot="1" x14ac:dyDescent="0.35">
      <c r="B3255" s="9"/>
      <c r="C3255" s="14" t="s">
        <v>451</v>
      </c>
      <c r="D3255" s="14" t="s">
        <v>278</v>
      </c>
      <c r="E3255" s="18" t="s">
        <v>0</v>
      </c>
      <c r="F3255" s="17" t="s">
        <v>23</v>
      </c>
      <c r="G3255" s="17">
        <f>G3253*12</f>
        <v>0</v>
      </c>
      <c r="H3255" s="13">
        <f t="shared" si="50"/>
        <v>0</v>
      </c>
    </row>
    <row r="3256" spans="2:8" ht="13.5" thickBot="1" x14ac:dyDescent="0.35">
      <c r="B3256" s="9"/>
      <c r="C3256" s="14" t="s">
        <v>452</v>
      </c>
      <c r="D3256" s="14" t="s">
        <v>278</v>
      </c>
      <c r="E3256" s="18" t="s">
        <v>0</v>
      </c>
      <c r="F3256" s="17" t="s">
        <v>23</v>
      </c>
      <c r="G3256" s="17">
        <f>G3253*12</f>
        <v>0</v>
      </c>
      <c r="H3256" s="13">
        <f t="shared" si="50"/>
        <v>0</v>
      </c>
    </row>
    <row r="3257" spans="2:8" ht="13.5" thickBot="1" x14ac:dyDescent="0.35">
      <c r="B3257" s="9"/>
      <c r="C3257" s="14" t="s">
        <v>1560</v>
      </c>
      <c r="D3257" s="14" t="s">
        <v>278</v>
      </c>
      <c r="E3257" s="18" t="s">
        <v>9</v>
      </c>
      <c r="F3257" s="17" t="s">
        <v>23</v>
      </c>
      <c r="G3257" s="17">
        <f>G3253</f>
        <v>0</v>
      </c>
      <c r="H3257" s="13">
        <f t="shared" si="50"/>
        <v>0</v>
      </c>
    </row>
    <row r="3258" spans="2:8" ht="13.5" thickBot="1" x14ac:dyDescent="0.35">
      <c r="B3258" s="9"/>
      <c r="C3258" s="14" t="s">
        <v>1561</v>
      </c>
      <c r="D3258" s="14" t="s">
        <v>278</v>
      </c>
      <c r="E3258" s="18" t="s">
        <v>9</v>
      </c>
      <c r="F3258" s="17" t="s">
        <v>23</v>
      </c>
      <c r="G3258" s="17">
        <f>G3253</f>
        <v>0</v>
      </c>
      <c r="H3258" s="13">
        <f t="shared" si="50"/>
        <v>0</v>
      </c>
    </row>
    <row r="3259" spans="2:8" ht="13.5" thickBot="1" x14ac:dyDescent="0.35">
      <c r="B3259" s="9">
        <f>COUNT($B$4:B3258)+1</f>
        <v>911</v>
      </c>
      <c r="C3259" s="10" t="s">
        <v>1562</v>
      </c>
      <c r="D3259" s="10"/>
      <c r="E3259" s="11" t="s">
        <v>9</v>
      </c>
      <c r="F3259" s="12" t="s">
        <v>23</v>
      </c>
      <c r="G3259" s="12"/>
      <c r="H3259" s="13">
        <f t="shared" si="50"/>
        <v>0</v>
      </c>
    </row>
    <row r="3260" spans="2:8" ht="13.5" thickBot="1" x14ac:dyDescent="0.35">
      <c r="B3260" s="9"/>
      <c r="C3260" s="14" t="s">
        <v>449</v>
      </c>
      <c r="D3260" s="14" t="s">
        <v>278</v>
      </c>
      <c r="E3260" s="18" t="s">
        <v>0</v>
      </c>
      <c r="F3260" s="17" t="s">
        <v>23</v>
      </c>
      <c r="G3260" s="17">
        <f>G3259*12</f>
        <v>0</v>
      </c>
      <c r="H3260" s="13">
        <f t="shared" si="50"/>
        <v>0</v>
      </c>
    </row>
    <row r="3261" spans="2:8" ht="13.5" thickBot="1" x14ac:dyDescent="0.35">
      <c r="B3261" s="9"/>
      <c r="C3261" s="14" t="s">
        <v>451</v>
      </c>
      <c r="D3261" s="14" t="s">
        <v>278</v>
      </c>
      <c r="E3261" s="18" t="s">
        <v>0</v>
      </c>
      <c r="F3261" s="17" t="s">
        <v>23</v>
      </c>
      <c r="G3261" s="17">
        <f>G3259*12</f>
        <v>0</v>
      </c>
      <c r="H3261" s="13">
        <f t="shared" si="50"/>
        <v>0</v>
      </c>
    </row>
    <row r="3262" spans="2:8" ht="13.5" thickBot="1" x14ac:dyDescent="0.35">
      <c r="B3262" s="9"/>
      <c r="C3262" s="14" t="s">
        <v>452</v>
      </c>
      <c r="D3262" s="14" t="s">
        <v>278</v>
      </c>
      <c r="E3262" s="18" t="s">
        <v>0</v>
      </c>
      <c r="F3262" s="17" t="s">
        <v>23</v>
      </c>
      <c r="G3262" s="17">
        <f>G3259*12</f>
        <v>0</v>
      </c>
      <c r="H3262" s="13">
        <f t="shared" si="50"/>
        <v>0</v>
      </c>
    </row>
    <row r="3263" spans="2:8" ht="13.5" thickBot="1" x14ac:dyDescent="0.35">
      <c r="B3263" s="9"/>
      <c r="C3263" s="14" t="s">
        <v>1563</v>
      </c>
      <c r="D3263" s="14" t="s">
        <v>278</v>
      </c>
      <c r="E3263" s="18" t="s">
        <v>9</v>
      </c>
      <c r="F3263" s="17" t="s">
        <v>23</v>
      </c>
      <c r="G3263" s="17">
        <f>G3259</f>
        <v>0</v>
      </c>
      <c r="H3263" s="13">
        <f t="shared" si="50"/>
        <v>0</v>
      </c>
    </row>
    <row r="3264" spans="2:8" ht="13.5" thickBot="1" x14ac:dyDescent="0.35">
      <c r="B3264" s="9"/>
      <c r="C3264" s="14" t="s">
        <v>1564</v>
      </c>
      <c r="D3264" s="14" t="s">
        <v>278</v>
      </c>
      <c r="E3264" s="18" t="s">
        <v>9</v>
      </c>
      <c r="F3264" s="17" t="s">
        <v>23</v>
      </c>
      <c r="G3264" s="17">
        <f>G3259</f>
        <v>0</v>
      </c>
      <c r="H3264" s="13">
        <f t="shared" si="50"/>
        <v>0</v>
      </c>
    </row>
    <row r="3265" spans="2:8" ht="13.5" thickBot="1" x14ac:dyDescent="0.35">
      <c r="B3265" s="9">
        <f>COUNT($B$4:B3264)+1</f>
        <v>912</v>
      </c>
      <c r="C3265" s="10" t="s">
        <v>1565</v>
      </c>
      <c r="D3265" s="10"/>
      <c r="E3265" s="11" t="s">
        <v>9</v>
      </c>
      <c r="F3265" s="12" t="s">
        <v>23</v>
      </c>
      <c r="G3265" s="12"/>
      <c r="H3265" s="13">
        <f t="shared" si="50"/>
        <v>0</v>
      </c>
    </row>
    <row r="3266" spans="2:8" ht="13.5" thickBot="1" x14ac:dyDescent="0.35">
      <c r="B3266" s="9"/>
      <c r="C3266" s="14" t="s">
        <v>449</v>
      </c>
      <c r="D3266" s="14" t="s">
        <v>278</v>
      </c>
      <c r="E3266" s="18" t="s">
        <v>0</v>
      </c>
      <c r="F3266" s="17" t="s">
        <v>23</v>
      </c>
      <c r="G3266" s="17">
        <f>G3265*12</f>
        <v>0</v>
      </c>
      <c r="H3266" s="13">
        <f t="shared" si="50"/>
        <v>0</v>
      </c>
    </row>
    <row r="3267" spans="2:8" ht="13.5" thickBot="1" x14ac:dyDescent="0.35">
      <c r="B3267" s="9"/>
      <c r="C3267" s="14" t="s">
        <v>451</v>
      </c>
      <c r="D3267" s="14" t="s">
        <v>278</v>
      </c>
      <c r="E3267" s="18" t="s">
        <v>0</v>
      </c>
      <c r="F3267" s="17" t="s">
        <v>23</v>
      </c>
      <c r="G3267" s="17">
        <f>G3265*12</f>
        <v>0</v>
      </c>
      <c r="H3267" s="13">
        <f t="shared" si="50"/>
        <v>0</v>
      </c>
    </row>
    <row r="3268" spans="2:8" ht="13.5" thickBot="1" x14ac:dyDescent="0.35">
      <c r="B3268" s="9"/>
      <c r="C3268" s="14" t="s">
        <v>452</v>
      </c>
      <c r="D3268" s="14" t="s">
        <v>278</v>
      </c>
      <c r="E3268" s="18" t="s">
        <v>0</v>
      </c>
      <c r="F3268" s="17" t="s">
        <v>23</v>
      </c>
      <c r="G3268" s="17">
        <f>G3265*12</f>
        <v>0</v>
      </c>
      <c r="H3268" s="13">
        <f t="shared" ref="H3268:H3331" si="51">SUM(G3268:G3268)</f>
        <v>0</v>
      </c>
    </row>
    <row r="3269" spans="2:8" ht="13.5" thickBot="1" x14ac:dyDescent="0.35">
      <c r="B3269" s="9"/>
      <c r="C3269" s="14" t="s">
        <v>1566</v>
      </c>
      <c r="D3269" s="14" t="s">
        <v>278</v>
      </c>
      <c r="E3269" s="18" t="s">
        <v>9</v>
      </c>
      <c r="F3269" s="17" t="s">
        <v>23</v>
      </c>
      <c r="G3269" s="17">
        <f>G3265</f>
        <v>0</v>
      </c>
      <c r="H3269" s="13">
        <f t="shared" si="51"/>
        <v>0</v>
      </c>
    </row>
    <row r="3270" spans="2:8" ht="13.5" thickBot="1" x14ac:dyDescent="0.35">
      <c r="B3270" s="9"/>
      <c r="C3270" s="14" t="s">
        <v>1567</v>
      </c>
      <c r="D3270" s="14" t="s">
        <v>278</v>
      </c>
      <c r="E3270" s="18" t="s">
        <v>9</v>
      </c>
      <c r="F3270" s="17" t="s">
        <v>23</v>
      </c>
      <c r="G3270" s="17">
        <f>G3265</f>
        <v>0</v>
      </c>
      <c r="H3270" s="13">
        <f t="shared" si="51"/>
        <v>0</v>
      </c>
    </row>
    <row r="3271" spans="2:8" ht="13.5" thickBot="1" x14ac:dyDescent="0.35">
      <c r="B3271" s="9">
        <f>COUNT($B$4:B3270)+1</f>
        <v>913</v>
      </c>
      <c r="C3271" s="10" t="s">
        <v>1568</v>
      </c>
      <c r="D3271" s="10"/>
      <c r="E3271" s="11" t="s">
        <v>9</v>
      </c>
      <c r="F3271" s="12" t="s">
        <v>23</v>
      </c>
      <c r="G3271" s="12"/>
      <c r="H3271" s="13">
        <f t="shared" si="51"/>
        <v>0</v>
      </c>
    </row>
    <row r="3272" spans="2:8" ht="13.5" thickBot="1" x14ac:dyDescent="0.35">
      <c r="B3272" s="9"/>
      <c r="C3272" s="14" t="s">
        <v>449</v>
      </c>
      <c r="D3272" s="14" t="s">
        <v>278</v>
      </c>
      <c r="E3272" s="18" t="s">
        <v>0</v>
      </c>
      <c r="F3272" s="17" t="s">
        <v>23</v>
      </c>
      <c r="G3272" s="17">
        <f>G3271*12</f>
        <v>0</v>
      </c>
      <c r="H3272" s="13">
        <f t="shared" si="51"/>
        <v>0</v>
      </c>
    </row>
    <row r="3273" spans="2:8" ht="13.5" thickBot="1" x14ac:dyDescent="0.35">
      <c r="B3273" s="9"/>
      <c r="C3273" s="14" t="s">
        <v>451</v>
      </c>
      <c r="D3273" s="14" t="s">
        <v>278</v>
      </c>
      <c r="E3273" s="18" t="s">
        <v>0</v>
      </c>
      <c r="F3273" s="17" t="s">
        <v>23</v>
      </c>
      <c r="G3273" s="17">
        <f>G3271*12</f>
        <v>0</v>
      </c>
      <c r="H3273" s="13">
        <f t="shared" si="51"/>
        <v>0</v>
      </c>
    </row>
    <row r="3274" spans="2:8" ht="13.5" thickBot="1" x14ac:dyDescent="0.35">
      <c r="B3274" s="9"/>
      <c r="C3274" s="14" t="s">
        <v>452</v>
      </c>
      <c r="D3274" s="14" t="s">
        <v>278</v>
      </c>
      <c r="E3274" s="18" t="s">
        <v>0</v>
      </c>
      <c r="F3274" s="17" t="s">
        <v>23</v>
      </c>
      <c r="G3274" s="17">
        <f>G3271*12</f>
        <v>0</v>
      </c>
      <c r="H3274" s="13">
        <f t="shared" si="51"/>
        <v>0</v>
      </c>
    </row>
    <row r="3275" spans="2:8" ht="13.5" thickBot="1" x14ac:dyDescent="0.35">
      <c r="B3275" s="9"/>
      <c r="C3275" s="14" t="s">
        <v>1569</v>
      </c>
      <c r="D3275" s="14" t="s">
        <v>278</v>
      </c>
      <c r="E3275" s="18" t="s">
        <v>9</v>
      </c>
      <c r="F3275" s="17" t="s">
        <v>23</v>
      </c>
      <c r="G3275" s="17">
        <f>G3271</f>
        <v>0</v>
      </c>
      <c r="H3275" s="13">
        <f t="shared" si="51"/>
        <v>0</v>
      </c>
    </row>
    <row r="3276" spans="2:8" ht="13.5" thickBot="1" x14ac:dyDescent="0.35">
      <c r="B3276" s="9"/>
      <c r="C3276" s="14" t="s">
        <v>1570</v>
      </c>
      <c r="D3276" s="14" t="s">
        <v>278</v>
      </c>
      <c r="E3276" s="18" t="s">
        <v>9</v>
      </c>
      <c r="F3276" s="17" t="s">
        <v>23</v>
      </c>
      <c r="G3276" s="17">
        <f>G3271</f>
        <v>0</v>
      </c>
      <c r="H3276" s="13">
        <f t="shared" si="51"/>
        <v>0</v>
      </c>
    </row>
    <row r="3277" spans="2:8" ht="13.5" thickBot="1" x14ac:dyDescent="0.35">
      <c r="B3277" s="9">
        <f>COUNT($B$4:B3276)+1</f>
        <v>914</v>
      </c>
      <c r="C3277" s="10" t="s">
        <v>1571</v>
      </c>
      <c r="D3277" s="10"/>
      <c r="E3277" s="11" t="s">
        <v>9</v>
      </c>
      <c r="F3277" s="12" t="s">
        <v>23</v>
      </c>
      <c r="G3277" s="12"/>
      <c r="H3277" s="13">
        <f t="shared" si="51"/>
        <v>0</v>
      </c>
    </row>
    <row r="3278" spans="2:8" ht="13.5" thickBot="1" x14ac:dyDescent="0.35">
      <c r="B3278" s="9"/>
      <c r="C3278" s="14" t="s">
        <v>449</v>
      </c>
      <c r="D3278" s="14" t="s">
        <v>278</v>
      </c>
      <c r="E3278" s="18" t="s">
        <v>0</v>
      </c>
      <c r="F3278" s="17" t="s">
        <v>23</v>
      </c>
      <c r="G3278" s="17">
        <f>G3277*12</f>
        <v>0</v>
      </c>
      <c r="H3278" s="13">
        <f t="shared" si="51"/>
        <v>0</v>
      </c>
    </row>
    <row r="3279" spans="2:8" ht="13.5" thickBot="1" x14ac:dyDescent="0.35">
      <c r="B3279" s="9"/>
      <c r="C3279" s="14" t="s">
        <v>451</v>
      </c>
      <c r="D3279" s="14" t="s">
        <v>278</v>
      </c>
      <c r="E3279" s="18" t="s">
        <v>0</v>
      </c>
      <c r="F3279" s="17" t="s">
        <v>23</v>
      </c>
      <c r="G3279" s="17">
        <f>G3277*12</f>
        <v>0</v>
      </c>
      <c r="H3279" s="13">
        <f t="shared" si="51"/>
        <v>0</v>
      </c>
    </row>
    <row r="3280" spans="2:8" ht="13.5" thickBot="1" x14ac:dyDescent="0.35">
      <c r="B3280" s="9"/>
      <c r="C3280" s="14" t="s">
        <v>452</v>
      </c>
      <c r="D3280" s="14" t="s">
        <v>278</v>
      </c>
      <c r="E3280" s="18" t="s">
        <v>0</v>
      </c>
      <c r="F3280" s="17" t="s">
        <v>23</v>
      </c>
      <c r="G3280" s="17">
        <f>G3277*12</f>
        <v>0</v>
      </c>
      <c r="H3280" s="13">
        <f t="shared" si="51"/>
        <v>0</v>
      </c>
    </row>
    <row r="3281" spans="2:8" ht="13.5" thickBot="1" x14ac:dyDescent="0.35">
      <c r="B3281" s="9"/>
      <c r="C3281" s="14" t="s">
        <v>1572</v>
      </c>
      <c r="D3281" s="14" t="s">
        <v>278</v>
      </c>
      <c r="E3281" s="18" t="s">
        <v>9</v>
      </c>
      <c r="F3281" s="17" t="s">
        <v>23</v>
      </c>
      <c r="G3281" s="17">
        <f>G3277</f>
        <v>0</v>
      </c>
      <c r="H3281" s="13">
        <f t="shared" si="51"/>
        <v>0</v>
      </c>
    </row>
    <row r="3282" spans="2:8" ht="13.5" thickBot="1" x14ac:dyDescent="0.35">
      <c r="B3282" s="9"/>
      <c r="C3282" s="14" t="s">
        <v>1573</v>
      </c>
      <c r="D3282" s="14" t="s">
        <v>278</v>
      </c>
      <c r="E3282" s="18" t="s">
        <v>9</v>
      </c>
      <c r="F3282" s="17" t="s">
        <v>23</v>
      </c>
      <c r="G3282" s="17">
        <f>G3277</f>
        <v>0</v>
      </c>
      <c r="H3282" s="13">
        <f t="shared" si="51"/>
        <v>0</v>
      </c>
    </row>
    <row r="3283" spans="2:8" ht="13.5" thickBot="1" x14ac:dyDescent="0.35">
      <c r="B3283" s="9">
        <f>COUNT($B$4:B3282)+1</f>
        <v>915</v>
      </c>
      <c r="C3283" s="10" t="s">
        <v>1574</v>
      </c>
      <c r="D3283" s="10"/>
      <c r="E3283" s="11" t="s">
        <v>9</v>
      </c>
      <c r="F3283" s="12" t="s">
        <v>23</v>
      </c>
      <c r="G3283" s="12"/>
      <c r="H3283" s="13">
        <f t="shared" si="51"/>
        <v>0</v>
      </c>
    </row>
    <row r="3284" spans="2:8" ht="13.5" thickBot="1" x14ac:dyDescent="0.35">
      <c r="B3284" s="9"/>
      <c r="C3284" s="14" t="s">
        <v>449</v>
      </c>
      <c r="D3284" s="14" t="s">
        <v>278</v>
      </c>
      <c r="E3284" s="18" t="s">
        <v>0</v>
      </c>
      <c r="F3284" s="17" t="s">
        <v>23</v>
      </c>
      <c r="G3284" s="17">
        <f>G3283*12</f>
        <v>0</v>
      </c>
      <c r="H3284" s="13">
        <f t="shared" si="51"/>
        <v>0</v>
      </c>
    </row>
    <row r="3285" spans="2:8" ht="13.5" thickBot="1" x14ac:dyDescent="0.35">
      <c r="B3285" s="9"/>
      <c r="C3285" s="14" t="s">
        <v>451</v>
      </c>
      <c r="D3285" s="14" t="s">
        <v>278</v>
      </c>
      <c r="E3285" s="18" t="s">
        <v>0</v>
      </c>
      <c r="F3285" s="17" t="s">
        <v>23</v>
      </c>
      <c r="G3285" s="17">
        <f>G3283*12</f>
        <v>0</v>
      </c>
      <c r="H3285" s="13">
        <f t="shared" si="51"/>
        <v>0</v>
      </c>
    </row>
    <row r="3286" spans="2:8" ht="13.5" thickBot="1" x14ac:dyDescent="0.35">
      <c r="B3286" s="9"/>
      <c r="C3286" s="14" t="s">
        <v>452</v>
      </c>
      <c r="D3286" s="14" t="s">
        <v>278</v>
      </c>
      <c r="E3286" s="18" t="s">
        <v>0</v>
      </c>
      <c r="F3286" s="17" t="s">
        <v>23</v>
      </c>
      <c r="G3286" s="17">
        <f>G3283*12</f>
        <v>0</v>
      </c>
      <c r="H3286" s="13">
        <f t="shared" si="51"/>
        <v>0</v>
      </c>
    </row>
    <row r="3287" spans="2:8" ht="13.5" thickBot="1" x14ac:dyDescent="0.35">
      <c r="B3287" s="9"/>
      <c r="C3287" s="14" t="s">
        <v>1575</v>
      </c>
      <c r="D3287" s="14" t="s">
        <v>278</v>
      </c>
      <c r="E3287" s="18" t="s">
        <v>9</v>
      </c>
      <c r="F3287" s="17" t="s">
        <v>23</v>
      </c>
      <c r="G3287" s="17">
        <f>G3283</f>
        <v>0</v>
      </c>
      <c r="H3287" s="13">
        <f t="shared" si="51"/>
        <v>0</v>
      </c>
    </row>
    <row r="3288" spans="2:8" ht="13.5" thickBot="1" x14ac:dyDescent="0.35">
      <c r="B3288" s="9"/>
      <c r="C3288" s="14" t="s">
        <v>1576</v>
      </c>
      <c r="D3288" s="14" t="s">
        <v>278</v>
      </c>
      <c r="E3288" s="18" t="s">
        <v>9</v>
      </c>
      <c r="F3288" s="17" t="s">
        <v>23</v>
      </c>
      <c r="G3288" s="17">
        <f>G3283</f>
        <v>0</v>
      </c>
      <c r="H3288" s="13">
        <f t="shared" si="51"/>
        <v>0</v>
      </c>
    </row>
    <row r="3289" spans="2:8" ht="13.5" thickBot="1" x14ac:dyDescent="0.35">
      <c r="B3289" s="9">
        <f>COUNT($B$4:B3288)+1</f>
        <v>916</v>
      </c>
      <c r="C3289" s="10" t="s">
        <v>1577</v>
      </c>
      <c r="D3289" s="10"/>
      <c r="E3289" s="11" t="s">
        <v>9</v>
      </c>
      <c r="F3289" s="12" t="s">
        <v>23</v>
      </c>
      <c r="G3289" s="12"/>
      <c r="H3289" s="13">
        <f t="shared" si="51"/>
        <v>0</v>
      </c>
    </row>
    <row r="3290" spans="2:8" ht="13.5" thickBot="1" x14ac:dyDescent="0.35">
      <c r="B3290" s="9"/>
      <c r="C3290" s="14" t="s">
        <v>449</v>
      </c>
      <c r="D3290" s="14" t="s">
        <v>278</v>
      </c>
      <c r="E3290" s="18" t="s">
        <v>0</v>
      </c>
      <c r="F3290" s="17" t="s">
        <v>23</v>
      </c>
      <c r="G3290" s="17">
        <f>G3289*12</f>
        <v>0</v>
      </c>
      <c r="H3290" s="13">
        <f t="shared" si="51"/>
        <v>0</v>
      </c>
    </row>
    <row r="3291" spans="2:8" ht="13.5" thickBot="1" x14ac:dyDescent="0.35">
      <c r="B3291" s="9"/>
      <c r="C3291" s="14" t="s">
        <v>451</v>
      </c>
      <c r="D3291" s="14" t="s">
        <v>278</v>
      </c>
      <c r="E3291" s="18" t="s">
        <v>0</v>
      </c>
      <c r="F3291" s="17" t="s">
        <v>23</v>
      </c>
      <c r="G3291" s="17">
        <f>G3289*12</f>
        <v>0</v>
      </c>
      <c r="H3291" s="13">
        <f t="shared" si="51"/>
        <v>0</v>
      </c>
    </row>
    <row r="3292" spans="2:8" ht="13.5" thickBot="1" x14ac:dyDescent="0.35">
      <c r="B3292" s="9"/>
      <c r="C3292" s="14" t="s">
        <v>452</v>
      </c>
      <c r="D3292" s="14" t="s">
        <v>278</v>
      </c>
      <c r="E3292" s="18" t="s">
        <v>0</v>
      </c>
      <c r="F3292" s="17" t="s">
        <v>23</v>
      </c>
      <c r="G3292" s="17">
        <f>G3289*12</f>
        <v>0</v>
      </c>
      <c r="H3292" s="13">
        <f t="shared" si="51"/>
        <v>0</v>
      </c>
    </row>
    <row r="3293" spans="2:8" ht="13.5" thickBot="1" x14ac:dyDescent="0.35">
      <c r="B3293" s="9"/>
      <c r="C3293" s="14" t="s">
        <v>1578</v>
      </c>
      <c r="D3293" s="14" t="s">
        <v>278</v>
      </c>
      <c r="E3293" s="18" t="s">
        <v>9</v>
      </c>
      <c r="F3293" s="17" t="s">
        <v>23</v>
      </c>
      <c r="G3293" s="17">
        <f>G3289</f>
        <v>0</v>
      </c>
      <c r="H3293" s="13">
        <f t="shared" si="51"/>
        <v>0</v>
      </c>
    </row>
    <row r="3294" spans="2:8" ht="13.5" thickBot="1" x14ac:dyDescent="0.35">
      <c r="B3294" s="9"/>
      <c r="C3294" s="14" t="s">
        <v>1579</v>
      </c>
      <c r="D3294" s="14" t="s">
        <v>278</v>
      </c>
      <c r="E3294" s="18" t="s">
        <v>9</v>
      </c>
      <c r="F3294" s="17" t="s">
        <v>23</v>
      </c>
      <c r="G3294" s="17">
        <f>G3289</f>
        <v>0</v>
      </c>
      <c r="H3294" s="13">
        <f t="shared" si="51"/>
        <v>0</v>
      </c>
    </row>
    <row r="3295" spans="2:8" ht="13.5" thickBot="1" x14ac:dyDescent="0.35">
      <c r="B3295" s="9">
        <f>COUNT($B$4:B3294)+1</f>
        <v>917</v>
      </c>
      <c r="C3295" s="10" t="s">
        <v>1580</v>
      </c>
      <c r="D3295" s="10"/>
      <c r="E3295" s="11" t="s">
        <v>9</v>
      </c>
      <c r="F3295" s="12" t="s">
        <v>23</v>
      </c>
      <c r="G3295" s="12"/>
      <c r="H3295" s="13">
        <f t="shared" si="51"/>
        <v>0</v>
      </c>
    </row>
    <row r="3296" spans="2:8" ht="13.5" thickBot="1" x14ac:dyDescent="0.35">
      <c r="B3296" s="9"/>
      <c r="C3296" s="14" t="s">
        <v>449</v>
      </c>
      <c r="D3296" s="14" t="s">
        <v>278</v>
      </c>
      <c r="E3296" s="18" t="s">
        <v>0</v>
      </c>
      <c r="F3296" s="17" t="s">
        <v>23</v>
      </c>
      <c r="G3296" s="17">
        <f>G3295*12</f>
        <v>0</v>
      </c>
      <c r="H3296" s="13">
        <f t="shared" si="51"/>
        <v>0</v>
      </c>
    </row>
    <row r="3297" spans="2:8" ht="13.5" thickBot="1" x14ac:dyDescent="0.35">
      <c r="B3297" s="9"/>
      <c r="C3297" s="14" t="s">
        <v>451</v>
      </c>
      <c r="D3297" s="14" t="s">
        <v>278</v>
      </c>
      <c r="E3297" s="18" t="s">
        <v>0</v>
      </c>
      <c r="F3297" s="17" t="s">
        <v>23</v>
      </c>
      <c r="G3297" s="17">
        <f>G3295*12</f>
        <v>0</v>
      </c>
      <c r="H3297" s="13">
        <f t="shared" si="51"/>
        <v>0</v>
      </c>
    </row>
    <row r="3298" spans="2:8" ht="13.5" thickBot="1" x14ac:dyDescent="0.35">
      <c r="B3298" s="9"/>
      <c r="C3298" s="14" t="s">
        <v>452</v>
      </c>
      <c r="D3298" s="14" t="s">
        <v>278</v>
      </c>
      <c r="E3298" s="18" t="s">
        <v>0</v>
      </c>
      <c r="F3298" s="17" t="s">
        <v>23</v>
      </c>
      <c r="G3298" s="17">
        <f>G3295*12</f>
        <v>0</v>
      </c>
      <c r="H3298" s="13">
        <f t="shared" si="51"/>
        <v>0</v>
      </c>
    </row>
    <row r="3299" spans="2:8" ht="13.5" thickBot="1" x14ac:dyDescent="0.35">
      <c r="B3299" s="9"/>
      <c r="C3299" s="14" t="s">
        <v>1581</v>
      </c>
      <c r="D3299" s="14" t="s">
        <v>278</v>
      </c>
      <c r="E3299" s="18" t="s">
        <v>9</v>
      </c>
      <c r="F3299" s="17" t="s">
        <v>23</v>
      </c>
      <c r="G3299" s="17">
        <f>G3295</f>
        <v>0</v>
      </c>
      <c r="H3299" s="13">
        <f t="shared" si="51"/>
        <v>0</v>
      </c>
    </row>
    <row r="3300" spans="2:8" ht="13.5" thickBot="1" x14ac:dyDescent="0.35">
      <c r="B3300" s="9"/>
      <c r="C3300" s="14" t="s">
        <v>1582</v>
      </c>
      <c r="D3300" s="14" t="s">
        <v>278</v>
      </c>
      <c r="E3300" s="18" t="s">
        <v>9</v>
      </c>
      <c r="F3300" s="17" t="s">
        <v>23</v>
      </c>
      <c r="G3300" s="17">
        <f>G3295</f>
        <v>0</v>
      </c>
      <c r="H3300" s="13">
        <f t="shared" si="51"/>
        <v>0</v>
      </c>
    </row>
    <row r="3301" spans="2:8" ht="13.5" thickBot="1" x14ac:dyDescent="0.35">
      <c r="B3301" s="9">
        <f>COUNT($B$4:B3300)+1</f>
        <v>918</v>
      </c>
      <c r="C3301" s="10" t="s">
        <v>1583</v>
      </c>
      <c r="D3301" s="10"/>
      <c r="E3301" s="11" t="s">
        <v>9</v>
      </c>
      <c r="F3301" s="12" t="s">
        <v>23</v>
      </c>
      <c r="G3301" s="12"/>
      <c r="H3301" s="13">
        <f t="shared" si="51"/>
        <v>0</v>
      </c>
    </row>
    <row r="3302" spans="2:8" ht="13.5" thickBot="1" x14ac:dyDescent="0.35">
      <c r="B3302" s="9"/>
      <c r="C3302" s="14" t="s">
        <v>449</v>
      </c>
      <c r="D3302" s="14" t="s">
        <v>278</v>
      </c>
      <c r="E3302" s="18" t="s">
        <v>0</v>
      </c>
      <c r="F3302" s="17" t="s">
        <v>23</v>
      </c>
      <c r="G3302" s="17">
        <f>G3301*12</f>
        <v>0</v>
      </c>
      <c r="H3302" s="13">
        <f t="shared" si="51"/>
        <v>0</v>
      </c>
    </row>
    <row r="3303" spans="2:8" ht="13.5" thickBot="1" x14ac:dyDescent="0.35">
      <c r="B3303" s="9"/>
      <c r="C3303" s="14" t="s">
        <v>451</v>
      </c>
      <c r="D3303" s="14" t="s">
        <v>278</v>
      </c>
      <c r="E3303" s="18" t="s">
        <v>0</v>
      </c>
      <c r="F3303" s="17" t="s">
        <v>23</v>
      </c>
      <c r="G3303" s="17">
        <f>G3301*12</f>
        <v>0</v>
      </c>
      <c r="H3303" s="13">
        <f t="shared" si="51"/>
        <v>0</v>
      </c>
    </row>
    <row r="3304" spans="2:8" ht="13.5" thickBot="1" x14ac:dyDescent="0.35">
      <c r="B3304" s="9"/>
      <c r="C3304" s="14" t="s">
        <v>452</v>
      </c>
      <c r="D3304" s="14" t="s">
        <v>278</v>
      </c>
      <c r="E3304" s="18" t="s">
        <v>0</v>
      </c>
      <c r="F3304" s="17" t="s">
        <v>23</v>
      </c>
      <c r="G3304" s="17">
        <f>G3301*12</f>
        <v>0</v>
      </c>
      <c r="H3304" s="13">
        <f t="shared" si="51"/>
        <v>0</v>
      </c>
    </row>
    <row r="3305" spans="2:8" ht="13.5" thickBot="1" x14ac:dyDescent="0.35">
      <c r="B3305" s="9"/>
      <c r="C3305" s="14" t="s">
        <v>1584</v>
      </c>
      <c r="D3305" s="14" t="s">
        <v>278</v>
      </c>
      <c r="E3305" s="18" t="s">
        <v>9</v>
      </c>
      <c r="F3305" s="17" t="s">
        <v>23</v>
      </c>
      <c r="G3305" s="17">
        <f>G3301</f>
        <v>0</v>
      </c>
      <c r="H3305" s="13">
        <f t="shared" si="51"/>
        <v>0</v>
      </c>
    </row>
    <row r="3306" spans="2:8" ht="13.5" thickBot="1" x14ac:dyDescent="0.35">
      <c r="B3306" s="9"/>
      <c r="C3306" s="14" t="s">
        <v>1585</v>
      </c>
      <c r="D3306" s="14" t="s">
        <v>278</v>
      </c>
      <c r="E3306" s="18" t="s">
        <v>9</v>
      </c>
      <c r="F3306" s="17" t="s">
        <v>23</v>
      </c>
      <c r="G3306" s="17">
        <f>G3301</f>
        <v>0</v>
      </c>
      <c r="H3306" s="13">
        <f t="shared" si="51"/>
        <v>0</v>
      </c>
    </row>
    <row r="3307" spans="2:8" ht="13.5" thickBot="1" x14ac:dyDescent="0.35">
      <c r="B3307" s="9">
        <f>COUNT($B$4:B3306)+1</f>
        <v>919</v>
      </c>
      <c r="C3307" s="10" t="s">
        <v>1586</v>
      </c>
      <c r="D3307" s="10"/>
      <c r="E3307" s="11" t="s">
        <v>9</v>
      </c>
      <c r="F3307" s="12" t="s">
        <v>23</v>
      </c>
      <c r="G3307" s="12"/>
      <c r="H3307" s="13">
        <f t="shared" si="51"/>
        <v>0</v>
      </c>
    </row>
    <row r="3308" spans="2:8" ht="13.5" thickBot="1" x14ac:dyDescent="0.35">
      <c r="B3308" s="9"/>
      <c r="C3308" s="14" t="s">
        <v>449</v>
      </c>
      <c r="D3308" s="14" t="s">
        <v>278</v>
      </c>
      <c r="E3308" s="18" t="s">
        <v>0</v>
      </c>
      <c r="F3308" s="17" t="s">
        <v>23</v>
      </c>
      <c r="G3308" s="17">
        <f>G3307*12</f>
        <v>0</v>
      </c>
      <c r="H3308" s="13">
        <f t="shared" si="51"/>
        <v>0</v>
      </c>
    </row>
    <row r="3309" spans="2:8" ht="13.5" thickBot="1" x14ac:dyDescent="0.35">
      <c r="B3309" s="9"/>
      <c r="C3309" s="14" t="s">
        <v>451</v>
      </c>
      <c r="D3309" s="14" t="s">
        <v>278</v>
      </c>
      <c r="E3309" s="18" t="s">
        <v>0</v>
      </c>
      <c r="F3309" s="17" t="s">
        <v>23</v>
      </c>
      <c r="G3309" s="17">
        <f>G3307*12</f>
        <v>0</v>
      </c>
      <c r="H3309" s="13">
        <f t="shared" si="51"/>
        <v>0</v>
      </c>
    </row>
    <row r="3310" spans="2:8" ht="13.5" thickBot="1" x14ac:dyDescent="0.35">
      <c r="B3310" s="9"/>
      <c r="C3310" s="14" t="s">
        <v>452</v>
      </c>
      <c r="D3310" s="14" t="s">
        <v>278</v>
      </c>
      <c r="E3310" s="18" t="s">
        <v>0</v>
      </c>
      <c r="F3310" s="17" t="s">
        <v>23</v>
      </c>
      <c r="G3310" s="17">
        <f>G3307*12</f>
        <v>0</v>
      </c>
      <c r="H3310" s="13">
        <f t="shared" si="51"/>
        <v>0</v>
      </c>
    </row>
    <row r="3311" spans="2:8" ht="13.5" thickBot="1" x14ac:dyDescent="0.35">
      <c r="B3311" s="9"/>
      <c r="C3311" s="14" t="s">
        <v>1587</v>
      </c>
      <c r="D3311" s="14" t="s">
        <v>278</v>
      </c>
      <c r="E3311" s="18" t="s">
        <v>9</v>
      </c>
      <c r="F3311" s="17" t="s">
        <v>23</v>
      </c>
      <c r="G3311" s="17">
        <f>G3307</f>
        <v>0</v>
      </c>
      <c r="H3311" s="13">
        <f t="shared" si="51"/>
        <v>0</v>
      </c>
    </row>
    <row r="3312" spans="2:8" ht="13.5" thickBot="1" x14ac:dyDescent="0.35">
      <c r="B3312" s="9"/>
      <c r="C3312" s="14" t="s">
        <v>1588</v>
      </c>
      <c r="D3312" s="14" t="s">
        <v>278</v>
      </c>
      <c r="E3312" s="18" t="s">
        <v>9</v>
      </c>
      <c r="F3312" s="17" t="s">
        <v>23</v>
      </c>
      <c r="G3312" s="17">
        <f>G3307</f>
        <v>0</v>
      </c>
      <c r="H3312" s="13">
        <f t="shared" si="51"/>
        <v>0</v>
      </c>
    </row>
    <row r="3313" spans="2:8" ht="13.5" thickBot="1" x14ac:dyDescent="0.35">
      <c r="B3313" s="9">
        <f>COUNT($B$4:B3312)+1</f>
        <v>920</v>
      </c>
      <c r="C3313" s="10" t="s">
        <v>1589</v>
      </c>
      <c r="D3313" s="10"/>
      <c r="E3313" s="11" t="s">
        <v>9</v>
      </c>
      <c r="F3313" s="12" t="s">
        <v>23</v>
      </c>
      <c r="G3313" s="12"/>
      <c r="H3313" s="13">
        <f t="shared" si="51"/>
        <v>0</v>
      </c>
    </row>
    <row r="3314" spans="2:8" ht="13.5" thickBot="1" x14ac:dyDescent="0.35">
      <c r="B3314" s="9"/>
      <c r="C3314" s="14" t="s">
        <v>449</v>
      </c>
      <c r="D3314" s="14" t="s">
        <v>278</v>
      </c>
      <c r="E3314" s="18" t="s">
        <v>0</v>
      </c>
      <c r="F3314" s="17" t="s">
        <v>23</v>
      </c>
      <c r="G3314" s="17">
        <f>G3313*12</f>
        <v>0</v>
      </c>
      <c r="H3314" s="13">
        <f t="shared" si="51"/>
        <v>0</v>
      </c>
    </row>
    <row r="3315" spans="2:8" ht="13.5" thickBot="1" x14ac:dyDescent="0.35">
      <c r="B3315" s="9"/>
      <c r="C3315" s="14" t="s">
        <v>451</v>
      </c>
      <c r="D3315" s="14" t="s">
        <v>278</v>
      </c>
      <c r="E3315" s="18" t="s">
        <v>0</v>
      </c>
      <c r="F3315" s="17" t="s">
        <v>23</v>
      </c>
      <c r="G3315" s="17">
        <f>G3313*12</f>
        <v>0</v>
      </c>
      <c r="H3315" s="13">
        <f t="shared" si="51"/>
        <v>0</v>
      </c>
    </row>
    <row r="3316" spans="2:8" ht="13.5" thickBot="1" x14ac:dyDescent="0.35">
      <c r="B3316" s="9"/>
      <c r="C3316" s="14" t="s">
        <v>452</v>
      </c>
      <c r="D3316" s="14" t="s">
        <v>278</v>
      </c>
      <c r="E3316" s="18" t="s">
        <v>0</v>
      </c>
      <c r="F3316" s="17" t="s">
        <v>23</v>
      </c>
      <c r="G3316" s="17">
        <f>G3313*12</f>
        <v>0</v>
      </c>
      <c r="H3316" s="13">
        <f t="shared" si="51"/>
        <v>0</v>
      </c>
    </row>
    <row r="3317" spans="2:8" ht="13.5" thickBot="1" x14ac:dyDescent="0.35">
      <c r="B3317" s="9"/>
      <c r="C3317" s="14" t="s">
        <v>1590</v>
      </c>
      <c r="D3317" s="14" t="s">
        <v>278</v>
      </c>
      <c r="E3317" s="18" t="s">
        <v>9</v>
      </c>
      <c r="F3317" s="17" t="s">
        <v>23</v>
      </c>
      <c r="G3317" s="17">
        <f>G3313</f>
        <v>0</v>
      </c>
      <c r="H3317" s="13">
        <f t="shared" si="51"/>
        <v>0</v>
      </c>
    </row>
    <row r="3318" spans="2:8" ht="13.5" thickBot="1" x14ac:dyDescent="0.35">
      <c r="B3318" s="9"/>
      <c r="C3318" s="14" t="s">
        <v>1591</v>
      </c>
      <c r="D3318" s="14" t="s">
        <v>278</v>
      </c>
      <c r="E3318" s="18" t="s">
        <v>9</v>
      </c>
      <c r="F3318" s="17" t="s">
        <v>23</v>
      </c>
      <c r="G3318" s="17">
        <f>G3313</f>
        <v>0</v>
      </c>
      <c r="H3318" s="13">
        <f t="shared" si="51"/>
        <v>0</v>
      </c>
    </row>
    <row r="3319" spans="2:8" ht="13.5" thickBot="1" x14ac:dyDescent="0.35">
      <c r="B3319" s="9">
        <f>COUNT($B$4:B3318)+1</f>
        <v>921</v>
      </c>
      <c r="C3319" s="10" t="s">
        <v>1592</v>
      </c>
      <c r="D3319" s="10"/>
      <c r="E3319" s="11" t="s">
        <v>9</v>
      </c>
      <c r="F3319" s="12" t="s">
        <v>23</v>
      </c>
      <c r="G3319" s="12"/>
      <c r="H3319" s="13">
        <f t="shared" si="51"/>
        <v>0</v>
      </c>
    </row>
    <row r="3320" spans="2:8" ht="13.5" thickBot="1" x14ac:dyDescent="0.35">
      <c r="B3320" s="9"/>
      <c r="C3320" s="14" t="s">
        <v>449</v>
      </c>
      <c r="D3320" s="14" t="s">
        <v>278</v>
      </c>
      <c r="E3320" s="18" t="s">
        <v>0</v>
      </c>
      <c r="F3320" s="17" t="s">
        <v>23</v>
      </c>
      <c r="G3320" s="17">
        <f>G3319*12</f>
        <v>0</v>
      </c>
      <c r="H3320" s="13">
        <f t="shared" si="51"/>
        <v>0</v>
      </c>
    </row>
    <row r="3321" spans="2:8" ht="13.5" thickBot="1" x14ac:dyDescent="0.35">
      <c r="B3321" s="9"/>
      <c r="C3321" s="14" t="s">
        <v>451</v>
      </c>
      <c r="D3321" s="14" t="s">
        <v>278</v>
      </c>
      <c r="E3321" s="18" t="s">
        <v>0</v>
      </c>
      <c r="F3321" s="17" t="s">
        <v>23</v>
      </c>
      <c r="G3321" s="17">
        <f>G3319*12</f>
        <v>0</v>
      </c>
      <c r="H3321" s="13">
        <f t="shared" si="51"/>
        <v>0</v>
      </c>
    </row>
    <row r="3322" spans="2:8" ht="13.5" thickBot="1" x14ac:dyDescent="0.35">
      <c r="B3322" s="9"/>
      <c r="C3322" s="14" t="s">
        <v>452</v>
      </c>
      <c r="D3322" s="14" t="s">
        <v>278</v>
      </c>
      <c r="E3322" s="18" t="s">
        <v>0</v>
      </c>
      <c r="F3322" s="17" t="s">
        <v>23</v>
      </c>
      <c r="G3322" s="17">
        <f>G3319*12</f>
        <v>0</v>
      </c>
      <c r="H3322" s="13">
        <f t="shared" si="51"/>
        <v>0</v>
      </c>
    </row>
    <row r="3323" spans="2:8" ht="13.5" thickBot="1" x14ac:dyDescent="0.35">
      <c r="B3323" s="9"/>
      <c r="C3323" s="14" t="s">
        <v>1593</v>
      </c>
      <c r="D3323" s="14" t="s">
        <v>278</v>
      </c>
      <c r="E3323" s="18" t="s">
        <v>9</v>
      </c>
      <c r="F3323" s="17" t="s">
        <v>23</v>
      </c>
      <c r="G3323" s="17">
        <f>G3319</f>
        <v>0</v>
      </c>
      <c r="H3323" s="13">
        <f t="shared" si="51"/>
        <v>0</v>
      </c>
    </row>
    <row r="3324" spans="2:8" ht="13.5" thickBot="1" x14ac:dyDescent="0.35">
      <c r="B3324" s="9"/>
      <c r="C3324" s="14" t="s">
        <v>1594</v>
      </c>
      <c r="D3324" s="14" t="s">
        <v>278</v>
      </c>
      <c r="E3324" s="18" t="s">
        <v>9</v>
      </c>
      <c r="F3324" s="17" t="s">
        <v>23</v>
      </c>
      <c r="G3324" s="17">
        <f>G3319</f>
        <v>0</v>
      </c>
      <c r="H3324" s="13">
        <f t="shared" si="51"/>
        <v>0</v>
      </c>
    </row>
    <row r="3325" spans="2:8" ht="13.5" thickBot="1" x14ac:dyDescent="0.35">
      <c r="B3325" s="9">
        <f>COUNT($B$4:B3324)+1</f>
        <v>922</v>
      </c>
      <c r="C3325" s="10" t="s">
        <v>1595</v>
      </c>
      <c r="D3325" s="10"/>
      <c r="E3325" s="11" t="s">
        <v>9</v>
      </c>
      <c r="F3325" s="12" t="s">
        <v>23</v>
      </c>
      <c r="G3325" s="12"/>
      <c r="H3325" s="13">
        <f t="shared" si="51"/>
        <v>0</v>
      </c>
    </row>
    <row r="3326" spans="2:8" ht="13.5" thickBot="1" x14ac:dyDescent="0.35">
      <c r="B3326" s="9"/>
      <c r="C3326" s="14" t="s">
        <v>449</v>
      </c>
      <c r="D3326" s="14" t="s">
        <v>278</v>
      </c>
      <c r="E3326" s="18" t="s">
        <v>0</v>
      </c>
      <c r="F3326" s="17" t="s">
        <v>23</v>
      </c>
      <c r="G3326" s="17">
        <f>G3325*12</f>
        <v>0</v>
      </c>
      <c r="H3326" s="13">
        <f t="shared" si="51"/>
        <v>0</v>
      </c>
    </row>
    <row r="3327" spans="2:8" ht="13.5" thickBot="1" x14ac:dyDescent="0.35">
      <c r="B3327" s="9"/>
      <c r="C3327" s="14" t="s">
        <v>451</v>
      </c>
      <c r="D3327" s="14" t="s">
        <v>278</v>
      </c>
      <c r="E3327" s="18" t="s">
        <v>0</v>
      </c>
      <c r="F3327" s="17" t="s">
        <v>23</v>
      </c>
      <c r="G3327" s="17">
        <f>G3325*12</f>
        <v>0</v>
      </c>
      <c r="H3327" s="13">
        <f t="shared" si="51"/>
        <v>0</v>
      </c>
    </row>
    <row r="3328" spans="2:8" ht="13.5" thickBot="1" x14ac:dyDescent="0.35">
      <c r="B3328" s="9"/>
      <c r="C3328" s="14" t="s">
        <v>452</v>
      </c>
      <c r="D3328" s="14" t="s">
        <v>278</v>
      </c>
      <c r="E3328" s="18" t="s">
        <v>0</v>
      </c>
      <c r="F3328" s="17" t="s">
        <v>23</v>
      </c>
      <c r="G3328" s="17">
        <f>G3325*12</f>
        <v>0</v>
      </c>
      <c r="H3328" s="13">
        <f t="shared" si="51"/>
        <v>0</v>
      </c>
    </row>
    <row r="3329" spans="2:8" ht="13.5" thickBot="1" x14ac:dyDescent="0.35">
      <c r="B3329" s="9"/>
      <c r="C3329" s="14" t="s">
        <v>1596</v>
      </c>
      <c r="D3329" s="14" t="s">
        <v>278</v>
      </c>
      <c r="E3329" s="18" t="s">
        <v>9</v>
      </c>
      <c r="F3329" s="17" t="s">
        <v>23</v>
      </c>
      <c r="G3329" s="17">
        <f>G3325</f>
        <v>0</v>
      </c>
      <c r="H3329" s="13">
        <f t="shared" si="51"/>
        <v>0</v>
      </c>
    </row>
    <row r="3330" spans="2:8" ht="13.5" thickBot="1" x14ac:dyDescent="0.35">
      <c r="B3330" s="9"/>
      <c r="C3330" s="14" t="s">
        <v>1597</v>
      </c>
      <c r="D3330" s="14" t="s">
        <v>278</v>
      </c>
      <c r="E3330" s="18" t="s">
        <v>9</v>
      </c>
      <c r="F3330" s="17" t="s">
        <v>23</v>
      </c>
      <c r="G3330" s="17">
        <f>G3325</f>
        <v>0</v>
      </c>
      <c r="H3330" s="13">
        <f t="shared" si="51"/>
        <v>0</v>
      </c>
    </row>
    <row r="3331" spans="2:8" ht="13.5" thickBot="1" x14ac:dyDescent="0.35">
      <c r="B3331" s="9">
        <f>COUNT($B$4:B3330)+1</f>
        <v>923</v>
      </c>
      <c r="C3331" s="10" t="s">
        <v>1598</v>
      </c>
      <c r="D3331" s="10"/>
      <c r="E3331" s="11" t="s">
        <v>9</v>
      </c>
      <c r="F3331" s="12" t="s">
        <v>23</v>
      </c>
      <c r="G3331" s="12"/>
      <c r="H3331" s="13">
        <f t="shared" si="51"/>
        <v>0</v>
      </c>
    </row>
    <row r="3332" spans="2:8" ht="13.5" thickBot="1" x14ac:dyDescent="0.35">
      <c r="B3332" s="9"/>
      <c r="C3332" s="14" t="s">
        <v>449</v>
      </c>
      <c r="D3332" s="14" t="s">
        <v>278</v>
      </c>
      <c r="E3332" s="18" t="s">
        <v>0</v>
      </c>
      <c r="F3332" s="17" t="s">
        <v>23</v>
      </c>
      <c r="G3332" s="17">
        <f>G3331*12</f>
        <v>0</v>
      </c>
      <c r="H3332" s="13">
        <f t="shared" ref="H3332:H3395" si="52">SUM(G3332:G3332)</f>
        <v>0</v>
      </c>
    </row>
    <row r="3333" spans="2:8" ht="13.5" thickBot="1" x14ac:dyDescent="0.35">
      <c r="B3333" s="9"/>
      <c r="C3333" s="14" t="s">
        <v>451</v>
      </c>
      <c r="D3333" s="14" t="s">
        <v>278</v>
      </c>
      <c r="E3333" s="18" t="s">
        <v>0</v>
      </c>
      <c r="F3333" s="17" t="s">
        <v>23</v>
      </c>
      <c r="G3333" s="17">
        <f>G3331*12</f>
        <v>0</v>
      </c>
      <c r="H3333" s="13">
        <f t="shared" si="52"/>
        <v>0</v>
      </c>
    </row>
    <row r="3334" spans="2:8" ht="13.5" thickBot="1" x14ac:dyDescent="0.35">
      <c r="B3334" s="9"/>
      <c r="C3334" s="14" t="s">
        <v>452</v>
      </c>
      <c r="D3334" s="14" t="s">
        <v>278</v>
      </c>
      <c r="E3334" s="18" t="s">
        <v>0</v>
      </c>
      <c r="F3334" s="17" t="s">
        <v>23</v>
      </c>
      <c r="G3334" s="17">
        <f>G3331*12</f>
        <v>0</v>
      </c>
      <c r="H3334" s="13">
        <f t="shared" si="52"/>
        <v>0</v>
      </c>
    </row>
    <row r="3335" spans="2:8" ht="13.5" thickBot="1" x14ac:dyDescent="0.35">
      <c r="B3335" s="9"/>
      <c r="C3335" s="14" t="s">
        <v>1599</v>
      </c>
      <c r="D3335" s="14" t="s">
        <v>278</v>
      </c>
      <c r="E3335" s="18" t="s">
        <v>9</v>
      </c>
      <c r="F3335" s="17" t="s">
        <v>23</v>
      </c>
      <c r="G3335" s="17">
        <f>G3331</f>
        <v>0</v>
      </c>
      <c r="H3335" s="13">
        <f t="shared" si="52"/>
        <v>0</v>
      </c>
    </row>
    <row r="3336" spans="2:8" ht="13.5" thickBot="1" x14ac:dyDescent="0.35">
      <c r="B3336" s="9"/>
      <c r="C3336" s="14" t="s">
        <v>1600</v>
      </c>
      <c r="D3336" s="14" t="s">
        <v>278</v>
      </c>
      <c r="E3336" s="18" t="s">
        <v>9</v>
      </c>
      <c r="F3336" s="17" t="s">
        <v>23</v>
      </c>
      <c r="G3336" s="17">
        <f>G3331</f>
        <v>0</v>
      </c>
      <c r="H3336" s="13">
        <f t="shared" si="52"/>
        <v>0</v>
      </c>
    </row>
    <row r="3337" spans="2:8" ht="13.5" thickBot="1" x14ac:dyDescent="0.35">
      <c r="B3337" s="9">
        <f>COUNT($B$4:B3336)+1</f>
        <v>924</v>
      </c>
      <c r="C3337" s="10" t="s">
        <v>1601</v>
      </c>
      <c r="D3337" s="10"/>
      <c r="E3337" s="11" t="s">
        <v>9</v>
      </c>
      <c r="F3337" s="12" t="s">
        <v>23</v>
      </c>
      <c r="G3337" s="12"/>
      <c r="H3337" s="13">
        <f t="shared" si="52"/>
        <v>0</v>
      </c>
    </row>
    <row r="3338" spans="2:8" ht="13.5" thickBot="1" x14ac:dyDescent="0.35">
      <c r="B3338" s="9"/>
      <c r="C3338" s="14" t="s">
        <v>449</v>
      </c>
      <c r="D3338" s="14" t="s">
        <v>278</v>
      </c>
      <c r="E3338" s="18" t="s">
        <v>0</v>
      </c>
      <c r="F3338" s="17" t="s">
        <v>23</v>
      </c>
      <c r="G3338" s="17">
        <f>G3337*12</f>
        <v>0</v>
      </c>
      <c r="H3338" s="13">
        <f t="shared" si="52"/>
        <v>0</v>
      </c>
    </row>
    <row r="3339" spans="2:8" ht="13.5" thickBot="1" x14ac:dyDescent="0.35">
      <c r="B3339" s="9"/>
      <c r="C3339" s="14" t="s">
        <v>451</v>
      </c>
      <c r="D3339" s="14" t="s">
        <v>278</v>
      </c>
      <c r="E3339" s="18" t="s">
        <v>0</v>
      </c>
      <c r="F3339" s="17" t="s">
        <v>23</v>
      </c>
      <c r="G3339" s="17">
        <f>G3337*12</f>
        <v>0</v>
      </c>
      <c r="H3339" s="13">
        <f t="shared" si="52"/>
        <v>0</v>
      </c>
    </row>
    <row r="3340" spans="2:8" ht="13.5" thickBot="1" x14ac:dyDescent="0.35">
      <c r="B3340" s="9"/>
      <c r="C3340" s="14" t="s">
        <v>452</v>
      </c>
      <c r="D3340" s="14" t="s">
        <v>278</v>
      </c>
      <c r="E3340" s="18" t="s">
        <v>0</v>
      </c>
      <c r="F3340" s="17" t="s">
        <v>23</v>
      </c>
      <c r="G3340" s="17">
        <f>G3337*12</f>
        <v>0</v>
      </c>
      <c r="H3340" s="13">
        <f t="shared" si="52"/>
        <v>0</v>
      </c>
    </row>
    <row r="3341" spans="2:8" ht="13.5" thickBot="1" x14ac:dyDescent="0.35">
      <c r="B3341" s="9"/>
      <c r="C3341" s="14" t="s">
        <v>1602</v>
      </c>
      <c r="D3341" s="14" t="s">
        <v>278</v>
      </c>
      <c r="E3341" s="18" t="s">
        <v>9</v>
      </c>
      <c r="F3341" s="17" t="s">
        <v>23</v>
      </c>
      <c r="G3341" s="17">
        <f>G3337</f>
        <v>0</v>
      </c>
      <c r="H3341" s="13">
        <f t="shared" si="52"/>
        <v>0</v>
      </c>
    </row>
    <row r="3342" spans="2:8" ht="13.5" thickBot="1" x14ac:dyDescent="0.35">
      <c r="B3342" s="9"/>
      <c r="C3342" s="14" t="s">
        <v>1603</v>
      </c>
      <c r="D3342" s="14" t="s">
        <v>278</v>
      </c>
      <c r="E3342" s="18" t="s">
        <v>9</v>
      </c>
      <c r="F3342" s="17" t="s">
        <v>23</v>
      </c>
      <c r="G3342" s="17">
        <f>G3337</f>
        <v>0</v>
      </c>
      <c r="H3342" s="13">
        <f t="shared" si="52"/>
        <v>0</v>
      </c>
    </row>
    <row r="3343" spans="2:8" ht="13.5" thickBot="1" x14ac:dyDescent="0.35">
      <c r="B3343" s="9">
        <f>COUNT($B$4:B3342)+1</f>
        <v>925</v>
      </c>
      <c r="C3343" s="10" t="s">
        <v>1604</v>
      </c>
      <c r="D3343" s="10"/>
      <c r="E3343" s="11" t="s">
        <v>9</v>
      </c>
      <c r="F3343" s="12" t="s">
        <v>23</v>
      </c>
      <c r="G3343" s="12"/>
      <c r="H3343" s="13">
        <f t="shared" si="52"/>
        <v>0</v>
      </c>
    </row>
    <row r="3344" spans="2:8" ht="13.5" thickBot="1" x14ac:dyDescent="0.35">
      <c r="B3344" s="9"/>
      <c r="C3344" s="14" t="s">
        <v>449</v>
      </c>
      <c r="D3344" s="14" t="s">
        <v>278</v>
      </c>
      <c r="E3344" s="18" t="s">
        <v>0</v>
      </c>
      <c r="F3344" s="17" t="s">
        <v>23</v>
      </c>
      <c r="G3344" s="17">
        <f>G3343*12</f>
        <v>0</v>
      </c>
      <c r="H3344" s="13">
        <f t="shared" si="52"/>
        <v>0</v>
      </c>
    </row>
    <row r="3345" spans="2:8" ht="13.5" thickBot="1" x14ac:dyDescent="0.35">
      <c r="B3345" s="9"/>
      <c r="C3345" s="14" t="s">
        <v>451</v>
      </c>
      <c r="D3345" s="14" t="s">
        <v>278</v>
      </c>
      <c r="E3345" s="18" t="s">
        <v>0</v>
      </c>
      <c r="F3345" s="17" t="s">
        <v>23</v>
      </c>
      <c r="G3345" s="17">
        <f>G3343*12</f>
        <v>0</v>
      </c>
      <c r="H3345" s="13">
        <f t="shared" si="52"/>
        <v>0</v>
      </c>
    </row>
    <row r="3346" spans="2:8" ht="13.5" thickBot="1" x14ac:dyDescent="0.35">
      <c r="B3346" s="9"/>
      <c r="C3346" s="14" t="s">
        <v>452</v>
      </c>
      <c r="D3346" s="14" t="s">
        <v>278</v>
      </c>
      <c r="E3346" s="18" t="s">
        <v>0</v>
      </c>
      <c r="F3346" s="17" t="s">
        <v>23</v>
      </c>
      <c r="G3346" s="17">
        <f>G3343*12</f>
        <v>0</v>
      </c>
      <c r="H3346" s="13">
        <f t="shared" si="52"/>
        <v>0</v>
      </c>
    </row>
    <row r="3347" spans="2:8" ht="13.5" thickBot="1" x14ac:dyDescent="0.35">
      <c r="B3347" s="9"/>
      <c r="C3347" s="14" t="s">
        <v>1605</v>
      </c>
      <c r="D3347" s="14" t="s">
        <v>278</v>
      </c>
      <c r="E3347" s="18" t="s">
        <v>9</v>
      </c>
      <c r="F3347" s="17" t="s">
        <v>23</v>
      </c>
      <c r="G3347" s="17">
        <f>G3343</f>
        <v>0</v>
      </c>
      <c r="H3347" s="13">
        <f t="shared" si="52"/>
        <v>0</v>
      </c>
    </row>
    <row r="3348" spans="2:8" ht="13.5" thickBot="1" x14ac:dyDescent="0.35">
      <c r="B3348" s="9"/>
      <c r="C3348" s="14" t="s">
        <v>1606</v>
      </c>
      <c r="D3348" s="14" t="s">
        <v>278</v>
      </c>
      <c r="E3348" s="18" t="s">
        <v>9</v>
      </c>
      <c r="F3348" s="17" t="s">
        <v>23</v>
      </c>
      <c r="G3348" s="17">
        <f>G3343</f>
        <v>0</v>
      </c>
      <c r="H3348" s="13">
        <f t="shared" si="52"/>
        <v>0</v>
      </c>
    </row>
    <row r="3349" spans="2:8" ht="13.5" thickBot="1" x14ac:dyDescent="0.35">
      <c r="B3349" s="9">
        <f>COUNT($B$4:B3348)+1</f>
        <v>926</v>
      </c>
      <c r="C3349" s="10" t="s">
        <v>1607</v>
      </c>
      <c r="D3349" s="10"/>
      <c r="E3349" s="11" t="s">
        <v>9</v>
      </c>
      <c r="F3349" s="12" t="s">
        <v>23</v>
      </c>
      <c r="G3349" s="12"/>
      <c r="H3349" s="13">
        <f t="shared" si="52"/>
        <v>0</v>
      </c>
    </row>
    <row r="3350" spans="2:8" ht="13.5" thickBot="1" x14ac:dyDescent="0.35">
      <c r="B3350" s="9"/>
      <c r="C3350" s="14" t="s">
        <v>449</v>
      </c>
      <c r="D3350" s="14" t="s">
        <v>278</v>
      </c>
      <c r="E3350" s="18" t="s">
        <v>0</v>
      </c>
      <c r="F3350" s="17" t="s">
        <v>23</v>
      </c>
      <c r="G3350" s="17">
        <f>G3349*12</f>
        <v>0</v>
      </c>
      <c r="H3350" s="13">
        <f t="shared" si="52"/>
        <v>0</v>
      </c>
    </row>
    <row r="3351" spans="2:8" ht="13.5" thickBot="1" x14ac:dyDescent="0.35">
      <c r="B3351" s="9"/>
      <c r="C3351" s="14" t="s">
        <v>451</v>
      </c>
      <c r="D3351" s="14" t="s">
        <v>278</v>
      </c>
      <c r="E3351" s="18" t="s">
        <v>0</v>
      </c>
      <c r="F3351" s="17" t="s">
        <v>23</v>
      </c>
      <c r="G3351" s="17">
        <f>G3349*12</f>
        <v>0</v>
      </c>
      <c r="H3351" s="13">
        <f t="shared" si="52"/>
        <v>0</v>
      </c>
    </row>
    <row r="3352" spans="2:8" ht="13.5" thickBot="1" x14ac:dyDescent="0.35">
      <c r="B3352" s="9"/>
      <c r="C3352" s="14" t="s">
        <v>452</v>
      </c>
      <c r="D3352" s="14" t="s">
        <v>278</v>
      </c>
      <c r="E3352" s="18" t="s">
        <v>0</v>
      </c>
      <c r="F3352" s="17" t="s">
        <v>23</v>
      </c>
      <c r="G3352" s="17">
        <f>G3349*12</f>
        <v>0</v>
      </c>
      <c r="H3352" s="13">
        <f t="shared" si="52"/>
        <v>0</v>
      </c>
    </row>
    <row r="3353" spans="2:8" ht="13.5" thickBot="1" x14ac:dyDescent="0.35">
      <c r="B3353" s="9"/>
      <c r="C3353" s="14" t="s">
        <v>1608</v>
      </c>
      <c r="D3353" s="14" t="s">
        <v>278</v>
      </c>
      <c r="E3353" s="18" t="s">
        <v>9</v>
      </c>
      <c r="F3353" s="17" t="s">
        <v>23</v>
      </c>
      <c r="G3353" s="17">
        <f>G3349</f>
        <v>0</v>
      </c>
      <c r="H3353" s="13">
        <f t="shared" si="52"/>
        <v>0</v>
      </c>
    </row>
    <row r="3354" spans="2:8" ht="13.5" thickBot="1" x14ac:dyDescent="0.35">
      <c r="B3354" s="9"/>
      <c r="C3354" s="14" t="s">
        <v>1609</v>
      </c>
      <c r="D3354" s="14" t="s">
        <v>278</v>
      </c>
      <c r="E3354" s="18" t="s">
        <v>9</v>
      </c>
      <c r="F3354" s="17" t="s">
        <v>23</v>
      </c>
      <c r="G3354" s="17">
        <f>G3349</f>
        <v>0</v>
      </c>
      <c r="H3354" s="13">
        <f t="shared" si="52"/>
        <v>0</v>
      </c>
    </row>
    <row r="3355" spans="2:8" ht="13.5" thickBot="1" x14ac:dyDescent="0.35">
      <c r="B3355" s="9">
        <f>COUNT($B$4:B3354)+1</f>
        <v>927</v>
      </c>
      <c r="C3355" s="10" t="s">
        <v>1610</v>
      </c>
      <c r="D3355" s="10"/>
      <c r="E3355" s="11" t="s">
        <v>9</v>
      </c>
      <c r="F3355" s="12" t="s">
        <v>23</v>
      </c>
      <c r="G3355" s="12"/>
      <c r="H3355" s="13">
        <f t="shared" si="52"/>
        <v>0</v>
      </c>
    </row>
    <row r="3356" spans="2:8" ht="13.5" thickBot="1" x14ac:dyDescent="0.35">
      <c r="B3356" s="9"/>
      <c r="C3356" s="14" t="s">
        <v>449</v>
      </c>
      <c r="D3356" s="14" t="s">
        <v>278</v>
      </c>
      <c r="E3356" s="18" t="s">
        <v>0</v>
      </c>
      <c r="F3356" s="17" t="s">
        <v>23</v>
      </c>
      <c r="G3356" s="17">
        <f>G3355*12</f>
        <v>0</v>
      </c>
      <c r="H3356" s="13">
        <f t="shared" si="52"/>
        <v>0</v>
      </c>
    </row>
    <row r="3357" spans="2:8" ht="13.5" thickBot="1" x14ac:dyDescent="0.35">
      <c r="B3357" s="9"/>
      <c r="C3357" s="14" t="s">
        <v>451</v>
      </c>
      <c r="D3357" s="14" t="s">
        <v>278</v>
      </c>
      <c r="E3357" s="18" t="s">
        <v>0</v>
      </c>
      <c r="F3357" s="17" t="s">
        <v>23</v>
      </c>
      <c r="G3357" s="17">
        <f>G3355*12</f>
        <v>0</v>
      </c>
      <c r="H3357" s="13">
        <f t="shared" si="52"/>
        <v>0</v>
      </c>
    </row>
    <row r="3358" spans="2:8" ht="13.5" thickBot="1" x14ac:dyDescent="0.35">
      <c r="B3358" s="9"/>
      <c r="C3358" s="14" t="s">
        <v>452</v>
      </c>
      <c r="D3358" s="14" t="s">
        <v>278</v>
      </c>
      <c r="E3358" s="18" t="s">
        <v>0</v>
      </c>
      <c r="F3358" s="17" t="s">
        <v>23</v>
      </c>
      <c r="G3358" s="17">
        <f>G3355*12</f>
        <v>0</v>
      </c>
      <c r="H3358" s="13">
        <f t="shared" si="52"/>
        <v>0</v>
      </c>
    </row>
    <row r="3359" spans="2:8" ht="13.5" thickBot="1" x14ac:dyDescent="0.35">
      <c r="B3359" s="9"/>
      <c r="C3359" s="14" t="s">
        <v>1611</v>
      </c>
      <c r="D3359" s="14" t="s">
        <v>278</v>
      </c>
      <c r="E3359" s="18" t="s">
        <v>9</v>
      </c>
      <c r="F3359" s="17" t="s">
        <v>23</v>
      </c>
      <c r="G3359" s="17">
        <f>G3355</f>
        <v>0</v>
      </c>
      <c r="H3359" s="13">
        <f t="shared" si="52"/>
        <v>0</v>
      </c>
    </row>
    <row r="3360" spans="2:8" ht="13.5" thickBot="1" x14ac:dyDescent="0.35">
      <c r="B3360" s="9"/>
      <c r="C3360" s="14" t="s">
        <v>1612</v>
      </c>
      <c r="D3360" s="14" t="s">
        <v>278</v>
      </c>
      <c r="E3360" s="18" t="s">
        <v>9</v>
      </c>
      <c r="F3360" s="17" t="s">
        <v>23</v>
      </c>
      <c r="G3360" s="17">
        <f>G3355</f>
        <v>0</v>
      </c>
      <c r="H3360" s="13">
        <f t="shared" si="52"/>
        <v>0</v>
      </c>
    </row>
    <row r="3361" spans="2:8" ht="13.5" thickBot="1" x14ac:dyDescent="0.35">
      <c r="B3361" s="9">
        <f>COUNT($B$4:B3360)+1</f>
        <v>928</v>
      </c>
      <c r="C3361" s="10" t="s">
        <v>1613</v>
      </c>
      <c r="D3361" s="10"/>
      <c r="E3361" s="11" t="s">
        <v>9</v>
      </c>
      <c r="F3361" s="12" t="s">
        <v>23</v>
      </c>
      <c r="G3361" s="12"/>
      <c r="H3361" s="13">
        <f t="shared" si="52"/>
        <v>0</v>
      </c>
    </row>
    <row r="3362" spans="2:8" ht="13.5" thickBot="1" x14ac:dyDescent="0.35">
      <c r="B3362" s="9"/>
      <c r="C3362" s="14" t="s">
        <v>449</v>
      </c>
      <c r="D3362" s="14" t="s">
        <v>278</v>
      </c>
      <c r="E3362" s="18" t="s">
        <v>0</v>
      </c>
      <c r="F3362" s="17" t="s">
        <v>23</v>
      </c>
      <c r="G3362" s="17">
        <f>G3361*12</f>
        <v>0</v>
      </c>
      <c r="H3362" s="13">
        <f t="shared" si="52"/>
        <v>0</v>
      </c>
    </row>
    <row r="3363" spans="2:8" ht="13.5" thickBot="1" x14ac:dyDescent="0.35">
      <c r="B3363" s="9"/>
      <c r="C3363" s="14" t="s">
        <v>451</v>
      </c>
      <c r="D3363" s="14" t="s">
        <v>278</v>
      </c>
      <c r="E3363" s="18" t="s">
        <v>0</v>
      </c>
      <c r="F3363" s="17" t="s">
        <v>23</v>
      </c>
      <c r="G3363" s="17">
        <f>G3361*12</f>
        <v>0</v>
      </c>
      <c r="H3363" s="13">
        <f t="shared" si="52"/>
        <v>0</v>
      </c>
    </row>
    <row r="3364" spans="2:8" ht="13.5" thickBot="1" x14ac:dyDescent="0.35">
      <c r="B3364" s="9"/>
      <c r="C3364" s="14" t="s">
        <v>452</v>
      </c>
      <c r="D3364" s="14" t="s">
        <v>278</v>
      </c>
      <c r="E3364" s="18" t="s">
        <v>0</v>
      </c>
      <c r="F3364" s="17" t="s">
        <v>23</v>
      </c>
      <c r="G3364" s="17">
        <f>G3361*12</f>
        <v>0</v>
      </c>
      <c r="H3364" s="13">
        <f t="shared" si="52"/>
        <v>0</v>
      </c>
    </row>
    <row r="3365" spans="2:8" ht="13.5" thickBot="1" x14ac:dyDescent="0.35">
      <c r="B3365" s="9"/>
      <c r="C3365" s="14" t="s">
        <v>1614</v>
      </c>
      <c r="D3365" s="14" t="s">
        <v>278</v>
      </c>
      <c r="E3365" s="18" t="s">
        <v>9</v>
      </c>
      <c r="F3365" s="17" t="s">
        <v>23</v>
      </c>
      <c r="G3365" s="17">
        <f>G3361</f>
        <v>0</v>
      </c>
      <c r="H3365" s="13">
        <f t="shared" si="52"/>
        <v>0</v>
      </c>
    </row>
    <row r="3366" spans="2:8" ht="13.5" thickBot="1" x14ac:dyDescent="0.35">
      <c r="B3366" s="9"/>
      <c r="C3366" s="14" t="s">
        <v>1615</v>
      </c>
      <c r="D3366" s="14" t="s">
        <v>278</v>
      </c>
      <c r="E3366" s="18" t="s">
        <v>9</v>
      </c>
      <c r="F3366" s="17" t="s">
        <v>23</v>
      </c>
      <c r="G3366" s="17">
        <f>G3361</f>
        <v>0</v>
      </c>
      <c r="H3366" s="13">
        <f t="shared" si="52"/>
        <v>0</v>
      </c>
    </row>
    <row r="3367" spans="2:8" ht="13.5" thickBot="1" x14ac:dyDescent="0.35">
      <c r="B3367" s="9">
        <f>COUNT($B$4:B3366)+1</f>
        <v>929</v>
      </c>
      <c r="C3367" s="10" t="s">
        <v>1616</v>
      </c>
      <c r="D3367" s="10"/>
      <c r="E3367" s="11" t="s">
        <v>9</v>
      </c>
      <c r="F3367" s="12" t="s">
        <v>23</v>
      </c>
      <c r="G3367" s="12"/>
      <c r="H3367" s="13">
        <f t="shared" si="52"/>
        <v>0</v>
      </c>
    </row>
    <row r="3368" spans="2:8" ht="13.5" thickBot="1" x14ac:dyDescent="0.35">
      <c r="B3368" s="9"/>
      <c r="C3368" s="14" t="s">
        <v>449</v>
      </c>
      <c r="D3368" s="14" t="s">
        <v>278</v>
      </c>
      <c r="E3368" s="18" t="s">
        <v>0</v>
      </c>
      <c r="F3368" s="17" t="s">
        <v>23</v>
      </c>
      <c r="G3368" s="17">
        <f>G3367*12</f>
        <v>0</v>
      </c>
      <c r="H3368" s="13">
        <f t="shared" si="52"/>
        <v>0</v>
      </c>
    </row>
    <row r="3369" spans="2:8" ht="13.5" thickBot="1" x14ac:dyDescent="0.35">
      <c r="B3369" s="9"/>
      <c r="C3369" s="14" t="s">
        <v>451</v>
      </c>
      <c r="D3369" s="14" t="s">
        <v>278</v>
      </c>
      <c r="E3369" s="18" t="s">
        <v>0</v>
      </c>
      <c r="F3369" s="17" t="s">
        <v>23</v>
      </c>
      <c r="G3369" s="17">
        <f>G3367*12</f>
        <v>0</v>
      </c>
      <c r="H3369" s="13">
        <f t="shared" si="52"/>
        <v>0</v>
      </c>
    </row>
    <row r="3370" spans="2:8" ht="13.5" thickBot="1" x14ac:dyDescent="0.35">
      <c r="B3370" s="9"/>
      <c r="C3370" s="14" t="s">
        <v>452</v>
      </c>
      <c r="D3370" s="14" t="s">
        <v>278</v>
      </c>
      <c r="E3370" s="18" t="s">
        <v>0</v>
      </c>
      <c r="F3370" s="17" t="s">
        <v>23</v>
      </c>
      <c r="G3370" s="17">
        <f>G3367*12</f>
        <v>0</v>
      </c>
      <c r="H3370" s="13">
        <f t="shared" si="52"/>
        <v>0</v>
      </c>
    </row>
    <row r="3371" spans="2:8" ht="13.5" thickBot="1" x14ac:dyDescent="0.35">
      <c r="B3371" s="9"/>
      <c r="C3371" s="14" t="s">
        <v>1617</v>
      </c>
      <c r="D3371" s="14" t="s">
        <v>278</v>
      </c>
      <c r="E3371" s="18" t="s">
        <v>9</v>
      </c>
      <c r="F3371" s="17" t="s">
        <v>23</v>
      </c>
      <c r="G3371" s="17">
        <f>G3367</f>
        <v>0</v>
      </c>
      <c r="H3371" s="13">
        <f t="shared" si="52"/>
        <v>0</v>
      </c>
    </row>
    <row r="3372" spans="2:8" ht="13.5" thickBot="1" x14ac:dyDescent="0.35">
      <c r="B3372" s="9"/>
      <c r="C3372" s="14" t="s">
        <v>1618</v>
      </c>
      <c r="D3372" s="14" t="s">
        <v>278</v>
      </c>
      <c r="E3372" s="18" t="s">
        <v>9</v>
      </c>
      <c r="F3372" s="17" t="s">
        <v>23</v>
      </c>
      <c r="G3372" s="17">
        <f>G3367</f>
        <v>0</v>
      </c>
      <c r="H3372" s="13">
        <f t="shared" si="52"/>
        <v>0</v>
      </c>
    </row>
    <row r="3373" spans="2:8" ht="13.5" thickBot="1" x14ac:dyDescent="0.35">
      <c r="B3373" s="9">
        <f>COUNT($B$4:B3372)+1</f>
        <v>930</v>
      </c>
      <c r="C3373" s="10" t="s">
        <v>1619</v>
      </c>
      <c r="D3373" s="10"/>
      <c r="E3373" s="11" t="s">
        <v>9</v>
      </c>
      <c r="F3373" s="12" t="s">
        <v>23</v>
      </c>
      <c r="G3373" s="12"/>
      <c r="H3373" s="13">
        <f t="shared" si="52"/>
        <v>0</v>
      </c>
    </row>
    <row r="3374" spans="2:8" ht="13.5" thickBot="1" x14ac:dyDescent="0.35">
      <c r="B3374" s="9"/>
      <c r="C3374" s="14" t="s">
        <v>449</v>
      </c>
      <c r="D3374" s="14" t="s">
        <v>278</v>
      </c>
      <c r="E3374" s="18" t="s">
        <v>0</v>
      </c>
      <c r="F3374" s="17" t="s">
        <v>23</v>
      </c>
      <c r="G3374" s="17">
        <f>G3373*12</f>
        <v>0</v>
      </c>
      <c r="H3374" s="13">
        <f t="shared" si="52"/>
        <v>0</v>
      </c>
    </row>
    <row r="3375" spans="2:8" ht="13.5" thickBot="1" x14ac:dyDescent="0.35">
      <c r="B3375" s="9"/>
      <c r="C3375" s="14" t="s">
        <v>451</v>
      </c>
      <c r="D3375" s="14" t="s">
        <v>278</v>
      </c>
      <c r="E3375" s="18" t="s">
        <v>0</v>
      </c>
      <c r="F3375" s="17" t="s">
        <v>23</v>
      </c>
      <c r="G3375" s="17">
        <f>G3373*12</f>
        <v>0</v>
      </c>
      <c r="H3375" s="13">
        <f t="shared" si="52"/>
        <v>0</v>
      </c>
    </row>
    <row r="3376" spans="2:8" ht="13.5" thickBot="1" x14ac:dyDescent="0.35">
      <c r="B3376" s="9"/>
      <c r="C3376" s="14" t="s">
        <v>452</v>
      </c>
      <c r="D3376" s="14" t="s">
        <v>278</v>
      </c>
      <c r="E3376" s="18" t="s">
        <v>0</v>
      </c>
      <c r="F3376" s="17" t="s">
        <v>23</v>
      </c>
      <c r="G3376" s="17">
        <f>G3373*12</f>
        <v>0</v>
      </c>
      <c r="H3376" s="13">
        <f t="shared" si="52"/>
        <v>0</v>
      </c>
    </row>
    <row r="3377" spans="2:8" ht="13.5" thickBot="1" x14ac:dyDescent="0.35">
      <c r="B3377" s="9"/>
      <c r="C3377" s="14" t="s">
        <v>1620</v>
      </c>
      <c r="D3377" s="14" t="s">
        <v>278</v>
      </c>
      <c r="E3377" s="18" t="s">
        <v>9</v>
      </c>
      <c r="F3377" s="17" t="s">
        <v>23</v>
      </c>
      <c r="G3377" s="17">
        <f>G3373</f>
        <v>0</v>
      </c>
      <c r="H3377" s="13">
        <f t="shared" si="52"/>
        <v>0</v>
      </c>
    </row>
    <row r="3378" spans="2:8" ht="13.5" thickBot="1" x14ac:dyDescent="0.35">
      <c r="B3378" s="9"/>
      <c r="C3378" s="14" t="s">
        <v>1621</v>
      </c>
      <c r="D3378" s="14" t="s">
        <v>278</v>
      </c>
      <c r="E3378" s="18" t="s">
        <v>9</v>
      </c>
      <c r="F3378" s="17" t="s">
        <v>23</v>
      </c>
      <c r="G3378" s="17">
        <f>G3373</f>
        <v>0</v>
      </c>
      <c r="H3378" s="13">
        <f t="shared" si="52"/>
        <v>0</v>
      </c>
    </row>
    <row r="3379" spans="2:8" ht="13.5" thickBot="1" x14ac:dyDescent="0.35">
      <c r="B3379" s="9">
        <f>COUNT($B$4:B3378)+1</f>
        <v>931</v>
      </c>
      <c r="C3379" s="10" t="s">
        <v>1622</v>
      </c>
      <c r="D3379" s="10"/>
      <c r="E3379" s="11" t="s">
        <v>9</v>
      </c>
      <c r="F3379" s="12" t="s">
        <v>23</v>
      </c>
      <c r="G3379" s="12"/>
      <c r="H3379" s="13">
        <f t="shared" si="52"/>
        <v>0</v>
      </c>
    </row>
    <row r="3380" spans="2:8" ht="13.5" thickBot="1" x14ac:dyDescent="0.35">
      <c r="B3380" s="9"/>
      <c r="C3380" s="14" t="s">
        <v>449</v>
      </c>
      <c r="D3380" s="14" t="s">
        <v>278</v>
      </c>
      <c r="E3380" s="18" t="s">
        <v>0</v>
      </c>
      <c r="F3380" s="17" t="s">
        <v>23</v>
      </c>
      <c r="G3380" s="17">
        <f>G3379*12</f>
        <v>0</v>
      </c>
      <c r="H3380" s="13">
        <f t="shared" si="52"/>
        <v>0</v>
      </c>
    </row>
    <row r="3381" spans="2:8" ht="13.5" thickBot="1" x14ac:dyDescent="0.35">
      <c r="B3381" s="9"/>
      <c r="C3381" s="14" t="s">
        <v>451</v>
      </c>
      <c r="D3381" s="14" t="s">
        <v>278</v>
      </c>
      <c r="E3381" s="18" t="s">
        <v>0</v>
      </c>
      <c r="F3381" s="17" t="s">
        <v>23</v>
      </c>
      <c r="G3381" s="17">
        <f>G3379*12</f>
        <v>0</v>
      </c>
      <c r="H3381" s="13">
        <f t="shared" si="52"/>
        <v>0</v>
      </c>
    </row>
    <row r="3382" spans="2:8" ht="13.5" thickBot="1" x14ac:dyDescent="0.35">
      <c r="B3382" s="9"/>
      <c r="C3382" s="14" t="s">
        <v>452</v>
      </c>
      <c r="D3382" s="14" t="s">
        <v>278</v>
      </c>
      <c r="E3382" s="18" t="s">
        <v>0</v>
      </c>
      <c r="F3382" s="17" t="s">
        <v>23</v>
      </c>
      <c r="G3382" s="17">
        <f>G3379*12</f>
        <v>0</v>
      </c>
      <c r="H3382" s="13">
        <f t="shared" si="52"/>
        <v>0</v>
      </c>
    </row>
    <row r="3383" spans="2:8" ht="13.5" thickBot="1" x14ac:dyDescent="0.35">
      <c r="B3383" s="9"/>
      <c r="C3383" s="14" t="s">
        <v>1623</v>
      </c>
      <c r="D3383" s="14" t="s">
        <v>278</v>
      </c>
      <c r="E3383" s="18" t="s">
        <v>9</v>
      </c>
      <c r="F3383" s="17" t="s">
        <v>23</v>
      </c>
      <c r="G3383" s="17">
        <f>G3379</f>
        <v>0</v>
      </c>
      <c r="H3383" s="13">
        <f t="shared" si="52"/>
        <v>0</v>
      </c>
    </row>
    <row r="3384" spans="2:8" ht="13.5" thickBot="1" x14ac:dyDescent="0.35">
      <c r="B3384" s="9"/>
      <c r="C3384" s="14" t="s">
        <v>1624</v>
      </c>
      <c r="D3384" s="14" t="s">
        <v>278</v>
      </c>
      <c r="E3384" s="18" t="s">
        <v>9</v>
      </c>
      <c r="F3384" s="17" t="s">
        <v>23</v>
      </c>
      <c r="G3384" s="17">
        <f>G3379</f>
        <v>0</v>
      </c>
      <c r="H3384" s="13">
        <f t="shared" si="52"/>
        <v>0</v>
      </c>
    </row>
    <row r="3385" spans="2:8" ht="13.5" thickBot="1" x14ac:dyDescent="0.35">
      <c r="B3385" s="9">
        <f>COUNT($B$4:B3384)+1</f>
        <v>932</v>
      </c>
      <c r="C3385" s="10" t="s">
        <v>1625</v>
      </c>
      <c r="D3385" s="10"/>
      <c r="E3385" s="11" t="s">
        <v>9</v>
      </c>
      <c r="F3385" s="12" t="s">
        <v>23</v>
      </c>
      <c r="G3385" s="12"/>
      <c r="H3385" s="13">
        <f t="shared" si="52"/>
        <v>0</v>
      </c>
    </row>
    <row r="3386" spans="2:8" ht="13.5" thickBot="1" x14ac:dyDescent="0.35">
      <c r="B3386" s="9"/>
      <c r="C3386" s="14" t="s">
        <v>449</v>
      </c>
      <c r="D3386" s="14" t="s">
        <v>278</v>
      </c>
      <c r="E3386" s="18" t="s">
        <v>0</v>
      </c>
      <c r="F3386" s="17" t="s">
        <v>23</v>
      </c>
      <c r="G3386" s="17">
        <f>G3385*12</f>
        <v>0</v>
      </c>
      <c r="H3386" s="13">
        <f t="shared" si="52"/>
        <v>0</v>
      </c>
    </row>
    <row r="3387" spans="2:8" ht="13.5" thickBot="1" x14ac:dyDescent="0.35">
      <c r="B3387" s="9"/>
      <c r="C3387" s="14" t="s">
        <v>451</v>
      </c>
      <c r="D3387" s="14" t="s">
        <v>278</v>
      </c>
      <c r="E3387" s="18" t="s">
        <v>0</v>
      </c>
      <c r="F3387" s="17" t="s">
        <v>23</v>
      </c>
      <c r="G3387" s="17">
        <f>G3385*12</f>
        <v>0</v>
      </c>
      <c r="H3387" s="13">
        <f t="shared" si="52"/>
        <v>0</v>
      </c>
    </row>
    <row r="3388" spans="2:8" ht="13.5" thickBot="1" x14ac:dyDescent="0.35">
      <c r="B3388" s="9"/>
      <c r="C3388" s="14" t="s">
        <v>452</v>
      </c>
      <c r="D3388" s="14" t="s">
        <v>278</v>
      </c>
      <c r="E3388" s="18" t="s">
        <v>0</v>
      </c>
      <c r="F3388" s="17" t="s">
        <v>23</v>
      </c>
      <c r="G3388" s="17">
        <f>G3385*12</f>
        <v>0</v>
      </c>
      <c r="H3388" s="13">
        <f t="shared" si="52"/>
        <v>0</v>
      </c>
    </row>
    <row r="3389" spans="2:8" ht="13.5" thickBot="1" x14ac:dyDescent="0.35">
      <c r="B3389" s="9"/>
      <c r="C3389" s="14" t="s">
        <v>1626</v>
      </c>
      <c r="D3389" s="14" t="s">
        <v>278</v>
      </c>
      <c r="E3389" s="18" t="s">
        <v>9</v>
      </c>
      <c r="F3389" s="17" t="s">
        <v>23</v>
      </c>
      <c r="G3389" s="17">
        <f>G3385</f>
        <v>0</v>
      </c>
      <c r="H3389" s="13">
        <f t="shared" si="52"/>
        <v>0</v>
      </c>
    </row>
    <row r="3390" spans="2:8" ht="13.5" thickBot="1" x14ac:dyDescent="0.35">
      <c r="B3390" s="9"/>
      <c r="C3390" s="14" t="s">
        <v>1627</v>
      </c>
      <c r="D3390" s="14" t="s">
        <v>278</v>
      </c>
      <c r="E3390" s="18" t="s">
        <v>9</v>
      </c>
      <c r="F3390" s="17" t="s">
        <v>23</v>
      </c>
      <c r="G3390" s="17">
        <f>G3385</f>
        <v>0</v>
      </c>
      <c r="H3390" s="13">
        <f t="shared" si="52"/>
        <v>0</v>
      </c>
    </row>
    <row r="3391" spans="2:8" ht="13.5" thickBot="1" x14ac:dyDescent="0.35">
      <c r="B3391" s="9">
        <f>COUNT($B$4:B3390)+1</f>
        <v>933</v>
      </c>
      <c r="C3391" s="10" t="s">
        <v>1628</v>
      </c>
      <c r="D3391" s="10"/>
      <c r="E3391" s="11" t="s">
        <v>9</v>
      </c>
      <c r="F3391" s="12" t="s">
        <v>23</v>
      </c>
      <c r="G3391" s="12"/>
      <c r="H3391" s="13">
        <f t="shared" si="52"/>
        <v>0</v>
      </c>
    </row>
    <row r="3392" spans="2:8" ht="13.5" thickBot="1" x14ac:dyDescent="0.35">
      <c r="B3392" s="9"/>
      <c r="C3392" s="14" t="s">
        <v>449</v>
      </c>
      <c r="D3392" s="14" t="s">
        <v>278</v>
      </c>
      <c r="E3392" s="18" t="s">
        <v>0</v>
      </c>
      <c r="F3392" s="17" t="s">
        <v>23</v>
      </c>
      <c r="G3392" s="17">
        <f>G3391*12</f>
        <v>0</v>
      </c>
      <c r="H3392" s="13">
        <f t="shared" si="52"/>
        <v>0</v>
      </c>
    </row>
    <row r="3393" spans="2:8" ht="13.5" thickBot="1" x14ac:dyDescent="0.35">
      <c r="B3393" s="9"/>
      <c r="C3393" s="14" t="s">
        <v>451</v>
      </c>
      <c r="D3393" s="14" t="s">
        <v>278</v>
      </c>
      <c r="E3393" s="18" t="s">
        <v>0</v>
      </c>
      <c r="F3393" s="17" t="s">
        <v>23</v>
      </c>
      <c r="G3393" s="17">
        <f>G3391*12</f>
        <v>0</v>
      </c>
      <c r="H3393" s="13">
        <f t="shared" si="52"/>
        <v>0</v>
      </c>
    </row>
    <row r="3394" spans="2:8" ht="13.5" thickBot="1" x14ac:dyDescent="0.35">
      <c r="B3394" s="9"/>
      <c r="C3394" s="14" t="s">
        <v>452</v>
      </c>
      <c r="D3394" s="14" t="s">
        <v>278</v>
      </c>
      <c r="E3394" s="18" t="s">
        <v>0</v>
      </c>
      <c r="F3394" s="17" t="s">
        <v>23</v>
      </c>
      <c r="G3394" s="17">
        <f>G3391*12</f>
        <v>0</v>
      </c>
      <c r="H3394" s="13">
        <f t="shared" si="52"/>
        <v>0</v>
      </c>
    </row>
    <row r="3395" spans="2:8" ht="13.5" thickBot="1" x14ac:dyDescent="0.35">
      <c r="B3395" s="9"/>
      <c r="C3395" s="14" t="s">
        <v>1629</v>
      </c>
      <c r="D3395" s="14" t="s">
        <v>278</v>
      </c>
      <c r="E3395" s="18" t="s">
        <v>9</v>
      </c>
      <c r="F3395" s="17" t="s">
        <v>23</v>
      </c>
      <c r="G3395" s="17">
        <f>G3391</f>
        <v>0</v>
      </c>
      <c r="H3395" s="13">
        <f t="shared" si="52"/>
        <v>0</v>
      </c>
    </row>
    <row r="3396" spans="2:8" ht="13.5" thickBot="1" x14ac:dyDescent="0.35">
      <c r="B3396" s="9"/>
      <c r="C3396" s="14" t="s">
        <v>1630</v>
      </c>
      <c r="D3396" s="14" t="s">
        <v>278</v>
      </c>
      <c r="E3396" s="18" t="s">
        <v>9</v>
      </c>
      <c r="F3396" s="17" t="s">
        <v>23</v>
      </c>
      <c r="G3396" s="17">
        <f>G3391</f>
        <v>0</v>
      </c>
      <c r="H3396" s="13">
        <f t="shared" ref="H3396:H3432" si="53">SUM(G3396:G3396)</f>
        <v>0</v>
      </c>
    </row>
    <row r="3397" spans="2:8" ht="13.5" thickBot="1" x14ac:dyDescent="0.35">
      <c r="B3397" s="9">
        <f>COUNT($B$4:B3396)+1</f>
        <v>934</v>
      </c>
      <c r="C3397" s="10" t="s">
        <v>1631</v>
      </c>
      <c r="D3397" s="10"/>
      <c r="E3397" s="11" t="s">
        <v>9</v>
      </c>
      <c r="F3397" s="12" t="s">
        <v>23</v>
      </c>
      <c r="G3397" s="12"/>
      <c r="H3397" s="13">
        <f t="shared" si="53"/>
        <v>0</v>
      </c>
    </row>
    <row r="3398" spans="2:8" ht="13.5" thickBot="1" x14ac:dyDescent="0.35">
      <c r="B3398" s="9"/>
      <c r="C3398" s="14" t="s">
        <v>449</v>
      </c>
      <c r="D3398" s="14" t="s">
        <v>278</v>
      </c>
      <c r="E3398" s="18" t="s">
        <v>0</v>
      </c>
      <c r="F3398" s="17" t="s">
        <v>23</v>
      </c>
      <c r="G3398" s="17">
        <f>G3397*12</f>
        <v>0</v>
      </c>
      <c r="H3398" s="13">
        <f t="shared" si="53"/>
        <v>0</v>
      </c>
    </row>
    <row r="3399" spans="2:8" ht="13.5" thickBot="1" x14ac:dyDescent="0.35">
      <c r="B3399" s="9"/>
      <c r="C3399" s="14" t="s">
        <v>451</v>
      </c>
      <c r="D3399" s="14" t="s">
        <v>278</v>
      </c>
      <c r="E3399" s="18" t="s">
        <v>0</v>
      </c>
      <c r="F3399" s="17" t="s">
        <v>23</v>
      </c>
      <c r="G3399" s="17">
        <f>G3397*12</f>
        <v>0</v>
      </c>
      <c r="H3399" s="13">
        <f t="shared" si="53"/>
        <v>0</v>
      </c>
    </row>
    <row r="3400" spans="2:8" ht="13.5" thickBot="1" x14ac:dyDescent="0.35">
      <c r="B3400" s="9"/>
      <c r="C3400" s="14" t="s">
        <v>452</v>
      </c>
      <c r="D3400" s="14" t="s">
        <v>278</v>
      </c>
      <c r="E3400" s="18" t="s">
        <v>0</v>
      </c>
      <c r="F3400" s="17" t="s">
        <v>23</v>
      </c>
      <c r="G3400" s="17">
        <f>G3397*12</f>
        <v>0</v>
      </c>
      <c r="H3400" s="13">
        <f t="shared" si="53"/>
        <v>0</v>
      </c>
    </row>
    <row r="3401" spans="2:8" ht="13.5" thickBot="1" x14ac:dyDescent="0.35">
      <c r="B3401" s="9"/>
      <c r="C3401" s="14" t="s">
        <v>1632</v>
      </c>
      <c r="D3401" s="14" t="s">
        <v>278</v>
      </c>
      <c r="E3401" s="18" t="s">
        <v>9</v>
      </c>
      <c r="F3401" s="17" t="s">
        <v>23</v>
      </c>
      <c r="G3401" s="17">
        <f>G3397</f>
        <v>0</v>
      </c>
      <c r="H3401" s="13">
        <f t="shared" si="53"/>
        <v>0</v>
      </c>
    </row>
    <row r="3402" spans="2:8" ht="13.5" thickBot="1" x14ac:dyDescent="0.35">
      <c r="B3402" s="9"/>
      <c r="C3402" s="14" t="s">
        <v>1633</v>
      </c>
      <c r="D3402" s="14" t="s">
        <v>278</v>
      </c>
      <c r="E3402" s="18" t="s">
        <v>9</v>
      </c>
      <c r="F3402" s="17" t="s">
        <v>23</v>
      </c>
      <c r="G3402" s="17">
        <f>G3397</f>
        <v>0</v>
      </c>
      <c r="H3402" s="13">
        <f t="shared" si="53"/>
        <v>0</v>
      </c>
    </row>
    <row r="3403" spans="2:8" ht="13.5" thickBot="1" x14ac:dyDescent="0.35">
      <c r="B3403" s="9">
        <f>COUNT($B$4:B3402)+1</f>
        <v>935</v>
      </c>
      <c r="C3403" s="10" t="s">
        <v>1634</v>
      </c>
      <c r="D3403" s="10"/>
      <c r="E3403" s="11" t="s">
        <v>9</v>
      </c>
      <c r="F3403" s="12" t="s">
        <v>23</v>
      </c>
      <c r="G3403" s="12"/>
      <c r="H3403" s="13">
        <f t="shared" si="53"/>
        <v>0</v>
      </c>
    </row>
    <row r="3404" spans="2:8" ht="13.5" thickBot="1" x14ac:dyDescent="0.35">
      <c r="B3404" s="9"/>
      <c r="C3404" s="14" t="s">
        <v>449</v>
      </c>
      <c r="D3404" s="14" t="s">
        <v>278</v>
      </c>
      <c r="E3404" s="18" t="s">
        <v>0</v>
      </c>
      <c r="F3404" s="17" t="s">
        <v>23</v>
      </c>
      <c r="G3404" s="17">
        <f>G3403*12</f>
        <v>0</v>
      </c>
      <c r="H3404" s="13">
        <f t="shared" si="53"/>
        <v>0</v>
      </c>
    </row>
    <row r="3405" spans="2:8" ht="13.5" thickBot="1" x14ac:dyDescent="0.35">
      <c r="B3405" s="9"/>
      <c r="C3405" s="14" t="s">
        <v>451</v>
      </c>
      <c r="D3405" s="14" t="s">
        <v>278</v>
      </c>
      <c r="E3405" s="18" t="s">
        <v>0</v>
      </c>
      <c r="F3405" s="17" t="s">
        <v>23</v>
      </c>
      <c r="G3405" s="17">
        <f>G3403*12</f>
        <v>0</v>
      </c>
      <c r="H3405" s="13">
        <f t="shared" si="53"/>
        <v>0</v>
      </c>
    </row>
    <row r="3406" spans="2:8" ht="13.5" thickBot="1" x14ac:dyDescent="0.35">
      <c r="B3406" s="9"/>
      <c r="C3406" s="14" t="s">
        <v>452</v>
      </c>
      <c r="D3406" s="14" t="s">
        <v>278</v>
      </c>
      <c r="E3406" s="18" t="s">
        <v>0</v>
      </c>
      <c r="F3406" s="17" t="s">
        <v>23</v>
      </c>
      <c r="G3406" s="17">
        <f>G3403*12</f>
        <v>0</v>
      </c>
      <c r="H3406" s="13">
        <f t="shared" si="53"/>
        <v>0</v>
      </c>
    </row>
    <row r="3407" spans="2:8" ht="13.5" thickBot="1" x14ac:dyDescent="0.35">
      <c r="B3407" s="9"/>
      <c r="C3407" s="14" t="s">
        <v>1635</v>
      </c>
      <c r="D3407" s="14" t="s">
        <v>278</v>
      </c>
      <c r="E3407" s="18" t="s">
        <v>9</v>
      </c>
      <c r="F3407" s="17" t="s">
        <v>23</v>
      </c>
      <c r="G3407" s="17">
        <f>G3403</f>
        <v>0</v>
      </c>
      <c r="H3407" s="13">
        <f t="shared" si="53"/>
        <v>0</v>
      </c>
    </row>
    <row r="3408" spans="2:8" ht="13.5" thickBot="1" x14ac:dyDescent="0.35">
      <c r="B3408" s="9"/>
      <c r="C3408" s="14" t="s">
        <v>1636</v>
      </c>
      <c r="D3408" s="14" t="s">
        <v>278</v>
      </c>
      <c r="E3408" s="18" t="s">
        <v>9</v>
      </c>
      <c r="F3408" s="17" t="s">
        <v>23</v>
      </c>
      <c r="G3408" s="17">
        <f>G3403</f>
        <v>0</v>
      </c>
      <c r="H3408" s="13">
        <f t="shared" si="53"/>
        <v>0</v>
      </c>
    </row>
    <row r="3409" spans="2:8" ht="13.5" thickBot="1" x14ac:dyDescent="0.35">
      <c r="B3409" s="9">
        <f>COUNT($B$4:B3408)+1</f>
        <v>936</v>
      </c>
      <c r="C3409" s="10" t="s">
        <v>1637</v>
      </c>
      <c r="D3409" s="10"/>
      <c r="E3409" s="11" t="s">
        <v>9</v>
      </c>
      <c r="F3409" s="12" t="s">
        <v>23</v>
      </c>
      <c r="G3409" s="12"/>
      <c r="H3409" s="13">
        <f t="shared" si="53"/>
        <v>0</v>
      </c>
    </row>
    <row r="3410" spans="2:8" ht="13.5" thickBot="1" x14ac:dyDescent="0.35">
      <c r="B3410" s="9"/>
      <c r="C3410" s="14" t="s">
        <v>449</v>
      </c>
      <c r="D3410" s="14" t="s">
        <v>278</v>
      </c>
      <c r="E3410" s="18" t="s">
        <v>0</v>
      </c>
      <c r="F3410" s="17" t="s">
        <v>23</v>
      </c>
      <c r="G3410" s="17">
        <f>G3409*12</f>
        <v>0</v>
      </c>
      <c r="H3410" s="13">
        <f t="shared" si="53"/>
        <v>0</v>
      </c>
    </row>
    <row r="3411" spans="2:8" ht="13.5" thickBot="1" x14ac:dyDescent="0.35">
      <c r="B3411" s="9"/>
      <c r="C3411" s="14" t="s">
        <v>451</v>
      </c>
      <c r="D3411" s="14" t="s">
        <v>278</v>
      </c>
      <c r="E3411" s="18" t="s">
        <v>0</v>
      </c>
      <c r="F3411" s="17" t="s">
        <v>23</v>
      </c>
      <c r="G3411" s="17">
        <f>G3409*12</f>
        <v>0</v>
      </c>
      <c r="H3411" s="13">
        <f t="shared" si="53"/>
        <v>0</v>
      </c>
    </row>
    <row r="3412" spans="2:8" ht="13.5" thickBot="1" x14ac:dyDescent="0.35">
      <c r="B3412" s="9"/>
      <c r="C3412" s="14" t="s">
        <v>452</v>
      </c>
      <c r="D3412" s="14" t="s">
        <v>278</v>
      </c>
      <c r="E3412" s="18" t="s">
        <v>0</v>
      </c>
      <c r="F3412" s="17" t="s">
        <v>23</v>
      </c>
      <c r="G3412" s="17">
        <f>G3409*12</f>
        <v>0</v>
      </c>
      <c r="H3412" s="13">
        <f t="shared" si="53"/>
        <v>0</v>
      </c>
    </row>
    <row r="3413" spans="2:8" ht="13.5" thickBot="1" x14ac:dyDescent="0.35">
      <c r="B3413" s="9"/>
      <c r="C3413" s="14" t="s">
        <v>1638</v>
      </c>
      <c r="D3413" s="14" t="s">
        <v>278</v>
      </c>
      <c r="E3413" s="18" t="s">
        <v>9</v>
      </c>
      <c r="F3413" s="17" t="s">
        <v>23</v>
      </c>
      <c r="G3413" s="17">
        <f>G3409</f>
        <v>0</v>
      </c>
      <c r="H3413" s="13">
        <f t="shared" si="53"/>
        <v>0</v>
      </c>
    </row>
    <row r="3414" spans="2:8" ht="13.5" thickBot="1" x14ac:dyDescent="0.35">
      <c r="B3414" s="9"/>
      <c r="C3414" s="14" t="s">
        <v>1639</v>
      </c>
      <c r="D3414" s="14" t="s">
        <v>278</v>
      </c>
      <c r="E3414" s="18" t="s">
        <v>9</v>
      </c>
      <c r="F3414" s="17" t="s">
        <v>23</v>
      </c>
      <c r="G3414" s="17">
        <f>G3409</f>
        <v>0</v>
      </c>
      <c r="H3414" s="13">
        <f t="shared" si="53"/>
        <v>0</v>
      </c>
    </row>
    <row r="3415" spans="2:8" ht="13.5" thickBot="1" x14ac:dyDescent="0.35">
      <c r="B3415" s="9">
        <f>COUNT($B$4:B3414)+1</f>
        <v>937</v>
      </c>
      <c r="C3415" s="10" t="s">
        <v>1640</v>
      </c>
      <c r="D3415" s="10"/>
      <c r="E3415" s="11" t="s">
        <v>9</v>
      </c>
      <c r="F3415" s="12" t="s">
        <v>23</v>
      </c>
      <c r="G3415" s="12"/>
      <c r="H3415" s="13">
        <f t="shared" si="53"/>
        <v>0</v>
      </c>
    </row>
    <row r="3416" spans="2:8" ht="13.5" thickBot="1" x14ac:dyDescent="0.35">
      <c r="B3416" s="9"/>
      <c r="C3416" s="14" t="s">
        <v>449</v>
      </c>
      <c r="D3416" s="14" t="s">
        <v>278</v>
      </c>
      <c r="E3416" s="18" t="s">
        <v>0</v>
      </c>
      <c r="F3416" s="17" t="s">
        <v>23</v>
      </c>
      <c r="G3416" s="17">
        <f>G3415*12</f>
        <v>0</v>
      </c>
      <c r="H3416" s="13">
        <f t="shared" si="53"/>
        <v>0</v>
      </c>
    </row>
    <row r="3417" spans="2:8" ht="13.5" thickBot="1" x14ac:dyDescent="0.35">
      <c r="B3417" s="9"/>
      <c r="C3417" s="14" t="s">
        <v>451</v>
      </c>
      <c r="D3417" s="14" t="s">
        <v>278</v>
      </c>
      <c r="E3417" s="18" t="s">
        <v>0</v>
      </c>
      <c r="F3417" s="17" t="s">
        <v>23</v>
      </c>
      <c r="G3417" s="17">
        <f>G3415*12</f>
        <v>0</v>
      </c>
      <c r="H3417" s="13">
        <f t="shared" si="53"/>
        <v>0</v>
      </c>
    </row>
    <row r="3418" spans="2:8" ht="13.5" thickBot="1" x14ac:dyDescent="0.35">
      <c r="B3418" s="9"/>
      <c r="C3418" s="14" t="s">
        <v>452</v>
      </c>
      <c r="D3418" s="14" t="s">
        <v>278</v>
      </c>
      <c r="E3418" s="18" t="s">
        <v>0</v>
      </c>
      <c r="F3418" s="17" t="s">
        <v>23</v>
      </c>
      <c r="G3418" s="17">
        <f>G3415*12</f>
        <v>0</v>
      </c>
      <c r="H3418" s="13">
        <f t="shared" si="53"/>
        <v>0</v>
      </c>
    </row>
    <row r="3419" spans="2:8" ht="13.5" thickBot="1" x14ac:dyDescent="0.35">
      <c r="B3419" s="9"/>
      <c r="C3419" s="14" t="s">
        <v>1641</v>
      </c>
      <c r="D3419" s="14" t="s">
        <v>278</v>
      </c>
      <c r="E3419" s="18" t="s">
        <v>9</v>
      </c>
      <c r="F3419" s="17" t="s">
        <v>23</v>
      </c>
      <c r="G3419" s="17">
        <f>G3415</f>
        <v>0</v>
      </c>
      <c r="H3419" s="13">
        <f t="shared" si="53"/>
        <v>0</v>
      </c>
    </row>
    <row r="3420" spans="2:8" ht="13.5" thickBot="1" x14ac:dyDescent="0.35">
      <c r="B3420" s="9"/>
      <c r="C3420" s="14" t="s">
        <v>1642</v>
      </c>
      <c r="D3420" s="14" t="s">
        <v>278</v>
      </c>
      <c r="E3420" s="18" t="s">
        <v>9</v>
      </c>
      <c r="F3420" s="17" t="s">
        <v>23</v>
      </c>
      <c r="G3420" s="17">
        <f>G3415</f>
        <v>0</v>
      </c>
      <c r="H3420" s="13">
        <f t="shared" si="53"/>
        <v>0</v>
      </c>
    </row>
    <row r="3421" spans="2:8" ht="13.5" thickBot="1" x14ac:dyDescent="0.35">
      <c r="B3421" s="9">
        <f>COUNT($B$4:B3420)+1</f>
        <v>938</v>
      </c>
      <c r="C3421" s="10" t="s">
        <v>1643</v>
      </c>
      <c r="D3421" s="10"/>
      <c r="E3421" s="11" t="s">
        <v>9</v>
      </c>
      <c r="F3421" s="12" t="s">
        <v>23</v>
      </c>
      <c r="G3421" s="12"/>
      <c r="H3421" s="13">
        <f t="shared" si="53"/>
        <v>0</v>
      </c>
    </row>
    <row r="3422" spans="2:8" ht="13.5" thickBot="1" x14ac:dyDescent="0.35">
      <c r="B3422" s="9"/>
      <c r="C3422" s="14" t="s">
        <v>449</v>
      </c>
      <c r="D3422" s="14" t="s">
        <v>278</v>
      </c>
      <c r="E3422" s="18" t="s">
        <v>0</v>
      </c>
      <c r="F3422" s="17" t="s">
        <v>23</v>
      </c>
      <c r="G3422" s="17">
        <f>G3421*12</f>
        <v>0</v>
      </c>
      <c r="H3422" s="13">
        <f t="shared" si="53"/>
        <v>0</v>
      </c>
    </row>
    <row r="3423" spans="2:8" ht="13.5" thickBot="1" x14ac:dyDescent="0.35">
      <c r="B3423" s="9"/>
      <c r="C3423" s="14" t="s">
        <v>451</v>
      </c>
      <c r="D3423" s="14" t="s">
        <v>278</v>
      </c>
      <c r="E3423" s="18" t="s">
        <v>0</v>
      </c>
      <c r="F3423" s="17" t="s">
        <v>23</v>
      </c>
      <c r="G3423" s="17">
        <f>G3421*12</f>
        <v>0</v>
      </c>
      <c r="H3423" s="13">
        <f t="shared" si="53"/>
        <v>0</v>
      </c>
    </row>
    <row r="3424" spans="2:8" ht="13.5" thickBot="1" x14ac:dyDescent="0.35">
      <c r="B3424" s="9"/>
      <c r="C3424" s="14" t="s">
        <v>452</v>
      </c>
      <c r="D3424" s="14" t="s">
        <v>278</v>
      </c>
      <c r="E3424" s="18" t="s">
        <v>0</v>
      </c>
      <c r="F3424" s="17" t="s">
        <v>23</v>
      </c>
      <c r="G3424" s="17">
        <f>G3421*12</f>
        <v>0</v>
      </c>
      <c r="H3424" s="13">
        <f t="shared" si="53"/>
        <v>0</v>
      </c>
    </row>
    <row r="3425" spans="2:8" ht="13.5" thickBot="1" x14ac:dyDescent="0.35">
      <c r="B3425" s="9"/>
      <c r="C3425" s="14" t="s">
        <v>1644</v>
      </c>
      <c r="D3425" s="14" t="s">
        <v>278</v>
      </c>
      <c r="E3425" s="18" t="s">
        <v>9</v>
      </c>
      <c r="F3425" s="17" t="s">
        <v>23</v>
      </c>
      <c r="G3425" s="17">
        <f>G3421</f>
        <v>0</v>
      </c>
      <c r="H3425" s="13">
        <f t="shared" si="53"/>
        <v>0</v>
      </c>
    </row>
    <row r="3426" spans="2:8" ht="13.5" thickBot="1" x14ac:dyDescent="0.35">
      <c r="B3426" s="9"/>
      <c r="C3426" s="14" t="s">
        <v>1645</v>
      </c>
      <c r="D3426" s="14" t="s">
        <v>278</v>
      </c>
      <c r="E3426" s="18" t="s">
        <v>9</v>
      </c>
      <c r="F3426" s="17" t="s">
        <v>23</v>
      </c>
      <c r="G3426" s="17">
        <f>G3421</f>
        <v>0</v>
      </c>
      <c r="H3426" s="13">
        <f t="shared" si="53"/>
        <v>0</v>
      </c>
    </row>
    <row r="3427" spans="2:8" ht="13.5" thickBot="1" x14ac:dyDescent="0.35">
      <c r="B3427" s="9">
        <f>COUNT($B$4:B3426)+1</f>
        <v>939</v>
      </c>
      <c r="C3427" s="10" t="s">
        <v>1646</v>
      </c>
      <c r="D3427" s="10"/>
      <c r="E3427" s="11" t="s">
        <v>9</v>
      </c>
      <c r="F3427" s="12" t="s">
        <v>23</v>
      </c>
      <c r="G3427" s="12"/>
      <c r="H3427" s="13">
        <f t="shared" si="53"/>
        <v>0</v>
      </c>
    </row>
    <row r="3428" spans="2:8" ht="13.5" thickBot="1" x14ac:dyDescent="0.35">
      <c r="B3428" s="9"/>
      <c r="C3428" s="14" t="s">
        <v>449</v>
      </c>
      <c r="D3428" s="14" t="s">
        <v>278</v>
      </c>
      <c r="E3428" s="18" t="s">
        <v>0</v>
      </c>
      <c r="F3428" s="17" t="s">
        <v>23</v>
      </c>
      <c r="G3428" s="17">
        <f>G3427*12</f>
        <v>0</v>
      </c>
      <c r="H3428" s="13">
        <f t="shared" si="53"/>
        <v>0</v>
      </c>
    </row>
    <row r="3429" spans="2:8" ht="13.5" thickBot="1" x14ac:dyDescent="0.35">
      <c r="B3429" s="9"/>
      <c r="C3429" s="14" t="s">
        <v>451</v>
      </c>
      <c r="D3429" s="14" t="s">
        <v>278</v>
      </c>
      <c r="E3429" s="18" t="s">
        <v>0</v>
      </c>
      <c r="F3429" s="17" t="s">
        <v>23</v>
      </c>
      <c r="G3429" s="17">
        <f>G3427*12</f>
        <v>0</v>
      </c>
      <c r="H3429" s="13">
        <f t="shared" si="53"/>
        <v>0</v>
      </c>
    </row>
    <row r="3430" spans="2:8" ht="13.5" thickBot="1" x14ac:dyDescent="0.35">
      <c r="B3430" s="9"/>
      <c r="C3430" s="14" t="s">
        <v>452</v>
      </c>
      <c r="D3430" s="14" t="s">
        <v>278</v>
      </c>
      <c r="E3430" s="18" t="s">
        <v>0</v>
      </c>
      <c r="F3430" s="17" t="s">
        <v>23</v>
      </c>
      <c r="G3430" s="17">
        <f>G3427*12</f>
        <v>0</v>
      </c>
      <c r="H3430" s="13">
        <f t="shared" si="53"/>
        <v>0</v>
      </c>
    </row>
    <row r="3431" spans="2:8" ht="13.5" thickBot="1" x14ac:dyDescent="0.35">
      <c r="B3431" s="9"/>
      <c r="C3431" s="14" t="s">
        <v>1647</v>
      </c>
      <c r="D3431" s="14" t="s">
        <v>278</v>
      </c>
      <c r="E3431" s="18" t="s">
        <v>9</v>
      </c>
      <c r="F3431" s="17" t="s">
        <v>23</v>
      </c>
      <c r="G3431" s="17">
        <f>G3427</f>
        <v>0</v>
      </c>
      <c r="H3431" s="13">
        <f t="shared" si="53"/>
        <v>0</v>
      </c>
    </row>
    <row r="3432" spans="2:8" ht="13.5" thickBot="1" x14ac:dyDescent="0.35">
      <c r="B3432" s="9"/>
      <c r="C3432" s="14" t="s">
        <v>1648</v>
      </c>
      <c r="D3432" s="14" t="s">
        <v>278</v>
      </c>
      <c r="E3432" s="18" t="s">
        <v>9</v>
      </c>
      <c r="F3432" s="17" t="s">
        <v>23</v>
      </c>
      <c r="G3432" s="17">
        <f>G3427</f>
        <v>0</v>
      </c>
      <c r="H3432" s="13">
        <f t="shared" si="53"/>
        <v>0</v>
      </c>
    </row>
  </sheetData>
  <autoFilter ref="B3:H3432" xr:uid="{00000000-0009-0000-0000-000001000000}"/>
  <dataValidations count="3">
    <dataValidation type="list" allowBlank="1" showInputMessage="1" showErrorMessage="1" sqref="F65539:F68968 JB65539:JB68968 SX65539:SX68968 ACT65539:ACT68968 AMP65539:AMP68968 AWL65539:AWL68968 BGH65539:BGH68968 BQD65539:BQD68968 BZZ65539:BZZ68968 CJV65539:CJV68968 CTR65539:CTR68968 DDN65539:DDN68968 DNJ65539:DNJ68968 DXF65539:DXF68968 EHB65539:EHB68968 EQX65539:EQX68968 FAT65539:FAT68968 FKP65539:FKP68968 FUL65539:FUL68968 GEH65539:GEH68968 GOD65539:GOD68968 GXZ65539:GXZ68968 HHV65539:HHV68968 HRR65539:HRR68968 IBN65539:IBN68968 ILJ65539:ILJ68968 IVF65539:IVF68968 JFB65539:JFB68968 JOX65539:JOX68968 JYT65539:JYT68968 KIP65539:KIP68968 KSL65539:KSL68968 LCH65539:LCH68968 LMD65539:LMD68968 LVZ65539:LVZ68968 MFV65539:MFV68968 MPR65539:MPR68968 MZN65539:MZN68968 NJJ65539:NJJ68968 NTF65539:NTF68968 ODB65539:ODB68968 OMX65539:OMX68968 OWT65539:OWT68968 PGP65539:PGP68968 PQL65539:PQL68968 QAH65539:QAH68968 QKD65539:QKD68968 QTZ65539:QTZ68968 RDV65539:RDV68968 RNR65539:RNR68968 RXN65539:RXN68968 SHJ65539:SHJ68968 SRF65539:SRF68968 TBB65539:TBB68968 TKX65539:TKX68968 TUT65539:TUT68968 UEP65539:UEP68968 UOL65539:UOL68968 UYH65539:UYH68968 VID65539:VID68968 VRZ65539:VRZ68968 WBV65539:WBV68968 WLR65539:WLR68968 WVN65539:WVN68968 F131075:F134504 JB131075:JB134504 SX131075:SX134504 ACT131075:ACT134504 AMP131075:AMP134504 AWL131075:AWL134504 BGH131075:BGH134504 BQD131075:BQD134504 BZZ131075:BZZ134504 CJV131075:CJV134504 CTR131075:CTR134504 DDN131075:DDN134504 DNJ131075:DNJ134504 DXF131075:DXF134504 EHB131075:EHB134504 EQX131075:EQX134504 FAT131075:FAT134504 FKP131075:FKP134504 FUL131075:FUL134504 GEH131075:GEH134504 GOD131075:GOD134504 GXZ131075:GXZ134504 HHV131075:HHV134504 HRR131075:HRR134504 IBN131075:IBN134504 ILJ131075:ILJ134504 IVF131075:IVF134504 JFB131075:JFB134504 JOX131075:JOX134504 JYT131075:JYT134504 KIP131075:KIP134504 KSL131075:KSL134504 LCH131075:LCH134504 LMD131075:LMD134504 LVZ131075:LVZ134504 MFV131075:MFV134504 MPR131075:MPR134504 MZN131075:MZN134504 NJJ131075:NJJ134504 NTF131075:NTF134504 ODB131075:ODB134504 OMX131075:OMX134504 OWT131075:OWT134504 PGP131075:PGP134504 PQL131075:PQL134504 QAH131075:QAH134504 QKD131075:QKD134504 QTZ131075:QTZ134504 RDV131075:RDV134504 RNR131075:RNR134504 RXN131075:RXN134504 SHJ131075:SHJ134504 SRF131075:SRF134504 TBB131075:TBB134504 TKX131075:TKX134504 TUT131075:TUT134504 UEP131075:UEP134504 UOL131075:UOL134504 UYH131075:UYH134504 VID131075:VID134504 VRZ131075:VRZ134504 WBV131075:WBV134504 WLR131075:WLR134504 WVN131075:WVN134504 F196611:F200040 JB196611:JB200040 SX196611:SX200040 ACT196611:ACT200040 AMP196611:AMP200040 AWL196611:AWL200040 BGH196611:BGH200040 BQD196611:BQD200040 BZZ196611:BZZ200040 CJV196611:CJV200040 CTR196611:CTR200040 DDN196611:DDN200040 DNJ196611:DNJ200040 DXF196611:DXF200040 EHB196611:EHB200040 EQX196611:EQX200040 FAT196611:FAT200040 FKP196611:FKP200040 FUL196611:FUL200040 GEH196611:GEH200040 GOD196611:GOD200040 GXZ196611:GXZ200040 HHV196611:HHV200040 HRR196611:HRR200040 IBN196611:IBN200040 ILJ196611:ILJ200040 IVF196611:IVF200040 JFB196611:JFB200040 JOX196611:JOX200040 JYT196611:JYT200040 KIP196611:KIP200040 KSL196611:KSL200040 LCH196611:LCH200040 LMD196611:LMD200040 LVZ196611:LVZ200040 MFV196611:MFV200040 MPR196611:MPR200040 MZN196611:MZN200040 NJJ196611:NJJ200040 NTF196611:NTF200040 ODB196611:ODB200040 OMX196611:OMX200040 OWT196611:OWT200040 PGP196611:PGP200040 PQL196611:PQL200040 QAH196611:QAH200040 QKD196611:QKD200040 QTZ196611:QTZ200040 RDV196611:RDV200040 RNR196611:RNR200040 RXN196611:RXN200040 SHJ196611:SHJ200040 SRF196611:SRF200040 TBB196611:TBB200040 TKX196611:TKX200040 TUT196611:TUT200040 UEP196611:UEP200040 UOL196611:UOL200040 UYH196611:UYH200040 VID196611:VID200040 VRZ196611:VRZ200040 WBV196611:WBV200040 WLR196611:WLR200040 WVN196611:WVN200040 F262147:F265576 JB262147:JB265576 SX262147:SX265576 ACT262147:ACT265576 AMP262147:AMP265576 AWL262147:AWL265576 BGH262147:BGH265576 BQD262147:BQD265576 BZZ262147:BZZ265576 CJV262147:CJV265576 CTR262147:CTR265576 DDN262147:DDN265576 DNJ262147:DNJ265576 DXF262147:DXF265576 EHB262147:EHB265576 EQX262147:EQX265576 FAT262147:FAT265576 FKP262147:FKP265576 FUL262147:FUL265576 GEH262147:GEH265576 GOD262147:GOD265576 GXZ262147:GXZ265576 HHV262147:HHV265576 HRR262147:HRR265576 IBN262147:IBN265576 ILJ262147:ILJ265576 IVF262147:IVF265576 JFB262147:JFB265576 JOX262147:JOX265576 JYT262147:JYT265576 KIP262147:KIP265576 KSL262147:KSL265576 LCH262147:LCH265576 LMD262147:LMD265576 LVZ262147:LVZ265576 MFV262147:MFV265576 MPR262147:MPR265576 MZN262147:MZN265576 NJJ262147:NJJ265576 NTF262147:NTF265576 ODB262147:ODB265576 OMX262147:OMX265576 OWT262147:OWT265576 PGP262147:PGP265576 PQL262147:PQL265576 QAH262147:QAH265576 QKD262147:QKD265576 QTZ262147:QTZ265576 RDV262147:RDV265576 RNR262147:RNR265576 RXN262147:RXN265576 SHJ262147:SHJ265576 SRF262147:SRF265576 TBB262147:TBB265576 TKX262147:TKX265576 TUT262147:TUT265576 UEP262147:UEP265576 UOL262147:UOL265576 UYH262147:UYH265576 VID262147:VID265576 VRZ262147:VRZ265576 WBV262147:WBV265576 WLR262147:WLR265576 WVN262147:WVN265576 F327683:F331112 JB327683:JB331112 SX327683:SX331112 ACT327683:ACT331112 AMP327683:AMP331112 AWL327683:AWL331112 BGH327683:BGH331112 BQD327683:BQD331112 BZZ327683:BZZ331112 CJV327683:CJV331112 CTR327683:CTR331112 DDN327683:DDN331112 DNJ327683:DNJ331112 DXF327683:DXF331112 EHB327683:EHB331112 EQX327683:EQX331112 FAT327683:FAT331112 FKP327683:FKP331112 FUL327683:FUL331112 GEH327683:GEH331112 GOD327683:GOD331112 GXZ327683:GXZ331112 HHV327683:HHV331112 HRR327683:HRR331112 IBN327683:IBN331112 ILJ327683:ILJ331112 IVF327683:IVF331112 JFB327683:JFB331112 JOX327683:JOX331112 JYT327683:JYT331112 KIP327683:KIP331112 KSL327683:KSL331112 LCH327683:LCH331112 LMD327683:LMD331112 LVZ327683:LVZ331112 MFV327683:MFV331112 MPR327683:MPR331112 MZN327683:MZN331112 NJJ327683:NJJ331112 NTF327683:NTF331112 ODB327683:ODB331112 OMX327683:OMX331112 OWT327683:OWT331112 PGP327683:PGP331112 PQL327683:PQL331112 QAH327683:QAH331112 QKD327683:QKD331112 QTZ327683:QTZ331112 RDV327683:RDV331112 RNR327683:RNR331112 RXN327683:RXN331112 SHJ327683:SHJ331112 SRF327683:SRF331112 TBB327683:TBB331112 TKX327683:TKX331112 TUT327683:TUT331112 UEP327683:UEP331112 UOL327683:UOL331112 UYH327683:UYH331112 VID327683:VID331112 VRZ327683:VRZ331112 WBV327683:WBV331112 WLR327683:WLR331112 WVN327683:WVN331112 F393219:F396648 JB393219:JB396648 SX393219:SX396648 ACT393219:ACT396648 AMP393219:AMP396648 AWL393219:AWL396648 BGH393219:BGH396648 BQD393219:BQD396648 BZZ393219:BZZ396648 CJV393219:CJV396648 CTR393219:CTR396648 DDN393219:DDN396648 DNJ393219:DNJ396648 DXF393219:DXF396648 EHB393219:EHB396648 EQX393219:EQX396648 FAT393219:FAT396648 FKP393219:FKP396648 FUL393219:FUL396648 GEH393219:GEH396648 GOD393219:GOD396648 GXZ393219:GXZ396648 HHV393219:HHV396648 HRR393219:HRR396648 IBN393219:IBN396648 ILJ393219:ILJ396648 IVF393219:IVF396648 JFB393219:JFB396648 JOX393219:JOX396648 JYT393219:JYT396648 KIP393219:KIP396648 KSL393219:KSL396648 LCH393219:LCH396648 LMD393219:LMD396648 LVZ393219:LVZ396648 MFV393219:MFV396648 MPR393219:MPR396648 MZN393219:MZN396648 NJJ393219:NJJ396648 NTF393219:NTF396648 ODB393219:ODB396648 OMX393219:OMX396648 OWT393219:OWT396648 PGP393219:PGP396648 PQL393219:PQL396648 QAH393219:QAH396648 QKD393219:QKD396648 QTZ393219:QTZ396648 RDV393219:RDV396648 RNR393219:RNR396648 RXN393219:RXN396648 SHJ393219:SHJ396648 SRF393219:SRF396648 TBB393219:TBB396648 TKX393219:TKX396648 TUT393219:TUT396648 UEP393219:UEP396648 UOL393219:UOL396648 UYH393219:UYH396648 VID393219:VID396648 VRZ393219:VRZ396648 WBV393219:WBV396648 WLR393219:WLR396648 WVN393219:WVN396648 F458755:F462184 JB458755:JB462184 SX458755:SX462184 ACT458755:ACT462184 AMP458755:AMP462184 AWL458755:AWL462184 BGH458755:BGH462184 BQD458755:BQD462184 BZZ458755:BZZ462184 CJV458755:CJV462184 CTR458755:CTR462184 DDN458755:DDN462184 DNJ458755:DNJ462184 DXF458755:DXF462184 EHB458755:EHB462184 EQX458755:EQX462184 FAT458755:FAT462184 FKP458755:FKP462184 FUL458755:FUL462184 GEH458755:GEH462184 GOD458755:GOD462184 GXZ458755:GXZ462184 HHV458755:HHV462184 HRR458755:HRR462184 IBN458755:IBN462184 ILJ458755:ILJ462184 IVF458755:IVF462184 JFB458755:JFB462184 JOX458755:JOX462184 JYT458755:JYT462184 KIP458755:KIP462184 KSL458755:KSL462184 LCH458755:LCH462184 LMD458755:LMD462184 LVZ458755:LVZ462184 MFV458755:MFV462184 MPR458755:MPR462184 MZN458755:MZN462184 NJJ458755:NJJ462184 NTF458755:NTF462184 ODB458755:ODB462184 OMX458755:OMX462184 OWT458755:OWT462184 PGP458755:PGP462184 PQL458755:PQL462184 QAH458755:QAH462184 QKD458755:QKD462184 QTZ458755:QTZ462184 RDV458755:RDV462184 RNR458755:RNR462184 RXN458755:RXN462184 SHJ458755:SHJ462184 SRF458755:SRF462184 TBB458755:TBB462184 TKX458755:TKX462184 TUT458755:TUT462184 UEP458755:UEP462184 UOL458755:UOL462184 UYH458755:UYH462184 VID458755:VID462184 VRZ458755:VRZ462184 WBV458755:WBV462184 WLR458755:WLR462184 WVN458755:WVN462184 F524291:F527720 JB524291:JB527720 SX524291:SX527720 ACT524291:ACT527720 AMP524291:AMP527720 AWL524291:AWL527720 BGH524291:BGH527720 BQD524291:BQD527720 BZZ524291:BZZ527720 CJV524291:CJV527720 CTR524291:CTR527720 DDN524291:DDN527720 DNJ524291:DNJ527720 DXF524291:DXF527720 EHB524291:EHB527720 EQX524291:EQX527720 FAT524291:FAT527720 FKP524291:FKP527720 FUL524291:FUL527720 GEH524291:GEH527720 GOD524291:GOD527720 GXZ524291:GXZ527720 HHV524291:HHV527720 HRR524291:HRR527720 IBN524291:IBN527720 ILJ524291:ILJ527720 IVF524291:IVF527720 JFB524291:JFB527720 JOX524291:JOX527720 JYT524291:JYT527720 KIP524291:KIP527720 KSL524291:KSL527720 LCH524291:LCH527720 LMD524291:LMD527720 LVZ524291:LVZ527720 MFV524291:MFV527720 MPR524291:MPR527720 MZN524291:MZN527720 NJJ524291:NJJ527720 NTF524291:NTF527720 ODB524291:ODB527720 OMX524291:OMX527720 OWT524291:OWT527720 PGP524291:PGP527720 PQL524291:PQL527720 QAH524291:QAH527720 QKD524291:QKD527720 QTZ524291:QTZ527720 RDV524291:RDV527720 RNR524291:RNR527720 RXN524291:RXN527720 SHJ524291:SHJ527720 SRF524291:SRF527720 TBB524291:TBB527720 TKX524291:TKX527720 TUT524291:TUT527720 UEP524291:UEP527720 UOL524291:UOL527720 UYH524291:UYH527720 VID524291:VID527720 VRZ524291:VRZ527720 WBV524291:WBV527720 WLR524291:WLR527720 WVN524291:WVN527720 F589827:F593256 JB589827:JB593256 SX589827:SX593256 ACT589827:ACT593256 AMP589827:AMP593256 AWL589827:AWL593256 BGH589827:BGH593256 BQD589827:BQD593256 BZZ589827:BZZ593256 CJV589827:CJV593256 CTR589827:CTR593256 DDN589827:DDN593256 DNJ589827:DNJ593256 DXF589827:DXF593256 EHB589827:EHB593256 EQX589827:EQX593256 FAT589827:FAT593256 FKP589827:FKP593256 FUL589827:FUL593256 GEH589827:GEH593256 GOD589827:GOD593256 GXZ589827:GXZ593256 HHV589827:HHV593256 HRR589827:HRR593256 IBN589827:IBN593256 ILJ589827:ILJ593256 IVF589827:IVF593256 JFB589827:JFB593256 JOX589827:JOX593256 JYT589827:JYT593256 KIP589827:KIP593256 KSL589827:KSL593256 LCH589827:LCH593256 LMD589827:LMD593256 LVZ589827:LVZ593256 MFV589827:MFV593256 MPR589827:MPR593256 MZN589827:MZN593256 NJJ589827:NJJ593256 NTF589827:NTF593256 ODB589827:ODB593256 OMX589827:OMX593256 OWT589827:OWT593256 PGP589827:PGP593256 PQL589827:PQL593256 QAH589827:QAH593256 QKD589827:QKD593256 QTZ589827:QTZ593256 RDV589827:RDV593256 RNR589827:RNR593256 RXN589827:RXN593256 SHJ589827:SHJ593256 SRF589827:SRF593256 TBB589827:TBB593256 TKX589827:TKX593256 TUT589827:TUT593256 UEP589827:UEP593256 UOL589827:UOL593256 UYH589827:UYH593256 VID589827:VID593256 VRZ589827:VRZ593256 WBV589827:WBV593256 WLR589827:WLR593256 WVN589827:WVN593256 F655363:F658792 JB655363:JB658792 SX655363:SX658792 ACT655363:ACT658792 AMP655363:AMP658792 AWL655363:AWL658792 BGH655363:BGH658792 BQD655363:BQD658792 BZZ655363:BZZ658792 CJV655363:CJV658792 CTR655363:CTR658792 DDN655363:DDN658792 DNJ655363:DNJ658792 DXF655363:DXF658792 EHB655363:EHB658792 EQX655363:EQX658792 FAT655363:FAT658792 FKP655363:FKP658792 FUL655363:FUL658792 GEH655363:GEH658792 GOD655363:GOD658792 GXZ655363:GXZ658792 HHV655363:HHV658792 HRR655363:HRR658792 IBN655363:IBN658792 ILJ655363:ILJ658792 IVF655363:IVF658792 JFB655363:JFB658792 JOX655363:JOX658792 JYT655363:JYT658792 KIP655363:KIP658792 KSL655363:KSL658792 LCH655363:LCH658792 LMD655363:LMD658792 LVZ655363:LVZ658792 MFV655363:MFV658792 MPR655363:MPR658792 MZN655363:MZN658792 NJJ655363:NJJ658792 NTF655363:NTF658792 ODB655363:ODB658792 OMX655363:OMX658792 OWT655363:OWT658792 PGP655363:PGP658792 PQL655363:PQL658792 QAH655363:QAH658792 QKD655363:QKD658792 QTZ655363:QTZ658792 RDV655363:RDV658792 RNR655363:RNR658792 RXN655363:RXN658792 SHJ655363:SHJ658792 SRF655363:SRF658792 TBB655363:TBB658792 TKX655363:TKX658792 TUT655363:TUT658792 UEP655363:UEP658792 UOL655363:UOL658792 UYH655363:UYH658792 VID655363:VID658792 VRZ655363:VRZ658792 WBV655363:WBV658792 WLR655363:WLR658792 WVN655363:WVN658792 F720899:F724328 JB720899:JB724328 SX720899:SX724328 ACT720899:ACT724328 AMP720899:AMP724328 AWL720899:AWL724328 BGH720899:BGH724328 BQD720899:BQD724328 BZZ720899:BZZ724328 CJV720899:CJV724328 CTR720899:CTR724328 DDN720899:DDN724328 DNJ720899:DNJ724328 DXF720899:DXF724328 EHB720899:EHB724328 EQX720899:EQX724328 FAT720899:FAT724328 FKP720899:FKP724328 FUL720899:FUL724328 GEH720899:GEH724328 GOD720899:GOD724328 GXZ720899:GXZ724328 HHV720899:HHV724328 HRR720899:HRR724328 IBN720899:IBN724328 ILJ720899:ILJ724328 IVF720899:IVF724328 JFB720899:JFB724328 JOX720899:JOX724328 JYT720899:JYT724328 KIP720899:KIP724328 KSL720899:KSL724328 LCH720899:LCH724328 LMD720899:LMD724328 LVZ720899:LVZ724328 MFV720899:MFV724328 MPR720899:MPR724328 MZN720899:MZN724328 NJJ720899:NJJ724328 NTF720899:NTF724328 ODB720899:ODB724328 OMX720899:OMX724328 OWT720899:OWT724328 PGP720899:PGP724328 PQL720899:PQL724328 QAH720899:QAH724328 QKD720899:QKD724328 QTZ720899:QTZ724328 RDV720899:RDV724328 RNR720899:RNR724328 RXN720899:RXN724328 SHJ720899:SHJ724328 SRF720899:SRF724328 TBB720899:TBB724328 TKX720899:TKX724328 TUT720899:TUT724328 UEP720899:UEP724328 UOL720899:UOL724328 UYH720899:UYH724328 VID720899:VID724328 VRZ720899:VRZ724328 WBV720899:WBV724328 WLR720899:WLR724328 WVN720899:WVN724328 F786435:F789864 JB786435:JB789864 SX786435:SX789864 ACT786435:ACT789864 AMP786435:AMP789864 AWL786435:AWL789864 BGH786435:BGH789864 BQD786435:BQD789864 BZZ786435:BZZ789864 CJV786435:CJV789864 CTR786435:CTR789864 DDN786435:DDN789864 DNJ786435:DNJ789864 DXF786435:DXF789864 EHB786435:EHB789864 EQX786435:EQX789864 FAT786435:FAT789864 FKP786435:FKP789864 FUL786435:FUL789864 GEH786435:GEH789864 GOD786435:GOD789864 GXZ786435:GXZ789864 HHV786435:HHV789864 HRR786435:HRR789864 IBN786435:IBN789864 ILJ786435:ILJ789864 IVF786435:IVF789864 JFB786435:JFB789864 JOX786435:JOX789864 JYT786435:JYT789864 KIP786435:KIP789864 KSL786435:KSL789864 LCH786435:LCH789864 LMD786435:LMD789864 LVZ786435:LVZ789864 MFV786435:MFV789864 MPR786435:MPR789864 MZN786435:MZN789864 NJJ786435:NJJ789864 NTF786435:NTF789864 ODB786435:ODB789864 OMX786435:OMX789864 OWT786435:OWT789864 PGP786435:PGP789864 PQL786435:PQL789864 QAH786435:QAH789864 QKD786435:QKD789864 QTZ786435:QTZ789864 RDV786435:RDV789864 RNR786435:RNR789864 RXN786435:RXN789864 SHJ786435:SHJ789864 SRF786435:SRF789864 TBB786435:TBB789864 TKX786435:TKX789864 TUT786435:TUT789864 UEP786435:UEP789864 UOL786435:UOL789864 UYH786435:UYH789864 VID786435:VID789864 VRZ786435:VRZ789864 WBV786435:WBV789864 WLR786435:WLR789864 WVN786435:WVN789864 F851971:F855400 JB851971:JB855400 SX851971:SX855400 ACT851971:ACT855400 AMP851971:AMP855400 AWL851971:AWL855400 BGH851971:BGH855400 BQD851971:BQD855400 BZZ851971:BZZ855400 CJV851971:CJV855400 CTR851971:CTR855400 DDN851971:DDN855400 DNJ851971:DNJ855400 DXF851971:DXF855400 EHB851971:EHB855400 EQX851971:EQX855400 FAT851971:FAT855400 FKP851971:FKP855400 FUL851971:FUL855400 GEH851971:GEH855400 GOD851971:GOD855400 GXZ851971:GXZ855400 HHV851971:HHV855400 HRR851971:HRR855400 IBN851971:IBN855400 ILJ851971:ILJ855400 IVF851971:IVF855400 JFB851971:JFB855400 JOX851971:JOX855400 JYT851971:JYT855400 KIP851971:KIP855400 KSL851971:KSL855400 LCH851971:LCH855400 LMD851971:LMD855400 LVZ851971:LVZ855400 MFV851971:MFV855400 MPR851971:MPR855400 MZN851971:MZN855400 NJJ851971:NJJ855400 NTF851971:NTF855400 ODB851971:ODB855400 OMX851971:OMX855400 OWT851971:OWT855400 PGP851971:PGP855400 PQL851971:PQL855400 QAH851971:QAH855400 QKD851971:QKD855400 QTZ851971:QTZ855400 RDV851971:RDV855400 RNR851971:RNR855400 RXN851971:RXN855400 SHJ851971:SHJ855400 SRF851971:SRF855400 TBB851971:TBB855400 TKX851971:TKX855400 TUT851971:TUT855400 UEP851971:UEP855400 UOL851971:UOL855400 UYH851971:UYH855400 VID851971:VID855400 VRZ851971:VRZ855400 WBV851971:WBV855400 WLR851971:WLR855400 WVN851971:WVN855400 F917507:F920936 JB917507:JB920936 SX917507:SX920936 ACT917507:ACT920936 AMP917507:AMP920936 AWL917507:AWL920936 BGH917507:BGH920936 BQD917507:BQD920936 BZZ917507:BZZ920936 CJV917507:CJV920936 CTR917507:CTR920936 DDN917507:DDN920936 DNJ917507:DNJ920936 DXF917507:DXF920936 EHB917507:EHB920936 EQX917507:EQX920936 FAT917507:FAT920936 FKP917507:FKP920936 FUL917507:FUL920936 GEH917507:GEH920936 GOD917507:GOD920936 GXZ917507:GXZ920936 HHV917507:HHV920936 HRR917507:HRR920936 IBN917507:IBN920936 ILJ917507:ILJ920936 IVF917507:IVF920936 JFB917507:JFB920936 JOX917507:JOX920936 JYT917507:JYT920936 KIP917507:KIP920936 KSL917507:KSL920936 LCH917507:LCH920936 LMD917507:LMD920936 LVZ917507:LVZ920936 MFV917507:MFV920936 MPR917507:MPR920936 MZN917507:MZN920936 NJJ917507:NJJ920936 NTF917507:NTF920936 ODB917507:ODB920936 OMX917507:OMX920936 OWT917507:OWT920936 PGP917507:PGP920936 PQL917507:PQL920936 QAH917507:QAH920936 QKD917507:QKD920936 QTZ917507:QTZ920936 RDV917507:RDV920936 RNR917507:RNR920936 RXN917507:RXN920936 SHJ917507:SHJ920936 SRF917507:SRF920936 TBB917507:TBB920936 TKX917507:TKX920936 TUT917507:TUT920936 UEP917507:UEP920936 UOL917507:UOL920936 UYH917507:UYH920936 VID917507:VID920936 VRZ917507:VRZ920936 WBV917507:WBV920936 WLR917507:WLR920936 WVN917507:WVN920936 F983043:F986472 JB983043:JB986472 SX983043:SX986472 ACT983043:ACT986472 AMP983043:AMP986472 AWL983043:AWL986472 BGH983043:BGH986472 BQD983043:BQD986472 BZZ983043:BZZ986472 CJV983043:CJV986472 CTR983043:CTR986472 DDN983043:DDN986472 DNJ983043:DNJ986472 DXF983043:DXF986472 EHB983043:EHB986472 EQX983043:EQX986472 FAT983043:FAT986472 FKP983043:FKP986472 FUL983043:FUL986472 GEH983043:GEH986472 GOD983043:GOD986472 GXZ983043:GXZ986472 HHV983043:HHV986472 HRR983043:HRR986472 IBN983043:IBN986472 ILJ983043:ILJ986472 IVF983043:IVF986472 JFB983043:JFB986472 JOX983043:JOX986472 JYT983043:JYT986472 KIP983043:KIP986472 KSL983043:KSL986472 LCH983043:LCH986472 LMD983043:LMD986472 LVZ983043:LVZ986472 MFV983043:MFV986472 MPR983043:MPR986472 MZN983043:MZN986472 NJJ983043:NJJ986472 NTF983043:NTF986472 ODB983043:ODB986472 OMX983043:OMX986472 OWT983043:OWT986472 PGP983043:PGP986472 PQL983043:PQL986472 QAH983043:QAH986472 QKD983043:QKD986472 QTZ983043:QTZ986472 RDV983043:RDV986472 RNR983043:RNR986472 RXN983043:RXN986472 SHJ983043:SHJ986472 SRF983043:SRF986472 TBB983043:TBB986472 TKX983043:TKX986472 TUT983043:TUT986472 UEP983043:UEP986472 UOL983043:UOL986472 UYH983043:UYH986472 VID983043:VID986472 VRZ983043:VRZ986472 WBV983043:WBV986472 WLR983043:WLR986472 WVN983043:WVN986472 WVN4:WVN3432 WLR4:WLR3432 WBV4:WBV3432 VRZ4:VRZ3432 VID4:VID3432 UYH4:UYH3432 UOL4:UOL3432 UEP4:UEP3432 TUT4:TUT3432 TKX4:TKX3432 TBB4:TBB3432 SRF4:SRF3432 SHJ4:SHJ3432 RXN4:RXN3432 RNR4:RNR3432 RDV4:RDV3432 QTZ4:QTZ3432 QKD4:QKD3432 QAH4:QAH3432 PQL4:PQL3432 PGP4:PGP3432 OWT4:OWT3432 OMX4:OMX3432 ODB4:ODB3432 NTF4:NTF3432 NJJ4:NJJ3432 MZN4:MZN3432 MPR4:MPR3432 MFV4:MFV3432 LVZ4:LVZ3432 LMD4:LMD3432 LCH4:LCH3432 KSL4:KSL3432 KIP4:KIP3432 JYT4:JYT3432 JOX4:JOX3432 JFB4:JFB3432 IVF4:IVF3432 ILJ4:ILJ3432 IBN4:IBN3432 HRR4:HRR3432 HHV4:HHV3432 GXZ4:GXZ3432 GOD4:GOD3432 GEH4:GEH3432 FUL4:FUL3432 FKP4:FKP3432 FAT4:FAT3432 EQX4:EQX3432 EHB4:EHB3432 DXF4:DXF3432 DNJ4:DNJ3432 DDN4:DDN3432 CTR4:CTR3432 CJV4:CJV3432 BZZ4:BZZ3432 BQD4:BQD3432 BGH4:BGH3432 AWL4:AWL3432 AMP4:AMP3432 ACT4:ACT3432 SX4:SX3432 JB4:JB3432 F4:F3432" xr:uid="{00000000-0002-0000-0100-000000000000}">
      <formula1>"pç,m,R$,"</formula1>
    </dataValidation>
    <dataValidation type="list" allowBlank="1" showInputMessage="1" showErrorMessage="1" sqref="E2439:E2506 JA2439:JA2506 SW2439:SW2506 ACS2439:ACS2506 AMO2439:AMO2506 AWK2439:AWK2506 BGG2439:BGG2506 BQC2439:BQC2506 BZY2439:BZY2506 CJU2439:CJU2506 CTQ2439:CTQ2506 DDM2439:DDM2506 DNI2439:DNI2506 DXE2439:DXE2506 EHA2439:EHA2506 EQW2439:EQW2506 FAS2439:FAS2506 FKO2439:FKO2506 FUK2439:FUK2506 GEG2439:GEG2506 GOC2439:GOC2506 GXY2439:GXY2506 HHU2439:HHU2506 HRQ2439:HRQ2506 IBM2439:IBM2506 ILI2439:ILI2506 IVE2439:IVE2506 JFA2439:JFA2506 JOW2439:JOW2506 JYS2439:JYS2506 KIO2439:KIO2506 KSK2439:KSK2506 LCG2439:LCG2506 LMC2439:LMC2506 LVY2439:LVY2506 MFU2439:MFU2506 MPQ2439:MPQ2506 MZM2439:MZM2506 NJI2439:NJI2506 NTE2439:NTE2506 ODA2439:ODA2506 OMW2439:OMW2506 OWS2439:OWS2506 PGO2439:PGO2506 PQK2439:PQK2506 QAG2439:QAG2506 QKC2439:QKC2506 QTY2439:QTY2506 RDU2439:RDU2506 RNQ2439:RNQ2506 RXM2439:RXM2506 SHI2439:SHI2506 SRE2439:SRE2506 TBA2439:TBA2506 TKW2439:TKW2506 TUS2439:TUS2506 UEO2439:UEO2506 UOK2439:UOK2506 UYG2439:UYG2506 VIC2439:VIC2506 VRY2439:VRY2506 WBU2439:WBU2506 WLQ2439:WLQ2506 WVM2439:WVM2506 E67975:E68042 JA67975:JA68042 SW67975:SW68042 ACS67975:ACS68042 AMO67975:AMO68042 AWK67975:AWK68042 BGG67975:BGG68042 BQC67975:BQC68042 BZY67975:BZY68042 CJU67975:CJU68042 CTQ67975:CTQ68042 DDM67975:DDM68042 DNI67975:DNI68042 DXE67975:DXE68042 EHA67975:EHA68042 EQW67975:EQW68042 FAS67975:FAS68042 FKO67975:FKO68042 FUK67975:FUK68042 GEG67975:GEG68042 GOC67975:GOC68042 GXY67975:GXY68042 HHU67975:HHU68042 HRQ67975:HRQ68042 IBM67975:IBM68042 ILI67975:ILI68042 IVE67975:IVE68042 JFA67975:JFA68042 JOW67975:JOW68042 JYS67975:JYS68042 KIO67975:KIO68042 KSK67975:KSK68042 LCG67975:LCG68042 LMC67975:LMC68042 LVY67975:LVY68042 MFU67975:MFU68042 MPQ67975:MPQ68042 MZM67975:MZM68042 NJI67975:NJI68042 NTE67975:NTE68042 ODA67975:ODA68042 OMW67975:OMW68042 OWS67975:OWS68042 PGO67975:PGO68042 PQK67975:PQK68042 QAG67975:QAG68042 QKC67975:QKC68042 QTY67975:QTY68042 RDU67975:RDU68042 RNQ67975:RNQ68042 RXM67975:RXM68042 SHI67975:SHI68042 SRE67975:SRE68042 TBA67975:TBA68042 TKW67975:TKW68042 TUS67975:TUS68042 UEO67975:UEO68042 UOK67975:UOK68042 UYG67975:UYG68042 VIC67975:VIC68042 VRY67975:VRY68042 WBU67975:WBU68042 WLQ67975:WLQ68042 WVM67975:WVM68042 E133511:E133578 JA133511:JA133578 SW133511:SW133578 ACS133511:ACS133578 AMO133511:AMO133578 AWK133511:AWK133578 BGG133511:BGG133578 BQC133511:BQC133578 BZY133511:BZY133578 CJU133511:CJU133578 CTQ133511:CTQ133578 DDM133511:DDM133578 DNI133511:DNI133578 DXE133511:DXE133578 EHA133511:EHA133578 EQW133511:EQW133578 FAS133511:FAS133578 FKO133511:FKO133578 FUK133511:FUK133578 GEG133511:GEG133578 GOC133511:GOC133578 GXY133511:GXY133578 HHU133511:HHU133578 HRQ133511:HRQ133578 IBM133511:IBM133578 ILI133511:ILI133578 IVE133511:IVE133578 JFA133511:JFA133578 JOW133511:JOW133578 JYS133511:JYS133578 KIO133511:KIO133578 KSK133511:KSK133578 LCG133511:LCG133578 LMC133511:LMC133578 LVY133511:LVY133578 MFU133511:MFU133578 MPQ133511:MPQ133578 MZM133511:MZM133578 NJI133511:NJI133578 NTE133511:NTE133578 ODA133511:ODA133578 OMW133511:OMW133578 OWS133511:OWS133578 PGO133511:PGO133578 PQK133511:PQK133578 QAG133511:QAG133578 QKC133511:QKC133578 QTY133511:QTY133578 RDU133511:RDU133578 RNQ133511:RNQ133578 RXM133511:RXM133578 SHI133511:SHI133578 SRE133511:SRE133578 TBA133511:TBA133578 TKW133511:TKW133578 TUS133511:TUS133578 UEO133511:UEO133578 UOK133511:UOK133578 UYG133511:UYG133578 VIC133511:VIC133578 VRY133511:VRY133578 WBU133511:WBU133578 WLQ133511:WLQ133578 WVM133511:WVM133578 E199047:E199114 JA199047:JA199114 SW199047:SW199114 ACS199047:ACS199114 AMO199047:AMO199114 AWK199047:AWK199114 BGG199047:BGG199114 BQC199047:BQC199114 BZY199047:BZY199114 CJU199047:CJU199114 CTQ199047:CTQ199114 DDM199047:DDM199114 DNI199047:DNI199114 DXE199047:DXE199114 EHA199047:EHA199114 EQW199047:EQW199114 FAS199047:FAS199114 FKO199047:FKO199114 FUK199047:FUK199114 GEG199047:GEG199114 GOC199047:GOC199114 GXY199047:GXY199114 HHU199047:HHU199114 HRQ199047:HRQ199114 IBM199047:IBM199114 ILI199047:ILI199114 IVE199047:IVE199114 JFA199047:JFA199114 JOW199047:JOW199114 JYS199047:JYS199114 KIO199047:KIO199114 KSK199047:KSK199114 LCG199047:LCG199114 LMC199047:LMC199114 LVY199047:LVY199114 MFU199047:MFU199114 MPQ199047:MPQ199114 MZM199047:MZM199114 NJI199047:NJI199114 NTE199047:NTE199114 ODA199047:ODA199114 OMW199047:OMW199114 OWS199047:OWS199114 PGO199047:PGO199114 PQK199047:PQK199114 QAG199047:QAG199114 QKC199047:QKC199114 QTY199047:QTY199114 RDU199047:RDU199114 RNQ199047:RNQ199114 RXM199047:RXM199114 SHI199047:SHI199114 SRE199047:SRE199114 TBA199047:TBA199114 TKW199047:TKW199114 TUS199047:TUS199114 UEO199047:UEO199114 UOK199047:UOK199114 UYG199047:UYG199114 VIC199047:VIC199114 VRY199047:VRY199114 WBU199047:WBU199114 WLQ199047:WLQ199114 WVM199047:WVM199114 E264583:E264650 JA264583:JA264650 SW264583:SW264650 ACS264583:ACS264650 AMO264583:AMO264650 AWK264583:AWK264650 BGG264583:BGG264650 BQC264583:BQC264650 BZY264583:BZY264650 CJU264583:CJU264650 CTQ264583:CTQ264650 DDM264583:DDM264650 DNI264583:DNI264650 DXE264583:DXE264650 EHA264583:EHA264650 EQW264583:EQW264650 FAS264583:FAS264650 FKO264583:FKO264650 FUK264583:FUK264650 GEG264583:GEG264650 GOC264583:GOC264650 GXY264583:GXY264650 HHU264583:HHU264650 HRQ264583:HRQ264650 IBM264583:IBM264650 ILI264583:ILI264650 IVE264583:IVE264650 JFA264583:JFA264650 JOW264583:JOW264650 JYS264583:JYS264650 KIO264583:KIO264650 KSK264583:KSK264650 LCG264583:LCG264650 LMC264583:LMC264650 LVY264583:LVY264650 MFU264583:MFU264650 MPQ264583:MPQ264650 MZM264583:MZM264650 NJI264583:NJI264650 NTE264583:NTE264650 ODA264583:ODA264650 OMW264583:OMW264650 OWS264583:OWS264650 PGO264583:PGO264650 PQK264583:PQK264650 QAG264583:QAG264650 QKC264583:QKC264650 QTY264583:QTY264650 RDU264583:RDU264650 RNQ264583:RNQ264650 RXM264583:RXM264650 SHI264583:SHI264650 SRE264583:SRE264650 TBA264583:TBA264650 TKW264583:TKW264650 TUS264583:TUS264650 UEO264583:UEO264650 UOK264583:UOK264650 UYG264583:UYG264650 VIC264583:VIC264650 VRY264583:VRY264650 WBU264583:WBU264650 WLQ264583:WLQ264650 WVM264583:WVM264650 E330119:E330186 JA330119:JA330186 SW330119:SW330186 ACS330119:ACS330186 AMO330119:AMO330186 AWK330119:AWK330186 BGG330119:BGG330186 BQC330119:BQC330186 BZY330119:BZY330186 CJU330119:CJU330186 CTQ330119:CTQ330186 DDM330119:DDM330186 DNI330119:DNI330186 DXE330119:DXE330186 EHA330119:EHA330186 EQW330119:EQW330186 FAS330119:FAS330186 FKO330119:FKO330186 FUK330119:FUK330186 GEG330119:GEG330186 GOC330119:GOC330186 GXY330119:GXY330186 HHU330119:HHU330186 HRQ330119:HRQ330186 IBM330119:IBM330186 ILI330119:ILI330186 IVE330119:IVE330186 JFA330119:JFA330186 JOW330119:JOW330186 JYS330119:JYS330186 KIO330119:KIO330186 KSK330119:KSK330186 LCG330119:LCG330186 LMC330119:LMC330186 LVY330119:LVY330186 MFU330119:MFU330186 MPQ330119:MPQ330186 MZM330119:MZM330186 NJI330119:NJI330186 NTE330119:NTE330186 ODA330119:ODA330186 OMW330119:OMW330186 OWS330119:OWS330186 PGO330119:PGO330186 PQK330119:PQK330186 QAG330119:QAG330186 QKC330119:QKC330186 QTY330119:QTY330186 RDU330119:RDU330186 RNQ330119:RNQ330186 RXM330119:RXM330186 SHI330119:SHI330186 SRE330119:SRE330186 TBA330119:TBA330186 TKW330119:TKW330186 TUS330119:TUS330186 UEO330119:UEO330186 UOK330119:UOK330186 UYG330119:UYG330186 VIC330119:VIC330186 VRY330119:VRY330186 WBU330119:WBU330186 WLQ330119:WLQ330186 WVM330119:WVM330186 E395655:E395722 JA395655:JA395722 SW395655:SW395722 ACS395655:ACS395722 AMO395655:AMO395722 AWK395655:AWK395722 BGG395655:BGG395722 BQC395655:BQC395722 BZY395655:BZY395722 CJU395655:CJU395722 CTQ395655:CTQ395722 DDM395655:DDM395722 DNI395655:DNI395722 DXE395655:DXE395722 EHA395655:EHA395722 EQW395655:EQW395722 FAS395655:FAS395722 FKO395655:FKO395722 FUK395655:FUK395722 GEG395655:GEG395722 GOC395655:GOC395722 GXY395655:GXY395722 HHU395655:HHU395722 HRQ395655:HRQ395722 IBM395655:IBM395722 ILI395655:ILI395722 IVE395655:IVE395722 JFA395655:JFA395722 JOW395655:JOW395722 JYS395655:JYS395722 KIO395655:KIO395722 KSK395655:KSK395722 LCG395655:LCG395722 LMC395655:LMC395722 LVY395655:LVY395722 MFU395655:MFU395722 MPQ395655:MPQ395722 MZM395655:MZM395722 NJI395655:NJI395722 NTE395655:NTE395722 ODA395655:ODA395722 OMW395655:OMW395722 OWS395655:OWS395722 PGO395655:PGO395722 PQK395655:PQK395722 QAG395655:QAG395722 QKC395655:QKC395722 QTY395655:QTY395722 RDU395655:RDU395722 RNQ395655:RNQ395722 RXM395655:RXM395722 SHI395655:SHI395722 SRE395655:SRE395722 TBA395655:TBA395722 TKW395655:TKW395722 TUS395655:TUS395722 UEO395655:UEO395722 UOK395655:UOK395722 UYG395655:UYG395722 VIC395655:VIC395722 VRY395655:VRY395722 WBU395655:WBU395722 WLQ395655:WLQ395722 WVM395655:WVM395722 E461191:E461258 JA461191:JA461258 SW461191:SW461258 ACS461191:ACS461258 AMO461191:AMO461258 AWK461191:AWK461258 BGG461191:BGG461258 BQC461191:BQC461258 BZY461191:BZY461258 CJU461191:CJU461258 CTQ461191:CTQ461258 DDM461191:DDM461258 DNI461191:DNI461258 DXE461191:DXE461258 EHA461191:EHA461258 EQW461191:EQW461258 FAS461191:FAS461258 FKO461191:FKO461258 FUK461191:FUK461258 GEG461191:GEG461258 GOC461191:GOC461258 GXY461191:GXY461258 HHU461191:HHU461258 HRQ461191:HRQ461258 IBM461191:IBM461258 ILI461191:ILI461258 IVE461191:IVE461258 JFA461191:JFA461258 JOW461191:JOW461258 JYS461191:JYS461258 KIO461191:KIO461258 KSK461191:KSK461258 LCG461191:LCG461258 LMC461191:LMC461258 LVY461191:LVY461258 MFU461191:MFU461258 MPQ461191:MPQ461258 MZM461191:MZM461258 NJI461191:NJI461258 NTE461191:NTE461258 ODA461191:ODA461258 OMW461191:OMW461258 OWS461191:OWS461258 PGO461191:PGO461258 PQK461191:PQK461258 QAG461191:QAG461258 QKC461191:QKC461258 QTY461191:QTY461258 RDU461191:RDU461258 RNQ461191:RNQ461258 RXM461191:RXM461258 SHI461191:SHI461258 SRE461191:SRE461258 TBA461191:TBA461258 TKW461191:TKW461258 TUS461191:TUS461258 UEO461191:UEO461258 UOK461191:UOK461258 UYG461191:UYG461258 VIC461191:VIC461258 VRY461191:VRY461258 WBU461191:WBU461258 WLQ461191:WLQ461258 WVM461191:WVM461258 E526727:E526794 JA526727:JA526794 SW526727:SW526794 ACS526727:ACS526794 AMO526727:AMO526794 AWK526727:AWK526794 BGG526727:BGG526794 BQC526727:BQC526794 BZY526727:BZY526794 CJU526727:CJU526794 CTQ526727:CTQ526794 DDM526727:DDM526794 DNI526727:DNI526794 DXE526727:DXE526794 EHA526727:EHA526794 EQW526727:EQW526794 FAS526727:FAS526794 FKO526727:FKO526794 FUK526727:FUK526794 GEG526727:GEG526794 GOC526727:GOC526794 GXY526727:GXY526794 HHU526727:HHU526794 HRQ526727:HRQ526794 IBM526727:IBM526794 ILI526727:ILI526794 IVE526727:IVE526794 JFA526727:JFA526794 JOW526727:JOW526794 JYS526727:JYS526794 KIO526727:KIO526794 KSK526727:KSK526794 LCG526727:LCG526794 LMC526727:LMC526794 LVY526727:LVY526794 MFU526727:MFU526794 MPQ526727:MPQ526794 MZM526727:MZM526794 NJI526727:NJI526794 NTE526727:NTE526794 ODA526727:ODA526794 OMW526727:OMW526794 OWS526727:OWS526794 PGO526727:PGO526794 PQK526727:PQK526794 QAG526727:QAG526794 QKC526727:QKC526794 QTY526727:QTY526794 RDU526727:RDU526794 RNQ526727:RNQ526794 RXM526727:RXM526794 SHI526727:SHI526794 SRE526727:SRE526794 TBA526727:TBA526794 TKW526727:TKW526794 TUS526727:TUS526794 UEO526727:UEO526794 UOK526727:UOK526794 UYG526727:UYG526794 VIC526727:VIC526794 VRY526727:VRY526794 WBU526727:WBU526794 WLQ526727:WLQ526794 WVM526727:WVM526794 E592263:E592330 JA592263:JA592330 SW592263:SW592330 ACS592263:ACS592330 AMO592263:AMO592330 AWK592263:AWK592330 BGG592263:BGG592330 BQC592263:BQC592330 BZY592263:BZY592330 CJU592263:CJU592330 CTQ592263:CTQ592330 DDM592263:DDM592330 DNI592263:DNI592330 DXE592263:DXE592330 EHA592263:EHA592330 EQW592263:EQW592330 FAS592263:FAS592330 FKO592263:FKO592330 FUK592263:FUK592330 GEG592263:GEG592330 GOC592263:GOC592330 GXY592263:GXY592330 HHU592263:HHU592330 HRQ592263:HRQ592330 IBM592263:IBM592330 ILI592263:ILI592330 IVE592263:IVE592330 JFA592263:JFA592330 JOW592263:JOW592330 JYS592263:JYS592330 KIO592263:KIO592330 KSK592263:KSK592330 LCG592263:LCG592330 LMC592263:LMC592330 LVY592263:LVY592330 MFU592263:MFU592330 MPQ592263:MPQ592330 MZM592263:MZM592330 NJI592263:NJI592330 NTE592263:NTE592330 ODA592263:ODA592330 OMW592263:OMW592330 OWS592263:OWS592330 PGO592263:PGO592330 PQK592263:PQK592330 QAG592263:QAG592330 QKC592263:QKC592330 QTY592263:QTY592330 RDU592263:RDU592330 RNQ592263:RNQ592330 RXM592263:RXM592330 SHI592263:SHI592330 SRE592263:SRE592330 TBA592263:TBA592330 TKW592263:TKW592330 TUS592263:TUS592330 UEO592263:UEO592330 UOK592263:UOK592330 UYG592263:UYG592330 VIC592263:VIC592330 VRY592263:VRY592330 WBU592263:WBU592330 WLQ592263:WLQ592330 WVM592263:WVM592330 E657799:E657866 JA657799:JA657866 SW657799:SW657866 ACS657799:ACS657866 AMO657799:AMO657866 AWK657799:AWK657866 BGG657799:BGG657866 BQC657799:BQC657866 BZY657799:BZY657866 CJU657799:CJU657866 CTQ657799:CTQ657866 DDM657799:DDM657866 DNI657799:DNI657866 DXE657799:DXE657866 EHA657799:EHA657866 EQW657799:EQW657866 FAS657799:FAS657866 FKO657799:FKO657866 FUK657799:FUK657866 GEG657799:GEG657866 GOC657799:GOC657866 GXY657799:GXY657866 HHU657799:HHU657866 HRQ657799:HRQ657866 IBM657799:IBM657866 ILI657799:ILI657866 IVE657799:IVE657866 JFA657799:JFA657866 JOW657799:JOW657866 JYS657799:JYS657866 KIO657799:KIO657866 KSK657799:KSK657866 LCG657799:LCG657866 LMC657799:LMC657866 LVY657799:LVY657866 MFU657799:MFU657866 MPQ657799:MPQ657866 MZM657799:MZM657866 NJI657799:NJI657866 NTE657799:NTE657866 ODA657799:ODA657866 OMW657799:OMW657866 OWS657799:OWS657866 PGO657799:PGO657866 PQK657799:PQK657866 QAG657799:QAG657866 QKC657799:QKC657866 QTY657799:QTY657866 RDU657799:RDU657866 RNQ657799:RNQ657866 RXM657799:RXM657866 SHI657799:SHI657866 SRE657799:SRE657866 TBA657799:TBA657866 TKW657799:TKW657866 TUS657799:TUS657866 UEO657799:UEO657866 UOK657799:UOK657866 UYG657799:UYG657866 VIC657799:VIC657866 VRY657799:VRY657866 WBU657799:WBU657866 WLQ657799:WLQ657866 WVM657799:WVM657866 E723335:E723402 JA723335:JA723402 SW723335:SW723402 ACS723335:ACS723402 AMO723335:AMO723402 AWK723335:AWK723402 BGG723335:BGG723402 BQC723335:BQC723402 BZY723335:BZY723402 CJU723335:CJU723402 CTQ723335:CTQ723402 DDM723335:DDM723402 DNI723335:DNI723402 DXE723335:DXE723402 EHA723335:EHA723402 EQW723335:EQW723402 FAS723335:FAS723402 FKO723335:FKO723402 FUK723335:FUK723402 GEG723335:GEG723402 GOC723335:GOC723402 GXY723335:GXY723402 HHU723335:HHU723402 HRQ723335:HRQ723402 IBM723335:IBM723402 ILI723335:ILI723402 IVE723335:IVE723402 JFA723335:JFA723402 JOW723335:JOW723402 JYS723335:JYS723402 KIO723335:KIO723402 KSK723335:KSK723402 LCG723335:LCG723402 LMC723335:LMC723402 LVY723335:LVY723402 MFU723335:MFU723402 MPQ723335:MPQ723402 MZM723335:MZM723402 NJI723335:NJI723402 NTE723335:NTE723402 ODA723335:ODA723402 OMW723335:OMW723402 OWS723335:OWS723402 PGO723335:PGO723402 PQK723335:PQK723402 QAG723335:QAG723402 QKC723335:QKC723402 QTY723335:QTY723402 RDU723335:RDU723402 RNQ723335:RNQ723402 RXM723335:RXM723402 SHI723335:SHI723402 SRE723335:SRE723402 TBA723335:TBA723402 TKW723335:TKW723402 TUS723335:TUS723402 UEO723335:UEO723402 UOK723335:UOK723402 UYG723335:UYG723402 VIC723335:VIC723402 VRY723335:VRY723402 WBU723335:WBU723402 WLQ723335:WLQ723402 WVM723335:WVM723402 E788871:E788938 JA788871:JA788938 SW788871:SW788938 ACS788871:ACS788938 AMO788871:AMO788938 AWK788871:AWK788938 BGG788871:BGG788938 BQC788871:BQC788938 BZY788871:BZY788938 CJU788871:CJU788938 CTQ788871:CTQ788938 DDM788871:DDM788938 DNI788871:DNI788938 DXE788871:DXE788938 EHA788871:EHA788938 EQW788871:EQW788938 FAS788871:FAS788938 FKO788871:FKO788938 FUK788871:FUK788938 GEG788871:GEG788938 GOC788871:GOC788938 GXY788871:GXY788938 HHU788871:HHU788938 HRQ788871:HRQ788938 IBM788871:IBM788938 ILI788871:ILI788938 IVE788871:IVE788938 JFA788871:JFA788938 JOW788871:JOW788938 JYS788871:JYS788938 KIO788871:KIO788938 KSK788871:KSK788938 LCG788871:LCG788938 LMC788871:LMC788938 LVY788871:LVY788938 MFU788871:MFU788938 MPQ788871:MPQ788938 MZM788871:MZM788938 NJI788871:NJI788938 NTE788871:NTE788938 ODA788871:ODA788938 OMW788871:OMW788938 OWS788871:OWS788938 PGO788871:PGO788938 PQK788871:PQK788938 QAG788871:QAG788938 QKC788871:QKC788938 QTY788871:QTY788938 RDU788871:RDU788938 RNQ788871:RNQ788938 RXM788871:RXM788938 SHI788871:SHI788938 SRE788871:SRE788938 TBA788871:TBA788938 TKW788871:TKW788938 TUS788871:TUS788938 UEO788871:UEO788938 UOK788871:UOK788938 UYG788871:UYG788938 VIC788871:VIC788938 VRY788871:VRY788938 WBU788871:WBU788938 WLQ788871:WLQ788938 WVM788871:WVM788938 E854407:E854474 JA854407:JA854474 SW854407:SW854474 ACS854407:ACS854474 AMO854407:AMO854474 AWK854407:AWK854474 BGG854407:BGG854474 BQC854407:BQC854474 BZY854407:BZY854474 CJU854407:CJU854474 CTQ854407:CTQ854474 DDM854407:DDM854474 DNI854407:DNI854474 DXE854407:DXE854474 EHA854407:EHA854474 EQW854407:EQW854474 FAS854407:FAS854474 FKO854407:FKO854474 FUK854407:FUK854474 GEG854407:GEG854474 GOC854407:GOC854474 GXY854407:GXY854474 HHU854407:HHU854474 HRQ854407:HRQ854474 IBM854407:IBM854474 ILI854407:ILI854474 IVE854407:IVE854474 JFA854407:JFA854474 JOW854407:JOW854474 JYS854407:JYS854474 KIO854407:KIO854474 KSK854407:KSK854474 LCG854407:LCG854474 LMC854407:LMC854474 LVY854407:LVY854474 MFU854407:MFU854474 MPQ854407:MPQ854474 MZM854407:MZM854474 NJI854407:NJI854474 NTE854407:NTE854474 ODA854407:ODA854474 OMW854407:OMW854474 OWS854407:OWS854474 PGO854407:PGO854474 PQK854407:PQK854474 QAG854407:QAG854474 QKC854407:QKC854474 QTY854407:QTY854474 RDU854407:RDU854474 RNQ854407:RNQ854474 RXM854407:RXM854474 SHI854407:SHI854474 SRE854407:SRE854474 TBA854407:TBA854474 TKW854407:TKW854474 TUS854407:TUS854474 UEO854407:UEO854474 UOK854407:UOK854474 UYG854407:UYG854474 VIC854407:VIC854474 VRY854407:VRY854474 WBU854407:WBU854474 WLQ854407:WLQ854474 WVM854407:WVM854474 E919943:E920010 JA919943:JA920010 SW919943:SW920010 ACS919943:ACS920010 AMO919943:AMO920010 AWK919943:AWK920010 BGG919943:BGG920010 BQC919943:BQC920010 BZY919943:BZY920010 CJU919943:CJU920010 CTQ919943:CTQ920010 DDM919943:DDM920010 DNI919943:DNI920010 DXE919943:DXE920010 EHA919943:EHA920010 EQW919943:EQW920010 FAS919943:FAS920010 FKO919943:FKO920010 FUK919943:FUK920010 GEG919943:GEG920010 GOC919943:GOC920010 GXY919943:GXY920010 HHU919943:HHU920010 HRQ919943:HRQ920010 IBM919943:IBM920010 ILI919943:ILI920010 IVE919943:IVE920010 JFA919943:JFA920010 JOW919943:JOW920010 JYS919943:JYS920010 KIO919943:KIO920010 KSK919943:KSK920010 LCG919943:LCG920010 LMC919943:LMC920010 LVY919943:LVY920010 MFU919943:MFU920010 MPQ919943:MPQ920010 MZM919943:MZM920010 NJI919943:NJI920010 NTE919943:NTE920010 ODA919943:ODA920010 OMW919943:OMW920010 OWS919943:OWS920010 PGO919943:PGO920010 PQK919943:PQK920010 QAG919943:QAG920010 QKC919943:QKC920010 QTY919943:QTY920010 RDU919943:RDU920010 RNQ919943:RNQ920010 RXM919943:RXM920010 SHI919943:SHI920010 SRE919943:SRE920010 TBA919943:TBA920010 TKW919943:TKW920010 TUS919943:TUS920010 UEO919943:UEO920010 UOK919943:UOK920010 UYG919943:UYG920010 VIC919943:VIC920010 VRY919943:VRY920010 WBU919943:WBU920010 WLQ919943:WLQ920010 WVM919943:WVM920010 E985479:E985546 JA985479:JA985546 SW985479:SW985546 ACS985479:ACS985546 AMO985479:AMO985546 AWK985479:AWK985546 BGG985479:BGG985546 BQC985479:BQC985546 BZY985479:BZY985546 CJU985479:CJU985546 CTQ985479:CTQ985546 DDM985479:DDM985546 DNI985479:DNI985546 DXE985479:DXE985546 EHA985479:EHA985546 EQW985479:EQW985546 FAS985479:FAS985546 FKO985479:FKO985546 FUK985479:FUK985546 GEG985479:GEG985546 GOC985479:GOC985546 GXY985479:GXY985546 HHU985479:HHU985546 HRQ985479:HRQ985546 IBM985479:IBM985546 ILI985479:ILI985546 IVE985479:IVE985546 JFA985479:JFA985546 JOW985479:JOW985546 JYS985479:JYS985546 KIO985479:KIO985546 KSK985479:KSK985546 LCG985479:LCG985546 LMC985479:LMC985546 LVY985479:LVY985546 MFU985479:MFU985546 MPQ985479:MPQ985546 MZM985479:MZM985546 NJI985479:NJI985546 NTE985479:NTE985546 ODA985479:ODA985546 OMW985479:OMW985546 OWS985479:OWS985546 PGO985479:PGO985546 PQK985479:PQK985546 QAG985479:QAG985546 QKC985479:QKC985546 QTY985479:QTY985546 RDU985479:RDU985546 RNQ985479:RNQ985546 RXM985479:RXM985546 SHI985479:SHI985546 SRE985479:SRE985546 TBA985479:TBA985546 TKW985479:TKW985546 TUS985479:TUS985546 UEO985479:UEO985546 UOK985479:UOK985546 UYG985479:UYG985546 VIC985479:VIC985546 VRY985479:VRY985546 WBU985479:WBU985546 WLQ985479:WLQ985546 WVM985479:WVM985546 E2577:E2644 JA2577:JA2644 SW2577:SW2644 ACS2577:ACS2644 AMO2577:AMO2644 AWK2577:AWK2644 BGG2577:BGG2644 BQC2577:BQC2644 BZY2577:BZY2644 CJU2577:CJU2644 CTQ2577:CTQ2644 DDM2577:DDM2644 DNI2577:DNI2644 DXE2577:DXE2644 EHA2577:EHA2644 EQW2577:EQW2644 FAS2577:FAS2644 FKO2577:FKO2644 FUK2577:FUK2644 GEG2577:GEG2644 GOC2577:GOC2644 GXY2577:GXY2644 HHU2577:HHU2644 HRQ2577:HRQ2644 IBM2577:IBM2644 ILI2577:ILI2644 IVE2577:IVE2644 JFA2577:JFA2644 JOW2577:JOW2644 JYS2577:JYS2644 KIO2577:KIO2644 KSK2577:KSK2644 LCG2577:LCG2644 LMC2577:LMC2644 LVY2577:LVY2644 MFU2577:MFU2644 MPQ2577:MPQ2644 MZM2577:MZM2644 NJI2577:NJI2644 NTE2577:NTE2644 ODA2577:ODA2644 OMW2577:OMW2644 OWS2577:OWS2644 PGO2577:PGO2644 PQK2577:PQK2644 QAG2577:QAG2644 QKC2577:QKC2644 QTY2577:QTY2644 RDU2577:RDU2644 RNQ2577:RNQ2644 RXM2577:RXM2644 SHI2577:SHI2644 SRE2577:SRE2644 TBA2577:TBA2644 TKW2577:TKW2644 TUS2577:TUS2644 UEO2577:UEO2644 UOK2577:UOK2644 UYG2577:UYG2644 VIC2577:VIC2644 VRY2577:VRY2644 WBU2577:WBU2644 WLQ2577:WLQ2644 WVM2577:WVM2644 E68113:E68180 JA68113:JA68180 SW68113:SW68180 ACS68113:ACS68180 AMO68113:AMO68180 AWK68113:AWK68180 BGG68113:BGG68180 BQC68113:BQC68180 BZY68113:BZY68180 CJU68113:CJU68180 CTQ68113:CTQ68180 DDM68113:DDM68180 DNI68113:DNI68180 DXE68113:DXE68180 EHA68113:EHA68180 EQW68113:EQW68180 FAS68113:FAS68180 FKO68113:FKO68180 FUK68113:FUK68180 GEG68113:GEG68180 GOC68113:GOC68180 GXY68113:GXY68180 HHU68113:HHU68180 HRQ68113:HRQ68180 IBM68113:IBM68180 ILI68113:ILI68180 IVE68113:IVE68180 JFA68113:JFA68180 JOW68113:JOW68180 JYS68113:JYS68180 KIO68113:KIO68180 KSK68113:KSK68180 LCG68113:LCG68180 LMC68113:LMC68180 LVY68113:LVY68180 MFU68113:MFU68180 MPQ68113:MPQ68180 MZM68113:MZM68180 NJI68113:NJI68180 NTE68113:NTE68180 ODA68113:ODA68180 OMW68113:OMW68180 OWS68113:OWS68180 PGO68113:PGO68180 PQK68113:PQK68180 QAG68113:QAG68180 QKC68113:QKC68180 QTY68113:QTY68180 RDU68113:RDU68180 RNQ68113:RNQ68180 RXM68113:RXM68180 SHI68113:SHI68180 SRE68113:SRE68180 TBA68113:TBA68180 TKW68113:TKW68180 TUS68113:TUS68180 UEO68113:UEO68180 UOK68113:UOK68180 UYG68113:UYG68180 VIC68113:VIC68180 VRY68113:VRY68180 WBU68113:WBU68180 WLQ68113:WLQ68180 WVM68113:WVM68180 E133649:E133716 JA133649:JA133716 SW133649:SW133716 ACS133649:ACS133716 AMO133649:AMO133716 AWK133649:AWK133716 BGG133649:BGG133716 BQC133649:BQC133716 BZY133649:BZY133716 CJU133649:CJU133716 CTQ133649:CTQ133716 DDM133649:DDM133716 DNI133649:DNI133716 DXE133649:DXE133716 EHA133649:EHA133716 EQW133649:EQW133716 FAS133649:FAS133716 FKO133649:FKO133716 FUK133649:FUK133716 GEG133649:GEG133716 GOC133649:GOC133716 GXY133649:GXY133716 HHU133649:HHU133716 HRQ133649:HRQ133716 IBM133649:IBM133716 ILI133649:ILI133716 IVE133649:IVE133716 JFA133649:JFA133716 JOW133649:JOW133716 JYS133649:JYS133716 KIO133649:KIO133716 KSK133649:KSK133716 LCG133649:LCG133716 LMC133649:LMC133716 LVY133649:LVY133716 MFU133649:MFU133716 MPQ133649:MPQ133716 MZM133649:MZM133716 NJI133649:NJI133716 NTE133649:NTE133716 ODA133649:ODA133716 OMW133649:OMW133716 OWS133649:OWS133716 PGO133649:PGO133716 PQK133649:PQK133716 QAG133649:QAG133716 QKC133649:QKC133716 QTY133649:QTY133716 RDU133649:RDU133716 RNQ133649:RNQ133716 RXM133649:RXM133716 SHI133649:SHI133716 SRE133649:SRE133716 TBA133649:TBA133716 TKW133649:TKW133716 TUS133649:TUS133716 UEO133649:UEO133716 UOK133649:UOK133716 UYG133649:UYG133716 VIC133649:VIC133716 VRY133649:VRY133716 WBU133649:WBU133716 WLQ133649:WLQ133716 WVM133649:WVM133716 E199185:E199252 JA199185:JA199252 SW199185:SW199252 ACS199185:ACS199252 AMO199185:AMO199252 AWK199185:AWK199252 BGG199185:BGG199252 BQC199185:BQC199252 BZY199185:BZY199252 CJU199185:CJU199252 CTQ199185:CTQ199252 DDM199185:DDM199252 DNI199185:DNI199252 DXE199185:DXE199252 EHA199185:EHA199252 EQW199185:EQW199252 FAS199185:FAS199252 FKO199185:FKO199252 FUK199185:FUK199252 GEG199185:GEG199252 GOC199185:GOC199252 GXY199185:GXY199252 HHU199185:HHU199252 HRQ199185:HRQ199252 IBM199185:IBM199252 ILI199185:ILI199252 IVE199185:IVE199252 JFA199185:JFA199252 JOW199185:JOW199252 JYS199185:JYS199252 KIO199185:KIO199252 KSK199185:KSK199252 LCG199185:LCG199252 LMC199185:LMC199252 LVY199185:LVY199252 MFU199185:MFU199252 MPQ199185:MPQ199252 MZM199185:MZM199252 NJI199185:NJI199252 NTE199185:NTE199252 ODA199185:ODA199252 OMW199185:OMW199252 OWS199185:OWS199252 PGO199185:PGO199252 PQK199185:PQK199252 QAG199185:QAG199252 QKC199185:QKC199252 QTY199185:QTY199252 RDU199185:RDU199252 RNQ199185:RNQ199252 RXM199185:RXM199252 SHI199185:SHI199252 SRE199185:SRE199252 TBA199185:TBA199252 TKW199185:TKW199252 TUS199185:TUS199252 UEO199185:UEO199252 UOK199185:UOK199252 UYG199185:UYG199252 VIC199185:VIC199252 VRY199185:VRY199252 WBU199185:WBU199252 WLQ199185:WLQ199252 WVM199185:WVM199252 E264721:E264788 JA264721:JA264788 SW264721:SW264788 ACS264721:ACS264788 AMO264721:AMO264788 AWK264721:AWK264788 BGG264721:BGG264788 BQC264721:BQC264788 BZY264721:BZY264788 CJU264721:CJU264788 CTQ264721:CTQ264788 DDM264721:DDM264788 DNI264721:DNI264788 DXE264721:DXE264788 EHA264721:EHA264788 EQW264721:EQW264788 FAS264721:FAS264788 FKO264721:FKO264788 FUK264721:FUK264788 GEG264721:GEG264788 GOC264721:GOC264788 GXY264721:GXY264788 HHU264721:HHU264788 HRQ264721:HRQ264788 IBM264721:IBM264788 ILI264721:ILI264788 IVE264721:IVE264788 JFA264721:JFA264788 JOW264721:JOW264788 JYS264721:JYS264788 KIO264721:KIO264788 KSK264721:KSK264788 LCG264721:LCG264788 LMC264721:LMC264788 LVY264721:LVY264788 MFU264721:MFU264788 MPQ264721:MPQ264788 MZM264721:MZM264788 NJI264721:NJI264788 NTE264721:NTE264788 ODA264721:ODA264788 OMW264721:OMW264788 OWS264721:OWS264788 PGO264721:PGO264788 PQK264721:PQK264788 QAG264721:QAG264788 QKC264721:QKC264788 QTY264721:QTY264788 RDU264721:RDU264788 RNQ264721:RNQ264788 RXM264721:RXM264788 SHI264721:SHI264788 SRE264721:SRE264788 TBA264721:TBA264788 TKW264721:TKW264788 TUS264721:TUS264788 UEO264721:UEO264788 UOK264721:UOK264788 UYG264721:UYG264788 VIC264721:VIC264788 VRY264721:VRY264788 WBU264721:WBU264788 WLQ264721:WLQ264788 WVM264721:WVM264788 E330257:E330324 JA330257:JA330324 SW330257:SW330324 ACS330257:ACS330324 AMO330257:AMO330324 AWK330257:AWK330324 BGG330257:BGG330324 BQC330257:BQC330324 BZY330257:BZY330324 CJU330257:CJU330324 CTQ330257:CTQ330324 DDM330257:DDM330324 DNI330257:DNI330324 DXE330257:DXE330324 EHA330257:EHA330324 EQW330257:EQW330324 FAS330257:FAS330324 FKO330257:FKO330324 FUK330257:FUK330324 GEG330257:GEG330324 GOC330257:GOC330324 GXY330257:GXY330324 HHU330257:HHU330324 HRQ330257:HRQ330324 IBM330257:IBM330324 ILI330257:ILI330324 IVE330257:IVE330324 JFA330257:JFA330324 JOW330257:JOW330324 JYS330257:JYS330324 KIO330257:KIO330324 KSK330257:KSK330324 LCG330257:LCG330324 LMC330257:LMC330324 LVY330257:LVY330324 MFU330257:MFU330324 MPQ330257:MPQ330324 MZM330257:MZM330324 NJI330257:NJI330324 NTE330257:NTE330324 ODA330257:ODA330324 OMW330257:OMW330324 OWS330257:OWS330324 PGO330257:PGO330324 PQK330257:PQK330324 QAG330257:QAG330324 QKC330257:QKC330324 QTY330257:QTY330324 RDU330257:RDU330324 RNQ330257:RNQ330324 RXM330257:RXM330324 SHI330257:SHI330324 SRE330257:SRE330324 TBA330257:TBA330324 TKW330257:TKW330324 TUS330257:TUS330324 UEO330257:UEO330324 UOK330257:UOK330324 UYG330257:UYG330324 VIC330257:VIC330324 VRY330257:VRY330324 WBU330257:WBU330324 WLQ330257:WLQ330324 WVM330257:WVM330324 E395793:E395860 JA395793:JA395860 SW395793:SW395860 ACS395793:ACS395860 AMO395793:AMO395860 AWK395793:AWK395860 BGG395793:BGG395860 BQC395793:BQC395860 BZY395793:BZY395860 CJU395793:CJU395860 CTQ395793:CTQ395860 DDM395793:DDM395860 DNI395793:DNI395860 DXE395793:DXE395860 EHA395793:EHA395860 EQW395793:EQW395860 FAS395793:FAS395860 FKO395793:FKO395860 FUK395793:FUK395860 GEG395793:GEG395860 GOC395793:GOC395860 GXY395793:GXY395860 HHU395793:HHU395860 HRQ395793:HRQ395860 IBM395793:IBM395860 ILI395793:ILI395860 IVE395793:IVE395860 JFA395793:JFA395860 JOW395793:JOW395860 JYS395793:JYS395860 KIO395793:KIO395860 KSK395793:KSK395860 LCG395793:LCG395860 LMC395793:LMC395860 LVY395793:LVY395860 MFU395793:MFU395860 MPQ395793:MPQ395860 MZM395793:MZM395860 NJI395793:NJI395860 NTE395793:NTE395860 ODA395793:ODA395860 OMW395793:OMW395860 OWS395793:OWS395860 PGO395793:PGO395860 PQK395793:PQK395860 QAG395793:QAG395860 QKC395793:QKC395860 QTY395793:QTY395860 RDU395793:RDU395860 RNQ395793:RNQ395860 RXM395793:RXM395860 SHI395793:SHI395860 SRE395793:SRE395860 TBA395793:TBA395860 TKW395793:TKW395860 TUS395793:TUS395860 UEO395793:UEO395860 UOK395793:UOK395860 UYG395793:UYG395860 VIC395793:VIC395860 VRY395793:VRY395860 WBU395793:WBU395860 WLQ395793:WLQ395860 WVM395793:WVM395860 E461329:E461396 JA461329:JA461396 SW461329:SW461396 ACS461329:ACS461396 AMO461329:AMO461396 AWK461329:AWK461396 BGG461329:BGG461396 BQC461329:BQC461396 BZY461329:BZY461396 CJU461329:CJU461396 CTQ461329:CTQ461396 DDM461329:DDM461396 DNI461329:DNI461396 DXE461329:DXE461396 EHA461329:EHA461396 EQW461329:EQW461396 FAS461329:FAS461396 FKO461329:FKO461396 FUK461329:FUK461396 GEG461329:GEG461396 GOC461329:GOC461396 GXY461329:GXY461396 HHU461329:HHU461396 HRQ461329:HRQ461396 IBM461329:IBM461396 ILI461329:ILI461396 IVE461329:IVE461396 JFA461329:JFA461396 JOW461329:JOW461396 JYS461329:JYS461396 KIO461329:KIO461396 KSK461329:KSK461396 LCG461329:LCG461396 LMC461329:LMC461396 LVY461329:LVY461396 MFU461329:MFU461396 MPQ461329:MPQ461396 MZM461329:MZM461396 NJI461329:NJI461396 NTE461329:NTE461396 ODA461329:ODA461396 OMW461329:OMW461396 OWS461329:OWS461396 PGO461329:PGO461396 PQK461329:PQK461396 QAG461329:QAG461396 QKC461329:QKC461396 QTY461329:QTY461396 RDU461329:RDU461396 RNQ461329:RNQ461396 RXM461329:RXM461396 SHI461329:SHI461396 SRE461329:SRE461396 TBA461329:TBA461396 TKW461329:TKW461396 TUS461329:TUS461396 UEO461329:UEO461396 UOK461329:UOK461396 UYG461329:UYG461396 VIC461329:VIC461396 VRY461329:VRY461396 WBU461329:WBU461396 WLQ461329:WLQ461396 WVM461329:WVM461396 E526865:E526932 JA526865:JA526932 SW526865:SW526932 ACS526865:ACS526932 AMO526865:AMO526932 AWK526865:AWK526932 BGG526865:BGG526932 BQC526865:BQC526932 BZY526865:BZY526932 CJU526865:CJU526932 CTQ526865:CTQ526932 DDM526865:DDM526932 DNI526865:DNI526932 DXE526865:DXE526932 EHA526865:EHA526932 EQW526865:EQW526932 FAS526865:FAS526932 FKO526865:FKO526932 FUK526865:FUK526932 GEG526865:GEG526932 GOC526865:GOC526932 GXY526865:GXY526932 HHU526865:HHU526932 HRQ526865:HRQ526932 IBM526865:IBM526932 ILI526865:ILI526932 IVE526865:IVE526932 JFA526865:JFA526932 JOW526865:JOW526932 JYS526865:JYS526932 KIO526865:KIO526932 KSK526865:KSK526932 LCG526865:LCG526932 LMC526865:LMC526932 LVY526865:LVY526932 MFU526865:MFU526932 MPQ526865:MPQ526932 MZM526865:MZM526932 NJI526865:NJI526932 NTE526865:NTE526932 ODA526865:ODA526932 OMW526865:OMW526932 OWS526865:OWS526932 PGO526865:PGO526932 PQK526865:PQK526932 QAG526865:QAG526932 QKC526865:QKC526932 QTY526865:QTY526932 RDU526865:RDU526932 RNQ526865:RNQ526932 RXM526865:RXM526932 SHI526865:SHI526932 SRE526865:SRE526932 TBA526865:TBA526932 TKW526865:TKW526932 TUS526865:TUS526932 UEO526865:UEO526932 UOK526865:UOK526932 UYG526865:UYG526932 VIC526865:VIC526932 VRY526865:VRY526932 WBU526865:WBU526932 WLQ526865:WLQ526932 WVM526865:WVM526932 E592401:E592468 JA592401:JA592468 SW592401:SW592468 ACS592401:ACS592468 AMO592401:AMO592468 AWK592401:AWK592468 BGG592401:BGG592468 BQC592401:BQC592468 BZY592401:BZY592468 CJU592401:CJU592468 CTQ592401:CTQ592468 DDM592401:DDM592468 DNI592401:DNI592468 DXE592401:DXE592468 EHA592401:EHA592468 EQW592401:EQW592468 FAS592401:FAS592468 FKO592401:FKO592468 FUK592401:FUK592468 GEG592401:GEG592468 GOC592401:GOC592468 GXY592401:GXY592468 HHU592401:HHU592468 HRQ592401:HRQ592468 IBM592401:IBM592468 ILI592401:ILI592468 IVE592401:IVE592468 JFA592401:JFA592468 JOW592401:JOW592468 JYS592401:JYS592468 KIO592401:KIO592468 KSK592401:KSK592468 LCG592401:LCG592468 LMC592401:LMC592468 LVY592401:LVY592468 MFU592401:MFU592468 MPQ592401:MPQ592468 MZM592401:MZM592468 NJI592401:NJI592468 NTE592401:NTE592468 ODA592401:ODA592468 OMW592401:OMW592468 OWS592401:OWS592468 PGO592401:PGO592468 PQK592401:PQK592468 QAG592401:QAG592468 QKC592401:QKC592468 QTY592401:QTY592468 RDU592401:RDU592468 RNQ592401:RNQ592468 RXM592401:RXM592468 SHI592401:SHI592468 SRE592401:SRE592468 TBA592401:TBA592468 TKW592401:TKW592468 TUS592401:TUS592468 UEO592401:UEO592468 UOK592401:UOK592468 UYG592401:UYG592468 VIC592401:VIC592468 VRY592401:VRY592468 WBU592401:WBU592468 WLQ592401:WLQ592468 WVM592401:WVM592468 E657937:E658004 JA657937:JA658004 SW657937:SW658004 ACS657937:ACS658004 AMO657937:AMO658004 AWK657937:AWK658004 BGG657937:BGG658004 BQC657937:BQC658004 BZY657937:BZY658004 CJU657937:CJU658004 CTQ657937:CTQ658004 DDM657937:DDM658004 DNI657937:DNI658004 DXE657937:DXE658004 EHA657937:EHA658004 EQW657937:EQW658004 FAS657937:FAS658004 FKO657937:FKO658004 FUK657937:FUK658004 GEG657937:GEG658004 GOC657937:GOC658004 GXY657937:GXY658004 HHU657937:HHU658004 HRQ657937:HRQ658004 IBM657937:IBM658004 ILI657937:ILI658004 IVE657937:IVE658004 JFA657937:JFA658004 JOW657937:JOW658004 JYS657937:JYS658004 KIO657937:KIO658004 KSK657937:KSK658004 LCG657937:LCG658004 LMC657937:LMC658004 LVY657937:LVY658004 MFU657937:MFU658004 MPQ657937:MPQ658004 MZM657937:MZM658004 NJI657937:NJI658004 NTE657937:NTE658004 ODA657937:ODA658004 OMW657937:OMW658004 OWS657937:OWS658004 PGO657937:PGO658004 PQK657937:PQK658004 QAG657937:QAG658004 QKC657937:QKC658004 QTY657937:QTY658004 RDU657937:RDU658004 RNQ657937:RNQ658004 RXM657937:RXM658004 SHI657937:SHI658004 SRE657937:SRE658004 TBA657937:TBA658004 TKW657937:TKW658004 TUS657937:TUS658004 UEO657937:UEO658004 UOK657937:UOK658004 UYG657937:UYG658004 VIC657937:VIC658004 VRY657937:VRY658004 WBU657937:WBU658004 WLQ657937:WLQ658004 WVM657937:WVM658004 E723473:E723540 JA723473:JA723540 SW723473:SW723540 ACS723473:ACS723540 AMO723473:AMO723540 AWK723473:AWK723540 BGG723473:BGG723540 BQC723473:BQC723540 BZY723473:BZY723540 CJU723473:CJU723540 CTQ723473:CTQ723540 DDM723473:DDM723540 DNI723473:DNI723540 DXE723473:DXE723540 EHA723473:EHA723540 EQW723473:EQW723540 FAS723473:FAS723540 FKO723473:FKO723540 FUK723473:FUK723540 GEG723473:GEG723540 GOC723473:GOC723540 GXY723473:GXY723540 HHU723473:HHU723540 HRQ723473:HRQ723540 IBM723473:IBM723540 ILI723473:ILI723540 IVE723473:IVE723540 JFA723473:JFA723540 JOW723473:JOW723540 JYS723473:JYS723540 KIO723473:KIO723540 KSK723473:KSK723540 LCG723473:LCG723540 LMC723473:LMC723540 LVY723473:LVY723540 MFU723473:MFU723540 MPQ723473:MPQ723540 MZM723473:MZM723540 NJI723473:NJI723540 NTE723473:NTE723540 ODA723473:ODA723540 OMW723473:OMW723540 OWS723473:OWS723540 PGO723473:PGO723540 PQK723473:PQK723540 QAG723473:QAG723540 QKC723473:QKC723540 QTY723473:QTY723540 RDU723473:RDU723540 RNQ723473:RNQ723540 RXM723473:RXM723540 SHI723473:SHI723540 SRE723473:SRE723540 TBA723473:TBA723540 TKW723473:TKW723540 TUS723473:TUS723540 UEO723473:UEO723540 UOK723473:UOK723540 UYG723473:UYG723540 VIC723473:VIC723540 VRY723473:VRY723540 WBU723473:WBU723540 WLQ723473:WLQ723540 WVM723473:WVM723540 E789009:E789076 JA789009:JA789076 SW789009:SW789076 ACS789009:ACS789076 AMO789009:AMO789076 AWK789009:AWK789076 BGG789009:BGG789076 BQC789009:BQC789076 BZY789009:BZY789076 CJU789009:CJU789076 CTQ789009:CTQ789076 DDM789009:DDM789076 DNI789009:DNI789076 DXE789009:DXE789076 EHA789009:EHA789076 EQW789009:EQW789076 FAS789009:FAS789076 FKO789009:FKO789076 FUK789009:FUK789076 GEG789009:GEG789076 GOC789009:GOC789076 GXY789009:GXY789076 HHU789009:HHU789076 HRQ789009:HRQ789076 IBM789009:IBM789076 ILI789009:ILI789076 IVE789009:IVE789076 JFA789009:JFA789076 JOW789009:JOW789076 JYS789009:JYS789076 KIO789009:KIO789076 KSK789009:KSK789076 LCG789009:LCG789076 LMC789009:LMC789076 LVY789009:LVY789076 MFU789009:MFU789076 MPQ789009:MPQ789076 MZM789009:MZM789076 NJI789009:NJI789076 NTE789009:NTE789076 ODA789009:ODA789076 OMW789009:OMW789076 OWS789009:OWS789076 PGO789009:PGO789076 PQK789009:PQK789076 QAG789009:QAG789076 QKC789009:QKC789076 QTY789009:QTY789076 RDU789009:RDU789076 RNQ789009:RNQ789076 RXM789009:RXM789076 SHI789009:SHI789076 SRE789009:SRE789076 TBA789009:TBA789076 TKW789009:TKW789076 TUS789009:TUS789076 UEO789009:UEO789076 UOK789009:UOK789076 UYG789009:UYG789076 VIC789009:VIC789076 VRY789009:VRY789076 WBU789009:WBU789076 WLQ789009:WLQ789076 WVM789009:WVM789076 E854545:E854612 JA854545:JA854612 SW854545:SW854612 ACS854545:ACS854612 AMO854545:AMO854612 AWK854545:AWK854612 BGG854545:BGG854612 BQC854545:BQC854612 BZY854545:BZY854612 CJU854545:CJU854612 CTQ854545:CTQ854612 DDM854545:DDM854612 DNI854545:DNI854612 DXE854545:DXE854612 EHA854545:EHA854612 EQW854545:EQW854612 FAS854545:FAS854612 FKO854545:FKO854612 FUK854545:FUK854612 GEG854545:GEG854612 GOC854545:GOC854612 GXY854545:GXY854612 HHU854545:HHU854612 HRQ854545:HRQ854612 IBM854545:IBM854612 ILI854545:ILI854612 IVE854545:IVE854612 JFA854545:JFA854612 JOW854545:JOW854612 JYS854545:JYS854612 KIO854545:KIO854612 KSK854545:KSK854612 LCG854545:LCG854612 LMC854545:LMC854612 LVY854545:LVY854612 MFU854545:MFU854612 MPQ854545:MPQ854612 MZM854545:MZM854612 NJI854545:NJI854612 NTE854545:NTE854612 ODA854545:ODA854612 OMW854545:OMW854612 OWS854545:OWS854612 PGO854545:PGO854612 PQK854545:PQK854612 QAG854545:QAG854612 QKC854545:QKC854612 QTY854545:QTY854612 RDU854545:RDU854612 RNQ854545:RNQ854612 RXM854545:RXM854612 SHI854545:SHI854612 SRE854545:SRE854612 TBA854545:TBA854612 TKW854545:TKW854612 TUS854545:TUS854612 UEO854545:UEO854612 UOK854545:UOK854612 UYG854545:UYG854612 VIC854545:VIC854612 VRY854545:VRY854612 WBU854545:WBU854612 WLQ854545:WLQ854612 WVM854545:WVM854612 E920081:E920148 JA920081:JA920148 SW920081:SW920148 ACS920081:ACS920148 AMO920081:AMO920148 AWK920081:AWK920148 BGG920081:BGG920148 BQC920081:BQC920148 BZY920081:BZY920148 CJU920081:CJU920148 CTQ920081:CTQ920148 DDM920081:DDM920148 DNI920081:DNI920148 DXE920081:DXE920148 EHA920081:EHA920148 EQW920081:EQW920148 FAS920081:FAS920148 FKO920081:FKO920148 FUK920081:FUK920148 GEG920081:GEG920148 GOC920081:GOC920148 GXY920081:GXY920148 HHU920081:HHU920148 HRQ920081:HRQ920148 IBM920081:IBM920148 ILI920081:ILI920148 IVE920081:IVE920148 JFA920081:JFA920148 JOW920081:JOW920148 JYS920081:JYS920148 KIO920081:KIO920148 KSK920081:KSK920148 LCG920081:LCG920148 LMC920081:LMC920148 LVY920081:LVY920148 MFU920081:MFU920148 MPQ920081:MPQ920148 MZM920081:MZM920148 NJI920081:NJI920148 NTE920081:NTE920148 ODA920081:ODA920148 OMW920081:OMW920148 OWS920081:OWS920148 PGO920081:PGO920148 PQK920081:PQK920148 QAG920081:QAG920148 QKC920081:QKC920148 QTY920081:QTY920148 RDU920081:RDU920148 RNQ920081:RNQ920148 RXM920081:RXM920148 SHI920081:SHI920148 SRE920081:SRE920148 TBA920081:TBA920148 TKW920081:TKW920148 TUS920081:TUS920148 UEO920081:UEO920148 UOK920081:UOK920148 UYG920081:UYG920148 VIC920081:VIC920148 VRY920081:VRY920148 WBU920081:WBU920148 WLQ920081:WLQ920148 WVM920081:WVM920148 E985617:E985684 JA985617:JA985684 SW985617:SW985684 ACS985617:ACS985684 AMO985617:AMO985684 AWK985617:AWK985684 BGG985617:BGG985684 BQC985617:BQC985684 BZY985617:BZY985684 CJU985617:CJU985684 CTQ985617:CTQ985684 DDM985617:DDM985684 DNI985617:DNI985684 DXE985617:DXE985684 EHA985617:EHA985684 EQW985617:EQW985684 FAS985617:FAS985684 FKO985617:FKO985684 FUK985617:FUK985684 GEG985617:GEG985684 GOC985617:GOC985684 GXY985617:GXY985684 HHU985617:HHU985684 HRQ985617:HRQ985684 IBM985617:IBM985684 ILI985617:ILI985684 IVE985617:IVE985684 JFA985617:JFA985684 JOW985617:JOW985684 JYS985617:JYS985684 KIO985617:KIO985684 KSK985617:KSK985684 LCG985617:LCG985684 LMC985617:LMC985684 LVY985617:LVY985684 MFU985617:MFU985684 MPQ985617:MPQ985684 MZM985617:MZM985684 NJI985617:NJI985684 NTE985617:NTE985684 ODA985617:ODA985684 OMW985617:OMW985684 OWS985617:OWS985684 PGO985617:PGO985684 PQK985617:PQK985684 QAG985617:QAG985684 QKC985617:QKC985684 QTY985617:QTY985684 RDU985617:RDU985684 RNQ985617:RNQ985684 RXM985617:RXM985684 SHI985617:SHI985684 SRE985617:SRE985684 TBA985617:TBA985684 TKW985617:TKW985684 TUS985617:TUS985684 UEO985617:UEO985684 UOK985617:UOK985684 UYG985617:UYG985684 VIC985617:VIC985684 VRY985617:VRY985684 WBU985617:WBU985684 WLQ985617:WLQ985684 WVM985617:WVM985684 E2508:E2575 JA2508:JA2575 SW2508:SW2575 ACS2508:ACS2575 AMO2508:AMO2575 AWK2508:AWK2575 BGG2508:BGG2575 BQC2508:BQC2575 BZY2508:BZY2575 CJU2508:CJU2575 CTQ2508:CTQ2575 DDM2508:DDM2575 DNI2508:DNI2575 DXE2508:DXE2575 EHA2508:EHA2575 EQW2508:EQW2575 FAS2508:FAS2575 FKO2508:FKO2575 FUK2508:FUK2575 GEG2508:GEG2575 GOC2508:GOC2575 GXY2508:GXY2575 HHU2508:HHU2575 HRQ2508:HRQ2575 IBM2508:IBM2575 ILI2508:ILI2575 IVE2508:IVE2575 JFA2508:JFA2575 JOW2508:JOW2575 JYS2508:JYS2575 KIO2508:KIO2575 KSK2508:KSK2575 LCG2508:LCG2575 LMC2508:LMC2575 LVY2508:LVY2575 MFU2508:MFU2575 MPQ2508:MPQ2575 MZM2508:MZM2575 NJI2508:NJI2575 NTE2508:NTE2575 ODA2508:ODA2575 OMW2508:OMW2575 OWS2508:OWS2575 PGO2508:PGO2575 PQK2508:PQK2575 QAG2508:QAG2575 QKC2508:QKC2575 QTY2508:QTY2575 RDU2508:RDU2575 RNQ2508:RNQ2575 RXM2508:RXM2575 SHI2508:SHI2575 SRE2508:SRE2575 TBA2508:TBA2575 TKW2508:TKW2575 TUS2508:TUS2575 UEO2508:UEO2575 UOK2508:UOK2575 UYG2508:UYG2575 VIC2508:VIC2575 VRY2508:VRY2575 WBU2508:WBU2575 WLQ2508:WLQ2575 WVM2508:WVM2575 E68044:E68111 JA68044:JA68111 SW68044:SW68111 ACS68044:ACS68111 AMO68044:AMO68111 AWK68044:AWK68111 BGG68044:BGG68111 BQC68044:BQC68111 BZY68044:BZY68111 CJU68044:CJU68111 CTQ68044:CTQ68111 DDM68044:DDM68111 DNI68044:DNI68111 DXE68044:DXE68111 EHA68044:EHA68111 EQW68044:EQW68111 FAS68044:FAS68111 FKO68044:FKO68111 FUK68044:FUK68111 GEG68044:GEG68111 GOC68044:GOC68111 GXY68044:GXY68111 HHU68044:HHU68111 HRQ68044:HRQ68111 IBM68044:IBM68111 ILI68044:ILI68111 IVE68044:IVE68111 JFA68044:JFA68111 JOW68044:JOW68111 JYS68044:JYS68111 KIO68044:KIO68111 KSK68044:KSK68111 LCG68044:LCG68111 LMC68044:LMC68111 LVY68044:LVY68111 MFU68044:MFU68111 MPQ68044:MPQ68111 MZM68044:MZM68111 NJI68044:NJI68111 NTE68044:NTE68111 ODA68044:ODA68111 OMW68044:OMW68111 OWS68044:OWS68111 PGO68044:PGO68111 PQK68044:PQK68111 QAG68044:QAG68111 QKC68044:QKC68111 QTY68044:QTY68111 RDU68044:RDU68111 RNQ68044:RNQ68111 RXM68044:RXM68111 SHI68044:SHI68111 SRE68044:SRE68111 TBA68044:TBA68111 TKW68044:TKW68111 TUS68044:TUS68111 UEO68044:UEO68111 UOK68044:UOK68111 UYG68044:UYG68111 VIC68044:VIC68111 VRY68044:VRY68111 WBU68044:WBU68111 WLQ68044:WLQ68111 WVM68044:WVM68111 E133580:E133647 JA133580:JA133647 SW133580:SW133647 ACS133580:ACS133647 AMO133580:AMO133647 AWK133580:AWK133647 BGG133580:BGG133647 BQC133580:BQC133647 BZY133580:BZY133647 CJU133580:CJU133647 CTQ133580:CTQ133647 DDM133580:DDM133647 DNI133580:DNI133647 DXE133580:DXE133647 EHA133580:EHA133647 EQW133580:EQW133647 FAS133580:FAS133647 FKO133580:FKO133647 FUK133580:FUK133647 GEG133580:GEG133647 GOC133580:GOC133647 GXY133580:GXY133647 HHU133580:HHU133647 HRQ133580:HRQ133647 IBM133580:IBM133647 ILI133580:ILI133647 IVE133580:IVE133647 JFA133580:JFA133647 JOW133580:JOW133647 JYS133580:JYS133647 KIO133580:KIO133647 KSK133580:KSK133647 LCG133580:LCG133647 LMC133580:LMC133647 LVY133580:LVY133647 MFU133580:MFU133647 MPQ133580:MPQ133647 MZM133580:MZM133647 NJI133580:NJI133647 NTE133580:NTE133647 ODA133580:ODA133647 OMW133580:OMW133647 OWS133580:OWS133647 PGO133580:PGO133647 PQK133580:PQK133647 QAG133580:QAG133647 QKC133580:QKC133647 QTY133580:QTY133647 RDU133580:RDU133647 RNQ133580:RNQ133647 RXM133580:RXM133647 SHI133580:SHI133647 SRE133580:SRE133647 TBA133580:TBA133647 TKW133580:TKW133647 TUS133580:TUS133647 UEO133580:UEO133647 UOK133580:UOK133647 UYG133580:UYG133647 VIC133580:VIC133647 VRY133580:VRY133647 WBU133580:WBU133647 WLQ133580:WLQ133647 WVM133580:WVM133647 E199116:E199183 JA199116:JA199183 SW199116:SW199183 ACS199116:ACS199183 AMO199116:AMO199183 AWK199116:AWK199183 BGG199116:BGG199183 BQC199116:BQC199183 BZY199116:BZY199183 CJU199116:CJU199183 CTQ199116:CTQ199183 DDM199116:DDM199183 DNI199116:DNI199183 DXE199116:DXE199183 EHA199116:EHA199183 EQW199116:EQW199183 FAS199116:FAS199183 FKO199116:FKO199183 FUK199116:FUK199183 GEG199116:GEG199183 GOC199116:GOC199183 GXY199116:GXY199183 HHU199116:HHU199183 HRQ199116:HRQ199183 IBM199116:IBM199183 ILI199116:ILI199183 IVE199116:IVE199183 JFA199116:JFA199183 JOW199116:JOW199183 JYS199116:JYS199183 KIO199116:KIO199183 KSK199116:KSK199183 LCG199116:LCG199183 LMC199116:LMC199183 LVY199116:LVY199183 MFU199116:MFU199183 MPQ199116:MPQ199183 MZM199116:MZM199183 NJI199116:NJI199183 NTE199116:NTE199183 ODA199116:ODA199183 OMW199116:OMW199183 OWS199116:OWS199183 PGO199116:PGO199183 PQK199116:PQK199183 QAG199116:QAG199183 QKC199116:QKC199183 QTY199116:QTY199183 RDU199116:RDU199183 RNQ199116:RNQ199183 RXM199116:RXM199183 SHI199116:SHI199183 SRE199116:SRE199183 TBA199116:TBA199183 TKW199116:TKW199183 TUS199116:TUS199183 UEO199116:UEO199183 UOK199116:UOK199183 UYG199116:UYG199183 VIC199116:VIC199183 VRY199116:VRY199183 WBU199116:WBU199183 WLQ199116:WLQ199183 WVM199116:WVM199183 E264652:E264719 JA264652:JA264719 SW264652:SW264719 ACS264652:ACS264719 AMO264652:AMO264719 AWK264652:AWK264719 BGG264652:BGG264719 BQC264652:BQC264719 BZY264652:BZY264719 CJU264652:CJU264719 CTQ264652:CTQ264719 DDM264652:DDM264719 DNI264652:DNI264719 DXE264652:DXE264719 EHA264652:EHA264719 EQW264652:EQW264719 FAS264652:FAS264719 FKO264652:FKO264719 FUK264652:FUK264719 GEG264652:GEG264719 GOC264652:GOC264719 GXY264652:GXY264719 HHU264652:HHU264719 HRQ264652:HRQ264719 IBM264652:IBM264719 ILI264652:ILI264719 IVE264652:IVE264719 JFA264652:JFA264719 JOW264652:JOW264719 JYS264652:JYS264719 KIO264652:KIO264719 KSK264652:KSK264719 LCG264652:LCG264719 LMC264652:LMC264719 LVY264652:LVY264719 MFU264652:MFU264719 MPQ264652:MPQ264719 MZM264652:MZM264719 NJI264652:NJI264719 NTE264652:NTE264719 ODA264652:ODA264719 OMW264652:OMW264719 OWS264652:OWS264719 PGO264652:PGO264719 PQK264652:PQK264719 QAG264652:QAG264719 QKC264652:QKC264719 QTY264652:QTY264719 RDU264652:RDU264719 RNQ264652:RNQ264719 RXM264652:RXM264719 SHI264652:SHI264719 SRE264652:SRE264719 TBA264652:TBA264719 TKW264652:TKW264719 TUS264652:TUS264719 UEO264652:UEO264719 UOK264652:UOK264719 UYG264652:UYG264719 VIC264652:VIC264719 VRY264652:VRY264719 WBU264652:WBU264719 WLQ264652:WLQ264719 WVM264652:WVM264719 E330188:E330255 JA330188:JA330255 SW330188:SW330255 ACS330188:ACS330255 AMO330188:AMO330255 AWK330188:AWK330255 BGG330188:BGG330255 BQC330188:BQC330255 BZY330188:BZY330255 CJU330188:CJU330255 CTQ330188:CTQ330255 DDM330188:DDM330255 DNI330188:DNI330255 DXE330188:DXE330255 EHA330188:EHA330255 EQW330188:EQW330255 FAS330188:FAS330255 FKO330188:FKO330255 FUK330188:FUK330255 GEG330188:GEG330255 GOC330188:GOC330255 GXY330188:GXY330255 HHU330188:HHU330255 HRQ330188:HRQ330255 IBM330188:IBM330255 ILI330188:ILI330255 IVE330188:IVE330255 JFA330188:JFA330255 JOW330188:JOW330255 JYS330188:JYS330255 KIO330188:KIO330255 KSK330188:KSK330255 LCG330188:LCG330255 LMC330188:LMC330255 LVY330188:LVY330255 MFU330188:MFU330255 MPQ330188:MPQ330255 MZM330188:MZM330255 NJI330188:NJI330255 NTE330188:NTE330255 ODA330188:ODA330255 OMW330188:OMW330255 OWS330188:OWS330255 PGO330188:PGO330255 PQK330188:PQK330255 QAG330188:QAG330255 QKC330188:QKC330255 QTY330188:QTY330255 RDU330188:RDU330255 RNQ330188:RNQ330255 RXM330188:RXM330255 SHI330188:SHI330255 SRE330188:SRE330255 TBA330188:TBA330255 TKW330188:TKW330255 TUS330188:TUS330255 UEO330188:UEO330255 UOK330188:UOK330255 UYG330188:UYG330255 VIC330188:VIC330255 VRY330188:VRY330255 WBU330188:WBU330255 WLQ330188:WLQ330255 WVM330188:WVM330255 E395724:E395791 JA395724:JA395791 SW395724:SW395791 ACS395724:ACS395791 AMO395724:AMO395791 AWK395724:AWK395791 BGG395724:BGG395791 BQC395724:BQC395791 BZY395724:BZY395791 CJU395724:CJU395791 CTQ395724:CTQ395791 DDM395724:DDM395791 DNI395724:DNI395791 DXE395724:DXE395791 EHA395724:EHA395791 EQW395724:EQW395791 FAS395724:FAS395791 FKO395724:FKO395791 FUK395724:FUK395791 GEG395724:GEG395791 GOC395724:GOC395791 GXY395724:GXY395791 HHU395724:HHU395791 HRQ395724:HRQ395791 IBM395724:IBM395791 ILI395724:ILI395791 IVE395724:IVE395791 JFA395724:JFA395791 JOW395724:JOW395791 JYS395724:JYS395791 KIO395724:KIO395791 KSK395724:KSK395791 LCG395724:LCG395791 LMC395724:LMC395791 LVY395724:LVY395791 MFU395724:MFU395791 MPQ395724:MPQ395791 MZM395724:MZM395791 NJI395724:NJI395791 NTE395724:NTE395791 ODA395724:ODA395791 OMW395724:OMW395791 OWS395724:OWS395791 PGO395724:PGO395791 PQK395724:PQK395791 QAG395724:QAG395791 QKC395724:QKC395791 QTY395724:QTY395791 RDU395724:RDU395791 RNQ395724:RNQ395791 RXM395724:RXM395791 SHI395724:SHI395791 SRE395724:SRE395791 TBA395724:TBA395791 TKW395724:TKW395791 TUS395724:TUS395791 UEO395724:UEO395791 UOK395724:UOK395791 UYG395724:UYG395791 VIC395724:VIC395791 VRY395724:VRY395791 WBU395724:WBU395791 WLQ395724:WLQ395791 WVM395724:WVM395791 E461260:E461327 JA461260:JA461327 SW461260:SW461327 ACS461260:ACS461327 AMO461260:AMO461327 AWK461260:AWK461327 BGG461260:BGG461327 BQC461260:BQC461327 BZY461260:BZY461327 CJU461260:CJU461327 CTQ461260:CTQ461327 DDM461260:DDM461327 DNI461260:DNI461327 DXE461260:DXE461327 EHA461260:EHA461327 EQW461260:EQW461327 FAS461260:FAS461327 FKO461260:FKO461327 FUK461260:FUK461327 GEG461260:GEG461327 GOC461260:GOC461327 GXY461260:GXY461327 HHU461260:HHU461327 HRQ461260:HRQ461327 IBM461260:IBM461327 ILI461260:ILI461327 IVE461260:IVE461327 JFA461260:JFA461327 JOW461260:JOW461327 JYS461260:JYS461327 KIO461260:KIO461327 KSK461260:KSK461327 LCG461260:LCG461327 LMC461260:LMC461327 LVY461260:LVY461327 MFU461260:MFU461327 MPQ461260:MPQ461327 MZM461260:MZM461327 NJI461260:NJI461327 NTE461260:NTE461327 ODA461260:ODA461327 OMW461260:OMW461327 OWS461260:OWS461327 PGO461260:PGO461327 PQK461260:PQK461327 QAG461260:QAG461327 QKC461260:QKC461327 QTY461260:QTY461327 RDU461260:RDU461327 RNQ461260:RNQ461327 RXM461260:RXM461327 SHI461260:SHI461327 SRE461260:SRE461327 TBA461260:TBA461327 TKW461260:TKW461327 TUS461260:TUS461327 UEO461260:UEO461327 UOK461260:UOK461327 UYG461260:UYG461327 VIC461260:VIC461327 VRY461260:VRY461327 WBU461260:WBU461327 WLQ461260:WLQ461327 WVM461260:WVM461327 E526796:E526863 JA526796:JA526863 SW526796:SW526863 ACS526796:ACS526863 AMO526796:AMO526863 AWK526796:AWK526863 BGG526796:BGG526863 BQC526796:BQC526863 BZY526796:BZY526863 CJU526796:CJU526863 CTQ526796:CTQ526863 DDM526796:DDM526863 DNI526796:DNI526863 DXE526796:DXE526863 EHA526796:EHA526863 EQW526796:EQW526863 FAS526796:FAS526863 FKO526796:FKO526863 FUK526796:FUK526863 GEG526796:GEG526863 GOC526796:GOC526863 GXY526796:GXY526863 HHU526796:HHU526863 HRQ526796:HRQ526863 IBM526796:IBM526863 ILI526796:ILI526863 IVE526796:IVE526863 JFA526796:JFA526863 JOW526796:JOW526863 JYS526796:JYS526863 KIO526796:KIO526863 KSK526796:KSK526863 LCG526796:LCG526863 LMC526796:LMC526863 LVY526796:LVY526863 MFU526796:MFU526863 MPQ526796:MPQ526863 MZM526796:MZM526863 NJI526796:NJI526863 NTE526796:NTE526863 ODA526796:ODA526863 OMW526796:OMW526863 OWS526796:OWS526863 PGO526796:PGO526863 PQK526796:PQK526863 QAG526796:QAG526863 QKC526796:QKC526863 QTY526796:QTY526863 RDU526796:RDU526863 RNQ526796:RNQ526863 RXM526796:RXM526863 SHI526796:SHI526863 SRE526796:SRE526863 TBA526796:TBA526863 TKW526796:TKW526863 TUS526796:TUS526863 UEO526796:UEO526863 UOK526796:UOK526863 UYG526796:UYG526863 VIC526796:VIC526863 VRY526796:VRY526863 WBU526796:WBU526863 WLQ526796:WLQ526863 WVM526796:WVM526863 E592332:E592399 JA592332:JA592399 SW592332:SW592399 ACS592332:ACS592399 AMO592332:AMO592399 AWK592332:AWK592399 BGG592332:BGG592399 BQC592332:BQC592399 BZY592332:BZY592399 CJU592332:CJU592399 CTQ592332:CTQ592399 DDM592332:DDM592399 DNI592332:DNI592399 DXE592332:DXE592399 EHA592332:EHA592399 EQW592332:EQW592399 FAS592332:FAS592399 FKO592332:FKO592399 FUK592332:FUK592399 GEG592332:GEG592399 GOC592332:GOC592399 GXY592332:GXY592399 HHU592332:HHU592399 HRQ592332:HRQ592399 IBM592332:IBM592399 ILI592332:ILI592399 IVE592332:IVE592399 JFA592332:JFA592399 JOW592332:JOW592399 JYS592332:JYS592399 KIO592332:KIO592399 KSK592332:KSK592399 LCG592332:LCG592399 LMC592332:LMC592399 LVY592332:LVY592399 MFU592332:MFU592399 MPQ592332:MPQ592399 MZM592332:MZM592399 NJI592332:NJI592399 NTE592332:NTE592399 ODA592332:ODA592399 OMW592332:OMW592399 OWS592332:OWS592399 PGO592332:PGO592399 PQK592332:PQK592399 QAG592332:QAG592399 QKC592332:QKC592399 QTY592332:QTY592399 RDU592332:RDU592399 RNQ592332:RNQ592399 RXM592332:RXM592399 SHI592332:SHI592399 SRE592332:SRE592399 TBA592332:TBA592399 TKW592332:TKW592399 TUS592332:TUS592399 UEO592332:UEO592399 UOK592332:UOK592399 UYG592332:UYG592399 VIC592332:VIC592399 VRY592332:VRY592399 WBU592332:WBU592399 WLQ592332:WLQ592399 WVM592332:WVM592399 E657868:E657935 JA657868:JA657935 SW657868:SW657935 ACS657868:ACS657935 AMO657868:AMO657935 AWK657868:AWK657935 BGG657868:BGG657935 BQC657868:BQC657935 BZY657868:BZY657935 CJU657868:CJU657935 CTQ657868:CTQ657935 DDM657868:DDM657935 DNI657868:DNI657935 DXE657868:DXE657935 EHA657868:EHA657935 EQW657868:EQW657935 FAS657868:FAS657935 FKO657868:FKO657935 FUK657868:FUK657935 GEG657868:GEG657935 GOC657868:GOC657935 GXY657868:GXY657935 HHU657868:HHU657935 HRQ657868:HRQ657935 IBM657868:IBM657935 ILI657868:ILI657935 IVE657868:IVE657935 JFA657868:JFA657935 JOW657868:JOW657935 JYS657868:JYS657935 KIO657868:KIO657935 KSK657868:KSK657935 LCG657868:LCG657935 LMC657868:LMC657935 LVY657868:LVY657935 MFU657868:MFU657935 MPQ657868:MPQ657935 MZM657868:MZM657935 NJI657868:NJI657935 NTE657868:NTE657935 ODA657868:ODA657935 OMW657868:OMW657935 OWS657868:OWS657935 PGO657868:PGO657935 PQK657868:PQK657935 QAG657868:QAG657935 QKC657868:QKC657935 QTY657868:QTY657935 RDU657868:RDU657935 RNQ657868:RNQ657935 RXM657868:RXM657935 SHI657868:SHI657935 SRE657868:SRE657935 TBA657868:TBA657935 TKW657868:TKW657935 TUS657868:TUS657935 UEO657868:UEO657935 UOK657868:UOK657935 UYG657868:UYG657935 VIC657868:VIC657935 VRY657868:VRY657935 WBU657868:WBU657935 WLQ657868:WLQ657935 WVM657868:WVM657935 E723404:E723471 JA723404:JA723471 SW723404:SW723471 ACS723404:ACS723471 AMO723404:AMO723471 AWK723404:AWK723471 BGG723404:BGG723471 BQC723404:BQC723471 BZY723404:BZY723471 CJU723404:CJU723471 CTQ723404:CTQ723471 DDM723404:DDM723471 DNI723404:DNI723471 DXE723404:DXE723471 EHA723404:EHA723471 EQW723404:EQW723471 FAS723404:FAS723471 FKO723404:FKO723471 FUK723404:FUK723471 GEG723404:GEG723471 GOC723404:GOC723471 GXY723404:GXY723471 HHU723404:HHU723471 HRQ723404:HRQ723471 IBM723404:IBM723471 ILI723404:ILI723471 IVE723404:IVE723471 JFA723404:JFA723471 JOW723404:JOW723471 JYS723404:JYS723471 KIO723404:KIO723471 KSK723404:KSK723471 LCG723404:LCG723471 LMC723404:LMC723471 LVY723404:LVY723471 MFU723404:MFU723471 MPQ723404:MPQ723471 MZM723404:MZM723471 NJI723404:NJI723471 NTE723404:NTE723471 ODA723404:ODA723471 OMW723404:OMW723471 OWS723404:OWS723471 PGO723404:PGO723471 PQK723404:PQK723471 QAG723404:QAG723471 QKC723404:QKC723471 QTY723404:QTY723471 RDU723404:RDU723471 RNQ723404:RNQ723471 RXM723404:RXM723471 SHI723404:SHI723471 SRE723404:SRE723471 TBA723404:TBA723471 TKW723404:TKW723471 TUS723404:TUS723471 UEO723404:UEO723471 UOK723404:UOK723471 UYG723404:UYG723471 VIC723404:VIC723471 VRY723404:VRY723471 WBU723404:WBU723471 WLQ723404:WLQ723471 WVM723404:WVM723471 E788940:E789007 JA788940:JA789007 SW788940:SW789007 ACS788940:ACS789007 AMO788940:AMO789007 AWK788940:AWK789007 BGG788940:BGG789007 BQC788940:BQC789007 BZY788940:BZY789007 CJU788940:CJU789007 CTQ788940:CTQ789007 DDM788940:DDM789007 DNI788940:DNI789007 DXE788940:DXE789007 EHA788940:EHA789007 EQW788940:EQW789007 FAS788940:FAS789007 FKO788940:FKO789007 FUK788940:FUK789007 GEG788940:GEG789007 GOC788940:GOC789007 GXY788940:GXY789007 HHU788940:HHU789007 HRQ788940:HRQ789007 IBM788940:IBM789007 ILI788940:ILI789007 IVE788940:IVE789007 JFA788940:JFA789007 JOW788940:JOW789007 JYS788940:JYS789007 KIO788940:KIO789007 KSK788940:KSK789007 LCG788940:LCG789007 LMC788940:LMC789007 LVY788940:LVY789007 MFU788940:MFU789007 MPQ788940:MPQ789007 MZM788940:MZM789007 NJI788940:NJI789007 NTE788940:NTE789007 ODA788940:ODA789007 OMW788940:OMW789007 OWS788940:OWS789007 PGO788940:PGO789007 PQK788940:PQK789007 QAG788940:QAG789007 QKC788940:QKC789007 QTY788940:QTY789007 RDU788940:RDU789007 RNQ788940:RNQ789007 RXM788940:RXM789007 SHI788940:SHI789007 SRE788940:SRE789007 TBA788940:TBA789007 TKW788940:TKW789007 TUS788940:TUS789007 UEO788940:UEO789007 UOK788940:UOK789007 UYG788940:UYG789007 VIC788940:VIC789007 VRY788940:VRY789007 WBU788940:WBU789007 WLQ788940:WLQ789007 WVM788940:WVM789007 E854476:E854543 JA854476:JA854543 SW854476:SW854543 ACS854476:ACS854543 AMO854476:AMO854543 AWK854476:AWK854543 BGG854476:BGG854543 BQC854476:BQC854543 BZY854476:BZY854543 CJU854476:CJU854543 CTQ854476:CTQ854543 DDM854476:DDM854543 DNI854476:DNI854543 DXE854476:DXE854543 EHA854476:EHA854543 EQW854476:EQW854543 FAS854476:FAS854543 FKO854476:FKO854543 FUK854476:FUK854543 GEG854476:GEG854543 GOC854476:GOC854543 GXY854476:GXY854543 HHU854476:HHU854543 HRQ854476:HRQ854543 IBM854476:IBM854543 ILI854476:ILI854543 IVE854476:IVE854543 JFA854476:JFA854543 JOW854476:JOW854543 JYS854476:JYS854543 KIO854476:KIO854543 KSK854476:KSK854543 LCG854476:LCG854543 LMC854476:LMC854543 LVY854476:LVY854543 MFU854476:MFU854543 MPQ854476:MPQ854543 MZM854476:MZM854543 NJI854476:NJI854543 NTE854476:NTE854543 ODA854476:ODA854543 OMW854476:OMW854543 OWS854476:OWS854543 PGO854476:PGO854543 PQK854476:PQK854543 QAG854476:QAG854543 QKC854476:QKC854543 QTY854476:QTY854543 RDU854476:RDU854543 RNQ854476:RNQ854543 RXM854476:RXM854543 SHI854476:SHI854543 SRE854476:SRE854543 TBA854476:TBA854543 TKW854476:TKW854543 TUS854476:TUS854543 UEO854476:UEO854543 UOK854476:UOK854543 UYG854476:UYG854543 VIC854476:VIC854543 VRY854476:VRY854543 WBU854476:WBU854543 WLQ854476:WLQ854543 WVM854476:WVM854543 E920012:E920079 JA920012:JA920079 SW920012:SW920079 ACS920012:ACS920079 AMO920012:AMO920079 AWK920012:AWK920079 BGG920012:BGG920079 BQC920012:BQC920079 BZY920012:BZY920079 CJU920012:CJU920079 CTQ920012:CTQ920079 DDM920012:DDM920079 DNI920012:DNI920079 DXE920012:DXE920079 EHA920012:EHA920079 EQW920012:EQW920079 FAS920012:FAS920079 FKO920012:FKO920079 FUK920012:FUK920079 GEG920012:GEG920079 GOC920012:GOC920079 GXY920012:GXY920079 HHU920012:HHU920079 HRQ920012:HRQ920079 IBM920012:IBM920079 ILI920012:ILI920079 IVE920012:IVE920079 JFA920012:JFA920079 JOW920012:JOW920079 JYS920012:JYS920079 KIO920012:KIO920079 KSK920012:KSK920079 LCG920012:LCG920079 LMC920012:LMC920079 LVY920012:LVY920079 MFU920012:MFU920079 MPQ920012:MPQ920079 MZM920012:MZM920079 NJI920012:NJI920079 NTE920012:NTE920079 ODA920012:ODA920079 OMW920012:OMW920079 OWS920012:OWS920079 PGO920012:PGO920079 PQK920012:PQK920079 QAG920012:QAG920079 QKC920012:QKC920079 QTY920012:QTY920079 RDU920012:RDU920079 RNQ920012:RNQ920079 RXM920012:RXM920079 SHI920012:SHI920079 SRE920012:SRE920079 TBA920012:TBA920079 TKW920012:TKW920079 TUS920012:TUS920079 UEO920012:UEO920079 UOK920012:UOK920079 UYG920012:UYG920079 VIC920012:VIC920079 VRY920012:VRY920079 WBU920012:WBU920079 WLQ920012:WLQ920079 WVM920012:WVM920079 E985548:E985615 JA985548:JA985615 SW985548:SW985615 ACS985548:ACS985615 AMO985548:AMO985615 AWK985548:AWK985615 BGG985548:BGG985615 BQC985548:BQC985615 BZY985548:BZY985615 CJU985548:CJU985615 CTQ985548:CTQ985615 DDM985548:DDM985615 DNI985548:DNI985615 DXE985548:DXE985615 EHA985548:EHA985615 EQW985548:EQW985615 FAS985548:FAS985615 FKO985548:FKO985615 FUK985548:FUK985615 GEG985548:GEG985615 GOC985548:GOC985615 GXY985548:GXY985615 HHU985548:HHU985615 HRQ985548:HRQ985615 IBM985548:IBM985615 ILI985548:ILI985615 IVE985548:IVE985615 JFA985548:JFA985615 JOW985548:JOW985615 JYS985548:JYS985615 KIO985548:KIO985615 KSK985548:KSK985615 LCG985548:LCG985615 LMC985548:LMC985615 LVY985548:LVY985615 MFU985548:MFU985615 MPQ985548:MPQ985615 MZM985548:MZM985615 NJI985548:NJI985615 NTE985548:NTE985615 ODA985548:ODA985615 OMW985548:OMW985615 OWS985548:OWS985615 PGO985548:PGO985615 PQK985548:PQK985615 QAG985548:QAG985615 QKC985548:QKC985615 QTY985548:QTY985615 RDU985548:RDU985615 RNQ985548:RNQ985615 RXM985548:RXM985615 SHI985548:SHI985615 SRE985548:SRE985615 TBA985548:TBA985615 TKW985548:TKW985615 TUS985548:TUS985615 UEO985548:UEO985615 UOK985548:UOK985615 UYG985548:UYG985615 VIC985548:VIC985615 VRY985548:VRY985615 WBU985548:WBU985615 WLQ985548:WLQ985615 WVM985548:WVM985615 E2646:E3432 JA2646:JA3432 SW2646:SW3432 ACS2646:ACS3432 AMO2646:AMO3432 AWK2646:AWK3432 BGG2646:BGG3432 BQC2646:BQC3432 BZY2646:BZY3432 CJU2646:CJU3432 CTQ2646:CTQ3432 DDM2646:DDM3432 DNI2646:DNI3432 DXE2646:DXE3432 EHA2646:EHA3432 EQW2646:EQW3432 FAS2646:FAS3432 FKO2646:FKO3432 FUK2646:FUK3432 GEG2646:GEG3432 GOC2646:GOC3432 GXY2646:GXY3432 HHU2646:HHU3432 HRQ2646:HRQ3432 IBM2646:IBM3432 ILI2646:ILI3432 IVE2646:IVE3432 JFA2646:JFA3432 JOW2646:JOW3432 JYS2646:JYS3432 KIO2646:KIO3432 KSK2646:KSK3432 LCG2646:LCG3432 LMC2646:LMC3432 LVY2646:LVY3432 MFU2646:MFU3432 MPQ2646:MPQ3432 MZM2646:MZM3432 NJI2646:NJI3432 NTE2646:NTE3432 ODA2646:ODA3432 OMW2646:OMW3432 OWS2646:OWS3432 PGO2646:PGO3432 PQK2646:PQK3432 QAG2646:QAG3432 QKC2646:QKC3432 QTY2646:QTY3432 RDU2646:RDU3432 RNQ2646:RNQ3432 RXM2646:RXM3432 SHI2646:SHI3432 SRE2646:SRE3432 TBA2646:TBA3432 TKW2646:TKW3432 TUS2646:TUS3432 UEO2646:UEO3432 UOK2646:UOK3432 UYG2646:UYG3432 VIC2646:VIC3432 VRY2646:VRY3432 WBU2646:WBU3432 WLQ2646:WLQ3432 WVM2646:WVM3432 E68182:E68968 JA68182:JA68968 SW68182:SW68968 ACS68182:ACS68968 AMO68182:AMO68968 AWK68182:AWK68968 BGG68182:BGG68968 BQC68182:BQC68968 BZY68182:BZY68968 CJU68182:CJU68968 CTQ68182:CTQ68968 DDM68182:DDM68968 DNI68182:DNI68968 DXE68182:DXE68968 EHA68182:EHA68968 EQW68182:EQW68968 FAS68182:FAS68968 FKO68182:FKO68968 FUK68182:FUK68968 GEG68182:GEG68968 GOC68182:GOC68968 GXY68182:GXY68968 HHU68182:HHU68968 HRQ68182:HRQ68968 IBM68182:IBM68968 ILI68182:ILI68968 IVE68182:IVE68968 JFA68182:JFA68968 JOW68182:JOW68968 JYS68182:JYS68968 KIO68182:KIO68968 KSK68182:KSK68968 LCG68182:LCG68968 LMC68182:LMC68968 LVY68182:LVY68968 MFU68182:MFU68968 MPQ68182:MPQ68968 MZM68182:MZM68968 NJI68182:NJI68968 NTE68182:NTE68968 ODA68182:ODA68968 OMW68182:OMW68968 OWS68182:OWS68968 PGO68182:PGO68968 PQK68182:PQK68968 QAG68182:QAG68968 QKC68182:QKC68968 QTY68182:QTY68968 RDU68182:RDU68968 RNQ68182:RNQ68968 RXM68182:RXM68968 SHI68182:SHI68968 SRE68182:SRE68968 TBA68182:TBA68968 TKW68182:TKW68968 TUS68182:TUS68968 UEO68182:UEO68968 UOK68182:UOK68968 UYG68182:UYG68968 VIC68182:VIC68968 VRY68182:VRY68968 WBU68182:WBU68968 WLQ68182:WLQ68968 WVM68182:WVM68968 E133718:E134504 JA133718:JA134504 SW133718:SW134504 ACS133718:ACS134504 AMO133718:AMO134504 AWK133718:AWK134504 BGG133718:BGG134504 BQC133718:BQC134504 BZY133718:BZY134504 CJU133718:CJU134504 CTQ133718:CTQ134504 DDM133718:DDM134504 DNI133718:DNI134504 DXE133718:DXE134504 EHA133718:EHA134504 EQW133718:EQW134504 FAS133718:FAS134504 FKO133718:FKO134504 FUK133718:FUK134504 GEG133718:GEG134504 GOC133718:GOC134504 GXY133718:GXY134504 HHU133718:HHU134504 HRQ133718:HRQ134504 IBM133718:IBM134504 ILI133718:ILI134504 IVE133718:IVE134504 JFA133718:JFA134504 JOW133718:JOW134504 JYS133718:JYS134504 KIO133718:KIO134504 KSK133718:KSK134504 LCG133718:LCG134504 LMC133718:LMC134504 LVY133718:LVY134504 MFU133718:MFU134504 MPQ133718:MPQ134504 MZM133718:MZM134504 NJI133718:NJI134504 NTE133718:NTE134504 ODA133718:ODA134504 OMW133718:OMW134504 OWS133718:OWS134504 PGO133718:PGO134504 PQK133718:PQK134504 QAG133718:QAG134504 QKC133718:QKC134504 QTY133718:QTY134504 RDU133718:RDU134504 RNQ133718:RNQ134504 RXM133718:RXM134504 SHI133718:SHI134504 SRE133718:SRE134504 TBA133718:TBA134504 TKW133718:TKW134504 TUS133718:TUS134504 UEO133718:UEO134504 UOK133718:UOK134504 UYG133718:UYG134504 VIC133718:VIC134504 VRY133718:VRY134504 WBU133718:WBU134504 WLQ133718:WLQ134504 WVM133718:WVM134504 E199254:E200040 JA199254:JA200040 SW199254:SW200040 ACS199254:ACS200040 AMO199254:AMO200040 AWK199254:AWK200040 BGG199254:BGG200040 BQC199254:BQC200040 BZY199254:BZY200040 CJU199254:CJU200040 CTQ199254:CTQ200040 DDM199254:DDM200040 DNI199254:DNI200040 DXE199254:DXE200040 EHA199254:EHA200040 EQW199254:EQW200040 FAS199254:FAS200040 FKO199254:FKO200040 FUK199254:FUK200040 GEG199254:GEG200040 GOC199254:GOC200040 GXY199254:GXY200040 HHU199254:HHU200040 HRQ199254:HRQ200040 IBM199254:IBM200040 ILI199254:ILI200040 IVE199254:IVE200040 JFA199254:JFA200040 JOW199254:JOW200040 JYS199254:JYS200040 KIO199254:KIO200040 KSK199254:KSK200040 LCG199254:LCG200040 LMC199254:LMC200040 LVY199254:LVY200040 MFU199254:MFU200040 MPQ199254:MPQ200040 MZM199254:MZM200040 NJI199254:NJI200040 NTE199254:NTE200040 ODA199254:ODA200040 OMW199254:OMW200040 OWS199254:OWS200040 PGO199254:PGO200040 PQK199254:PQK200040 QAG199254:QAG200040 QKC199254:QKC200040 QTY199254:QTY200040 RDU199254:RDU200040 RNQ199254:RNQ200040 RXM199254:RXM200040 SHI199254:SHI200040 SRE199254:SRE200040 TBA199254:TBA200040 TKW199254:TKW200040 TUS199254:TUS200040 UEO199254:UEO200040 UOK199254:UOK200040 UYG199254:UYG200040 VIC199254:VIC200040 VRY199254:VRY200040 WBU199254:WBU200040 WLQ199254:WLQ200040 WVM199254:WVM200040 E264790:E265576 JA264790:JA265576 SW264790:SW265576 ACS264790:ACS265576 AMO264790:AMO265576 AWK264790:AWK265576 BGG264790:BGG265576 BQC264790:BQC265576 BZY264790:BZY265576 CJU264790:CJU265576 CTQ264790:CTQ265576 DDM264790:DDM265576 DNI264790:DNI265576 DXE264790:DXE265576 EHA264790:EHA265576 EQW264790:EQW265576 FAS264790:FAS265576 FKO264790:FKO265576 FUK264790:FUK265576 GEG264790:GEG265576 GOC264790:GOC265576 GXY264790:GXY265576 HHU264790:HHU265576 HRQ264790:HRQ265576 IBM264790:IBM265576 ILI264790:ILI265576 IVE264790:IVE265576 JFA264790:JFA265576 JOW264790:JOW265576 JYS264790:JYS265576 KIO264790:KIO265576 KSK264790:KSK265576 LCG264790:LCG265576 LMC264790:LMC265576 LVY264790:LVY265576 MFU264790:MFU265576 MPQ264790:MPQ265576 MZM264790:MZM265576 NJI264790:NJI265576 NTE264790:NTE265576 ODA264790:ODA265576 OMW264790:OMW265576 OWS264790:OWS265576 PGO264790:PGO265576 PQK264790:PQK265576 QAG264790:QAG265576 QKC264790:QKC265576 QTY264790:QTY265576 RDU264790:RDU265576 RNQ264790:RNQ265576 RXM264790:RXM265576 SHI264790:SHI265576 SRE264790:SRE265576 TBA264790:TBA265576 TKW264790:TKW265576 TUS264790:TUS265576 UEO264790:UEO265576 UOK264790:UOK265576 UYG264790:UYG265576 VIC264790:VIC265576 VRY264790:VRY265576 WBU264790:WBU265576 WLQ264790:WLQ265576 WVM264790:WVM265576 E330326:E331112 JA330326:JA331112 SW330326:SW331112 ACS330326:ACS331112 AMO330326:AMO331112 AWK330326:AWK331112 BGG330326:BGG331112 BQC330326:BQC331112 BZY330326:BZY331112 CJU330326:CJU331112 CTQ330326:CTQ331112 DDM330326:DDM331112 DNI330326:DNI331112 DXE330326:DXE331112 EHA330326:EHA331112 EQW330326:EQW331112 FAS330326:FAS331112 FKO330326:FKO331112 FUK330326:FUK331112 GEG330326:GEG331112 GOC330326:GOC331112 GXY330326:GXY331112 HHU330326:HHU331112 HRQ330326:HRQ331112 IBM330326:IBM331112 ILI330326:ILI331112 IVE330326:IVE331112 JFA330326:JFA331112 JOW330326:JOW331112 JYS330326:JYS331112 KIO330326:KIO331112 KSK330326:KSK331112 LCG330326:LCG331112 LMC330326:LMC331112 LVY330326:LVY331112 MFU330326:MFU331112 MPQ330326:MPQ331112 MZM330326:MZM331112 NJI330326:NJI331112 NTE330326:NTE331112 ODA330326:ODA331112 OMW330326:OMW331112 OWS330326:OWS331112 PGO330326:PGO331112 PQK330326:PQK331112 QAG330326:QAG331112 QKC330326:QKC331112 QTY330326:QTY331112 RDU330326:RDU331112 RNQ330326:RNQ331112 RXM330326:RXM331112 SHI330326:SHI331112 SRE330326:SRE331112 TBA330326:TBA331112 TKW330326:TKW331112 TUS330326:TUS331112 UEO330326:UEO331112 UOK330326:UOK331112 UYG330326:UYG331112 VIC330326:VIC331112 VRY330326:VRY331112 WBU330326:WBU331112 WLQ330326:WLQ331112 WVM330326:WVM331112 E395862:E396648 JA395862:JA396648 SW395862:SW396648 ACS395862:ACS396648 AMO395862:AMO396648 AWK395862:AWK396648 BGG395862:BGG396648 BQC395862:BQC396648 BZY395862:BZY396648 CJU395862:CJU396648 CTQ395862:CTQ396648 DDM395862:DDM396648 DNI395862:DNI396648 DXE395862:DXE396648 EHA395862:EHA396648 EQW395862:EQW396648 FAS395862:FAS396648 FKO395862:FKO396648 FUK395862:FUK396648 GEG395862:GEG396648 GOC395862:GOC396648 GXY395862:GXY396648 HHU395862:HHU396648 HRQ395862:HRQ396648 IBM395862:IBM396648 ILI395862:ILI396648 IVE395862:IVE396648 JFA395862:JFA396648 JOW395862:JOW396648 JYS395862:JYS396648 KIO395862:KIO396648 KSK395862:KSK396648 LCG395862:LCG396648 LMC395862:LMC396648 LVY395862:LVY396648 MFU395862:MFU396648 MPQ395862:MPQ396648 MZM395862:MZM396648 NJI395862:NJI396648 NTE395862:NTE396648 ODA395862:ODA396648 OMW395862:OMW396648 OWS395862:OWS396648 PGO395862:PGO396648 PQK395862:PQK396648 QAG395862:QAG396648 QKC395862:QKC396648 QTY395862:QTY396648 RDU395862:RDU396648 RNQ395862:RNQ396648 RXM395862:RXM396648 SHI395862:SHI396648 SRE395862:SRE396648 TBA395862:TBA396648 TKW395862:TKW396648 TUS395862:TUS396648 UEO395862:UEO396648 UOK395862:UOK396648 UYG395862:UYG396648 VIC395862:VIC396648 VRY395862:VRY396648 WBU395862:WBU396648 WLQ395862:WLQ396648 WVM395862:WVM396648 E461398:E462184 JA461398:JA462184 SW461398:SW462184 ACS461398:ACS462184 AMO461398:AMO462184 AWK461398:AWK462184 BGG461398:BGG462184 BQC461398:BQC462184 BZY461398:BZY462184 CJU461398:CJU462184 CTQ461398:CTQ462184 DDM461398:DDM462184 DNI461398:DNI462184 DXE461398:DXE462184 EHA461398:EHA462184 EQW461398:EQW462184 FAS461398:FAS462184 FKO461398:FKO462184 FUK461398:FUK462184 GEG461398:GEG462184 GOC461398:GOC462184 GXY461398:GXY462184 HHU461398:HHU462184 HRQ461398:HRQ462184 IBM461398:IBM462184 ILI461398:ILI462184 IVE461398:IVE462184 JFA461398:JFA462184 JOW461398:JOW462184 JYS461398:JYS462184 KIO461398:KIO462184 KSK461398:KSK462184 LCG461398:LCG462184 LMC461398:LMC462184 LVY461398:LVY462184 MFU461398:MFU462184 MPQ461398:MPQ462184 MZM461398:MZM462184 NJI461398:NJI462184 NTE461398:NTE462184 ODA461398:ODA462184 OMW461398:OMW462184 OWS461398:OWS462184 PGO461398:PGO462184 PQK461398:PQK462184 QAG461398:QAG462184 QKC461398:QKC462184 QTY461398:QTY462184 RDU461398:RDU462184 RNQ461398:RNQ462184 RXM461398:RXM462184 SHI461398:SHI462184 SRE461398:SRE462184 TBA461398:TBA462184 TKW461398:TKW462184 TUS461398:TUS462184 UEO461398:UEO462184 UOK461398:UOK462184 UYG461398:UYG462184 VIC461398:VIC462184 VRY461398:VRY462184 WBU461398:WBU462184 WLQ461398:WLQ462184 WVM461398:WVM462184 E526934:E527720 JA526934:JA527720 SW526934:SW527720 ACS526934:ACS527720 AMO526934:AMO527720 AWK526934:AWK527720 BGG526934:BGG527720 BQC526934:BQC527720 BZY526934:BZY527720 CJU526934:CJU527720 CTQ526934:CTQ527720 DDM526934:DDM527720 DNI526934:DNI527720 DXE526934:DXE527720 EHA526934:EHA527720 EQW526934:EQW527720 FAS526934:FAS527720 FKO526934:FKO527720 FUK526934:FUK527720 GEG526934:GEG527720 GOC526934:GOC527720 GXY526934:GXY527720 HHU526934:HHU527720 HRQ526934:HRQ527720 IBM526934:IBM527720 ILI526934:ILI527720 IVE526934:IVE527720 JFA526934:JFA527720 JOW526934:JOW527720 JYS526934:JYS527720 KIO526934:KIO527720 KSK526934:KSK527720 LCG526934:LCG527720 LMC526934:LMC527720 LVY526934:LVY527720 MFU526934:MFU527720 MPQ526934:MPQ527720 MZM526934:MZM527720 NJI526934:NJI527720 NTE526934:NTE527720 ODA526934:ODA527720 OMW526934:OMW527720 OWS526934:OWS527720 PGO526934:PGO527720 PQK526934:PQK527720 QAG526934:QAG527720 QKC526934:QKC527720 QTY526934:QTY527720 RDU526934:RDU527720 RNQ526934:RNQ527720 RXM526934:RXM527720 SHI526934:SHI527720 SRE526934:SRE527720 TBA526934:TBA527720 TKW526934:TKW527720 TUS526934:TUS527720 UEO526934:UEO527720 UOK526934:UOK527720 UYG526934:UYG527720 VIC526934:VIC527720 VRY526934:VRY527720 WBU526934:WBU527720 WLQ526934:WLQ527720 WVM526934:WVM527720 E592470:E593256 JA592470:JA593256 SW592470:SW593256 ACS592470:ACS593256 AMO592470:AMO593256 AWK592470:AWK593256 BGG592470:BGG593256 BQC592470:BQC593256 BZY592470:BZY593256 CJU592470:CJU593256 CTQ592470:CTQ593256 DDM592470:DDM593256 DNI592470:DNI593256 DXE592470:DXE593256 EHA592470:EHA593256 EQW592470:EQW593256 FAS592470:FAS593256 FKO592470:FKO593256 FUK592470:FUK593256 GEG592470:GEG593256 GOC592470:GOC593256 GXY592470:GXY593256 HHU592470:HHU593256 HRQ592470:HRQ593256 IBM592470:IBM593256 ILI592470:ILI593256 IVE592470:IVE593256 JFA592470:JFA593256 JOW592470:JOW593256 JYS592470:JYS593256 KIO592470:KIO593256 KSK592470:KSK593256 LCG592470:LCG593256 LMC592470:LMC593256 LVY592470:LVY593256 MFU592470:MFU593256 MPQ592470:MPQ593256 MZM592470:MZM593256 NJI592470:NJI593256 NTE592470:NTE593256 ODA592470:ODA593256 OMW592470:OMW593256 OWS592470:OWS593256 PGO592470:PGO593256 PQK592470:PQK593256 QAG592470:QAG593256 QKC592470:QKC593256 QTY592470:QTY593256 RDU592470:RDU593256 RNQ592470:RNQ593256 RXM592470:RXM593256 SHI592470:SHI593256 SRE592470:SRE593256 TBA592470:TBA593256 TKW592470:TKW593256 TUS592470:TUS593256 UEO592470:UEO593256 UOK592470:UOK593256 UYG592470:UYG593256 VIC592470:VIC593256 VRY592470:VRY593256 WBU592470:WBU593256 WLQ592470:WLQ593256 WVM592470:WVM593256 E658006:E658792 JA658006:JA658792 SW658006:SW658792 ACS658006:ACS658792 AMO658006:AMO658792 AWK658006:AWK658792 BGG658006:BGG658792 BQC658006:BQC658792 BZY658006:BZY658792 CJU658006:CJU658792 CTQ658006:CTQ658792 DDM658006:DDM658792 DNI658006:DNI658792 DXE658006:DXE658792 EHA658006:EHA658792 EQW658006:EQW658792 FAS658006:FAS658792 FKO658006:FKO658792 FUK658006:FUK658792 GEG658006:GEG658792 GOC658006:GOC658792 GXY658006:GXY658792 HHU658006:HHU658792 HRQ658006:HRQ658792 IBM658006:IBM658792 ILI658006:ILI658792 IVE658006:IVE658792 JFA658006:JFA658792 JOW658006:JOW658792 JYS658006:JYS658792 KIO658006:KIO658792 KSK658006:KSK658792 LCG658006:LCG658792 LMC658006:LMC658792 LVY658006:LVY658792 MFU658006:MFU658792 MPQ658006:MPQ658792 MZM658006:MZM658792 NJI658006:NJI658792 NTE658006:NTE658792 ODA658006:ODA658792 OMW658006:OMW658792 OWS658006:OWS658792 PGO658006:PGO658792 PQK658006:PQK658792 QAG658006:QAG658792 QKC658006:QKC658792 QTY658006:QTY658792 RDU658006:RDU658792 RNQ658006:RNQ658792 RXM658006:RXM658792 SHI658006:SHI658792 SRE658006:SRE658792 TBA658006:TBA658792 TKW658006:TKW658792 TUS658006:TUS658792 UEO658006:UEO658792 UOK658006:UOK658792 UYG658006:UYG658792 VIC658006:VIC658792 VRY658006:VRY658792 WBU658006:WBU658792 WLQ658006:WLQ658792 WVM658006:WVM658792 E723542:E724328 JA723542:JA724328 SW723542:SW724328 ACS723542:ACS724328 AMO723542:AMO724328 AWK723542:AWK724328 BGG723542:BGG724328 BQC723542:BQC724328 BZY723542:BZY724328 CJU723542:CJU724328 CTQ723542:CTQ724328 DDM723542:DDM724328 DNI723542:DNI724328 DXE723542:DXE724328 EHA723542:EHA724328 EQW723542:EQW724328 FAS723542:FAS724328 FKO723542:FKO724328 FUK723542:FUK724328 GEG723542:GEG724328 GOC723542:GOC724328 GXY723542:GXY724328 HHU723542:HHU724328 HRQ723542:HRQ724328 IBM723542:IBM724328 ILI723542:ILI724328 IVE723542:IVE724328 JFA723542:JFA724328 JOW723542:JOW724328 JYS723542:JYS724328 KIO723542:KIO724328 KSK723542:KSK724328 LCG723542:LCG724328 LMC723542:LMC724328 LVY723542:LVY724328 MFU723542:MFU724328 MPQ723542:MPQ724328 MZM723542:MZM724328 NJI723542:NJI724328 NTE723542:NTE724328 ODA723542:ODA724328 OMW723542:OMW724328 OWS723542:OWS724328 PGO723542:PGO724328 PQK723542:PQK724328 QAG723542:QAG724328 QKC723542:QKC724328 QTY723542:QTY724328 RDU723542:RDU724328 RNQ723542:RNQ724328 RXM723542:RXM724328 SHI723542:SHI724328 SRE723542:SRE724328 TBA723542:TBA724328 TKW723542:TKW724328 TUS723542:TUS724328 UEO723542:UEO724328 UOK723542:UOK724328 UYG723542:UYG724328 VIC723542:VIC724328 VRY723542:VRY724328 WBU723542:WBU724328 WLQ723542:WLQ724328 WVM723542:WVM724328 E789078:E789864 JA789078:JA789864 SW789078:SW789864 ACS789078:ACS789864 AMO789078:AMO789864 AWK789078:AWK789864 BGG789078:BGG789864 BQC789078:BQC789864 BZY789078:BZY789864 CJU789078:CJU789864 CTQ789078:CTQ789864 DDM789078:DDM789864 DNI789078:DNI789864 DXE789078:DXE789864 EHA789078:EHA789864 EQW789078:EQW789864 FAS789078:FAS789864 FKO789078:FKO789864 FUK789078:FUK789864 GEG789078:GEG789864 GOC789078:GOC789864 GXY789078:GXY789864 HHU789078:HHU789864 HRQ789078:HRQ789864 IBM789078:IBM789864 ILI789078:ILI789864 IVE789078:IVE789864 JFA789078:JFA789864 JOW789078:JOW789864 JYS789078:JYS789864 KIO789078:KIO789864 KSK789078:KSK789864 LCG789078:LCG789864 LMC789078:LMC789864 LVY789078:LVY789864 MFU789078:MFU789864 MPQ789078:MPQ789864 MZM789078:MZM789864 NJI789078:NJI789864 NTE789078:NTE789864 ODA789078:ODA789864 OMW789078:OMW789864 OWS789078:OWS789864 PGO789078:PGO789864 PQK789078:PQK789864 QAG789078:QAG789864 QKC789078:QKC789864 QTY789078:QTY789864 RDU789078:RDU789864 RNQ789078:RNQ789864 RXM789078:RXM789864 SHI789078:SHI789864 SRE789078:SRE789864 TBA789078:TBA789864 TKW789078:TKW789864 TUS789078:TUS789864 UEO789078:UEO789864 UOK789078:UOK789864 UYG789078:UYG789864 VIC789078:VIC789864 VRY789078:VRY789864 WBU789078:WBU789864 WLQ789078:WLQ789864 WVM789078:WVM789864 E854614:E855400 JA854614:JA855400 SW854614:SW855400 ACS854614:ACS855400 AMO854614:AMO855400 AWK854614:AWK855400 BGG854614:BGG855400 BQC854614:BQC855400 BZY854614:BZY855400 CJU854614:CJU855400 CTQ854614:CTQ855400 DDM854614:DDM855400 DNI854614:DNI855400 DXE854614:DXE855400 EHA854614:EHA855400 EQW854614:EQW855400 FAS854614:FAS855400 FKO854614:FKO855400 FUK854614:FUK855400 GEG854614:GEG855400 GOC854614:GOC855400 GXY854614:GXY855400 HHU854614:HHU855400 HRQ854614:HRQ855400 IBM854614:IBM855400 ILI854614:ILI855400 IVE854614:IVE855400 JFA854614:JFA855400 JOW854614:JOW855400 JYS854614:JYS855400 KIO854614:KIO855400 KSK854614:KSK855400 LCG854614:LCG855400 LMC854614:LMC855400 LVY854614:LVY855400 MFU854614:MFU855400 MPQ854614:MPQ855400 MZM854614:MZM855400 NJI854614:NJI855400 NTE854614:NTE855400 ODA854614:ODA855400 OMW854614:OMW855400 OWS854614:OWS855400 PGO854614:PGO855400 PQK854614:PQK855400 QAG854614:QAG855400 QKC854614:QKC855400 QTY854614:QTY855400 RDU854614:RDU855400 RNQ854614:RNQ855400 RXM854614:RXM855400 SHI854614:SHI855400 SRE854614:SRE855400 TBA854614:TBA855400 TKW854614:TKW855400 TUS854614:TUS855400 UEO854614:UEO855400 UOK854614:UOK855400 UYG854614:UYG855400 VIC854614:VIC855400 VRY854614:VRY855400 WBU854614:WBU855400 WLQ854614:WLQ855400 WVM854614:WVM855400 E920150:E920936 JA920150:JA920936 SW920150:SW920936 ACS920150:ACS920936 AMO920150:AMO920936 AWK920150:AWK920936 BGG920150:BGG920936 BQC920150:BQC920936 BZY920150:BZY920936 CJU920150:CJU920936 CTQ920150:CTQ920936 DDM920150:DDM920936 DNI920150:DNI920936 DXE920150:DXE920936 EHA920150:EHA920936 EQW920150:EQW920936 FAS920150:FAS920936 FKO920150:FKO920936 FUK920150:FUK920936 GEG920150:GEG920936 GOC920150:GOC920936 GXY920150:GXY920936 HHU920150:HHU920936 HRQ920150:HRQ920936 IBM920150:IBM920936 ILI920150:ILI920936 IVE920150:IVE920936 JFA920150:JFA920936 JOW920150:JOW920936 JYS920150:JYS920936 KIO920150:KIO920936 KSK920150:KSK920936 LCG920150:LCG920936 LMC920150:LMC920936 LVY920150:LVY920936 MFU920150:MFU920936 MPQ920150:MPQ920936 MZM920150:MZM920936 NJI920150:NJI920936 NTE920150:NTE920936 ODA920150:ODA920936 OMW920150:OMW920936 OWS920150:OWS920936 PGO920150:PGO920936 PQK920150:PQK920936 QAG920150:QAG920936 QKC920150:QKC920936 QTY920150:QTY920936 RDU920150:RDU920936 RNQ920150:RNQ920936 RXM920150:RXM920936 SHI920150:SHI920936 SRE920150:SRE920936 TBA920150:TBA920936 TKW920150:TKW920936 TUS920150:TUS920936 UEO920150:UEO920936 UOK920150:UOK920936 UYG920150:UYG920936 VIC920150:VIC920936 VRY920150:VRY920936 WBU920150:WBU920936 WLQ920150:WLQ920936 WVM920150:WVM920936 E985686:E986472 JA985686:JA986472 SW985686:SW986472 ACS985686:ACS986472 AMO985686:AMO986472 AWK985686:AWK986472 BGG985686:BGG986472 BQC985686:BQC986472 BZY985686:BZY986472 CJU985686:CJU986472 CTQ985686:CTQ986472 DDM985686:DDM986472 DNI985686:DNI986472 DXE985686:DXE986472 EHA985686:EHA986472 EQW985686:EQW986472 FAS985686:FAS986472 FKO985686:FKO986472 FUK985686:FUK986472 GEG985686:GEG986472 GOC985686:GOC986472 GXY985686:GXY986472 HHU985686:HHU986472 HRQ985686:HRQ986472 IBM985686:IBM986472 ILI985686:ILI986472 IVE985686:IVE986472 JFA985686:JFA986472 JOW985686:JOW986472 JYS985686:JYS986472 KIO985686:KIO986472 KSK985686:KSK986472 LCG985686:LCG986472 LMC985686:LMC986472 LVY985686:LVY986472 MFU985686:MFU986472 MPQ985686:MPQ986472 MZM985686:MZM986472 NJI985686:NJI986472 NTE985686:NTE986472 ODA985686:ODA986472 OMW985686:OMW986472 OWS985686:OWS986472 PGO985686:PGO986472 PQK985686:PQK986472 QAG985686:QAG986472 QKC985686:QKC986472 QTY985686:QTY986472 RDU985686:RDU986472 RNQ985686:RNQ986472 RXM985686:RXM986472 SHI985686:SHI986472 SRE985686:SRE986472 TBA985686:TBA986472 TKW985686:TKW986472 TUS985686:TUS986472 UEO985686:UEO986472 UOK985686:UOK986472 UYG985686:UYG986472 VIC985686:VIC986472 VRY985686:VRY986472 WBU985686:WBU986472 WLQ985686:WLQ986472 WVM985686:WVM986472 E65539:E67973 JA65539:JA67973 SW65539:SW67973 ACS65539:ACS67973 AMO65539:AMO67973 AWK65539:AWK67973 BGG65539:BGG67973 BQC65539:BQC67973 BZY65539:BZY67973 CJU65539:CJU67973 CTQ65539:CTQ67973 DDM65539:DDM67973 DNI65539:DNI67973 DXE65539:DXE67973 EHA65539:EHA67973 EQW65539:EQW67973 FAS65539:FAS67973 FKO65539:FKO67973 FUK65539:FUK67973 GEG65539:GEG67973 GOC65539:GOC67973 GXY65539:GXY67973 HHU65539:HHU67973 HRQ65539:HRQ67973 IBM65539:IBM67973 ILI65539:ILI67973 IVE65539:IVE67973 JFA65539:JFA67973 JOW65539:JOW67973 JYS65539:JYS67973 KIO65539:KIO67973 KSK65539:KSK67973 LCG65539:LCG67973 LMC65539:LMC67973 LVY65539:LVY67973 MFU65539:MFU67973 MPQ65539:MPQ67973 MZM65539:MZM67973 NJI65539:NJI67973 NTE65539:NTE67973 ODA65539:ODA67973 OMW65539:OMW67973 OWS65539:OWS67973 PGO65539:PGO67973 PQK65539:PQK67973 QAG65539:QAG67973 QKC65539:QKC67973 QTY65539:QTY67973 RDU65539:RDU67973 RNQ65539:RNQ67973 RXM65539:RXM67973 SHI65539:SHI67973 SRE65539:SRE67973 TBA65539:TBA67973 TKW65539:TKW67973 TUS65539:TUS67973 UEO65539:UEO67973 UOK65539:UOK67973 UYG65539:UYG67973 VIC65539:VIC67973 VRY65539:VRY67973 WBU65539:WBU67973 WLQ65539:WLQ67973 WVM65539:WVM67973 E131075:E133509 JA131075:JA133509 SW131075:SW133509 ACS131075:ACS133509 AMO131075:AMO133509 AWK131075:AWK133509 BGG131075:BGG133509 BQC131075:BQC133509 BZY131075:BZY133509 CJU131075:CJU133509 CTQ131075:CTQ133509 DDM131075:DDM133509 DNI131075:DNI133509 DXE131075:DXE133509 EHA131075:EHA133509 EQW131075:EQW133509 FAS131075:FAS133509 FKO131075:FKO133509 FUK131075:FUK133509 GEG131075:GEG133509 GOC131075:GOC133509 GXY131075:GXY133509 HHU131075:HHU133509 HRQ131075:HRQ133509 IBM131075:IBM133509 ILI131075:ILI133509 IVE131075:IVE133509 JFA131075:JFA133509 JOW131075:JOW133509 JYS131075:JYS133509 KIO131075:KIO133509 KSK131075:KSK133509 LCG131075:LCG133509 LMC131075:LMC133509 LVY131075:LVY133509 MFU131075:MFU133509 MPQ131075:MPQ133509 MZM131075:MZM133509 NJI131075:NJI133509 NTE131075:NTE133509 ODA131075:ODA133509 OMW131075:OMW133509 OWS131075:OWS133509 PGO131075:PGO133509 PQK131075:PQK133509 QAG131075:QAG133509 QKC131075:QKC133509 QTY131075:QTY133509 RDU131075:RDU133509 RNQ131075:RNQ133509 RXM131075:RXM133509 SHI131075:SHI133509 SRE131075:SRE133509 TBA131075:TBA133509 TKW131075:TKW133509 TUS131075:TUS133509 UEO131075:UEO133509 UOK131075:UOK133509 UYG131075:UYG133509 VIC131075:VIC133509 VRY131075:VRY133509 WBU131075:WBU133509 WLQ131075:WLQ133509 WVM131075:WVM133509 E196611:E199045 JA196611:JA199045 SW196611:SW199045 ACS196611:ACS199045 AMO196611:AMO199045 AWK196611:AWK199045 BGG196611:BGG199045 BQC196611:BQC199045 BZY196611:BZY199045 CJU196611:CJU199045 CTQ196611:CTQ199045 DDM196611:DDM199045 DNI196611:DNI199045 DXE196611:DXE199045 EHA196611:EHA199045 EQW196611:EQW199045 FAS196611:FAS199045 FKO196611:FKO199045 FUK196611:FUK199045 GEG196611:GEG199045 GOC196611:GOC199045 GXY196611:GXY199045 HHU196611:HHU199045 HRQ196611:HRQ199045 IBM196611:IBM199045 ILI196611:ILI199045 IVE196611:IVE199045 JFA196611:JFA199045 JOW196611:JOW199045 JYS196611:JYS199045 KIO196611:KIO199045 KSK196611:KSK199045 LCG196611:LCG199045 LMC196611:LMC199045 LVY196611:LVY199045 MFU196611:MFU199045 MPQ196611:MPQ199045 MZM196611:MZM199045 NJI196611:NJI199045 NTE196611:NTE199045 ODA196611:ODA199045 OMW196611:OMW199045 OWS196611:OWS199045 PGO196611:PGO199045 PQK196611:PQK199045 QAG196611:QAG199045 QKC196611:QKC199045 QTY196611:QTY199045 RDU196611:RDU199045 RNQ196611:RNQ199045 RXM196611:RXM199045 SHI196611:SHI199045 SRE196611:SRE199045 TBA196611:TBA199045 TKW196611:TKW199045 TUS196611:TUS199045 UEO196611:UEO199045 UOK196611:UOK199045 UYG196611:UYG199045 VIC196611:VIC199045 VRY196611:VRY199045 WBU196611:WBU199045 WLQ196611:WLQ199045 WVM196611:WVM199045 E262147:E264581 JA262147:JA264581 SW262147:SW264581 ACS262147:ACS264581 AMO262147:AMO264581 AWK262147:AWK264581 BGG262147:BGG264581 BQC262147:BQC264581 BZY262147:BZY264581 CJU262147:CJU264581 CTQ262147:CTQ264581 DDM262147:DDM264581 DNI262147:DNI264581 DXE262147:DXE264581 EHA262147:EHA264581 EQW262147:EQW264581 FAS262147:FAS264581 FKO262147:FKO264581 FUK262147:FUK264581 GEG262147:GEG264581 GOC262147:GOC264581 GXY262147:GXY264581 HHU262147:HHU264581 HRQ262147:HRQ264581 IBM262147:IBM264581 ILI262147:ILI264581 IVE262147:IVE264581 JFA262147:JFA264581 JOW262147:JOW264581 JYS262147:JYS264581 KIO262147:KIO264581 KSK262147:KSK264581 LCG262147:LCG264581 LMC262147:LMC264581 LVY262147:LVY264581 MFU262147:MFU264581 MPQ262147:MPQ264581 MZM262147:MZM264581 NJI262147:NJI264581 NTE262147:NTE264581 ODA262147:ODA264581 OMW262147:OMW264581 OWS262147:OWS264581 PGO262147:PGO264581 PQK262147:PQK264581 QAG262147:QAG264581 QKC262147:QKC264581 QTY262147:QTY264581 RDU262147:RDU264581 RNQ262147:RNQ264581 RXM262147:RXM264581 SHI262147:SHI264581 SRE262147:SRE264581 TBA262147:TBA264581 TKW262147:TKW264581 TUS262147:TUS264581 UEO262147:UEO264581 UOK262147:UOK264581 UYG262147:UYG264581 VIC262147:VIC264581 VRY262147:VRY264581 WBU262147:WBU264581 WLQ262147:WLQ264581 WVM262147:WVM264581 E327683:E330117 JA327683:JA330117 SW327683:SW330117 ACS327683:ACS330117 AMO327683:AMO330117 AWK327683:AWK330117 BGG327683:BGG330117 BQC327683:BQC330117 BZY327683:BZY330117 CJU327683:CJU330117 CTQ327683:CTQ330117 DDM327683:DDM330117 DNI327683:DNI330117 DXE327683:DXE330117 EHA327683:EHA330117 EQW327683:EQW330117 FAS327683:FAS330117 FKO327683:FKO330117 FUK327683:FUK330117 GEG327683:GEG330117 GOC327683:GOC330117 GXY327683:GXY330117 HHU327683:HHU330117 HRQ327683:HRQ330117 IBM327683:IBM330117 ILI327683:ILI330117 IVE327683:IVE330117 JFA327683:JFA330117 JOW327683:JOW330117 JYS327683:JYS330117 KIO327683:KIO330117 KSK327683:KSK330117 LCG327683:LCG330117 LMC327683:LMC330117 LVY327683:LVY330117 MFU327683:MFU330117 MPQ327683:MPQ330117 MZM327683:MZM330117 NJI327683:NJI330117 NTE327683:NTE330117 ODA327683:ODA330117 OMW327683:OMW330117 OWS327683:OWS330117 PGO327683:PGO330117 PQK327683:PQK330117 QAG327683:QAG330117 QKC327683:QKC330117 QTY327683:QTY330117 RDU327683:RDU330117 RNQ327683:RNQ330117 RXM327683:RXM330117 SHI327683:SHI330117 SRE327683:SRE330117 TBA327683:TBA330117 TKW327683:TKW330117 TUS327683:TUS330117 UEO327683:UEO330117 UOK327683:UOK330117 UYG327683:UYG330117 VIC327683:VIC330117 VRY327683:VRY330117 WBU327683:WBU330117 WLQ327683:WLQ330117 WVM327683:WVM330117 E393219:E395653 JA393219:JA395653 SW393219:SW395653 ACS393219:ACS395653 AMO393219:AMO395653 AWK393219:AWK395653 BGG393219:BGG395653 BQC393219:BQC395653 BZY393219:BZY395653 CJU393219:CJU395653 CTQ393219:CTQ395653 DDM393219:DDM395653 DNI393219:DNI395653 DXE393219:DXE395653 EHA393219:EHA395653 EQW393219:EQW395653 FAS393219:FAS395653 FKO393219:FKO395653 FUK393219:FUK395653 GEG393219:GEG395653 GOC393219:GOC395653 GXY393219:GXY395653 HHU393219:HHU395653 HRQ393219:HRQ395653 IBM393219:IBM395653 ILI393219:ILI395653 IVE393219:IVE395653 JFA393219:JFA395653 JOW393219:JOW395653 JYS393219:JYS395653 KIO393219:KIO395653 KSK393219:KSK395653 LCG393219:LCG395653 LMC393219:LMC395653 LVY393219:LVY395653 MFU393219:MFU395653 MPQ393219:MPQ395653 MZM393219:MZM395653 NJI393219:NJI395653 NTE393219:NTE395653 ODA393219:ODA395653 OMW393219:OMW395653 OWS393219:OWS395653 PGO393219:PGO395653 PQK393219:PQK395653 QAG393219:QAG395653 QKC393219:QKC395653 QTY393219:QTY395653 RDU393219:RDU395653 RNQ393219:RNQ395653 RXM393219:RXM395653 SHI393219:SHI395653 SRE393219:SRE395653 TBA393219:TBA395653 TKW393219:TKW395653 TUS393219:TUS395653 UEO393219:UEO395653 UOK393219:UOK395653 UYG393219:UYG395653 VIC393219:VIC395653 VRY393219:VRY395653 WBU393219:WBU395653 WLQ393219:WLQ395653 WVM393219:WVM395653 E458755:E461189 JA458755:JA461189 SW458755:SW461189 ACS458755:ACS461189 AMO458755:AMO461189 AWK458755:AWK461189 BGG458755:BGG461189 BQC458755:BQC461189 BZY458755:BZY461189 CJU458755:CJU461189 CTQ458755:CTQ461189 DDM458755:DDM461189 DNI458755:DNI461189 DXE458755:DXE461189 EHA458755:EHA461189 EQW458755:EQW461189 FAS458755:FAS461189 FKO458755:FKO461189 FUK458755:FUK461189 GEG458755:GEG461189 GOC458755:GOC461189 GXY458755:GXY461189 HHU458755:HHU461189 HRQ458755:HRQ461189 IBM458755:IBM461189 ILI458755:ILI461189 IVE458755:IVE461189 JFA458755:JFA461189 JOW458755:JOW461189 JYS458755:JYS461189 KIO458755:KIO461189 KSK458755:KSK461189 LCG458755:LCG461189 LMC458755:LMC461189 LVY458755:LVY461189 MFU458755:MFU461189 MPQ458755:MPQ461189 MZM458755:MZM461189 NJI458755:NJI461189 NTE458755:NTE461189 ODA458755:ODA461189 OMW458755:OMW461189 OWS458755:OWS461189 PGO458755:PGO461189 PQK458755:PQK461189 QAG458755:QAG461189 QKC458755:QKC461189 QTY458755:QTY461189 RDU458755:RDU461189 RNQ458755:RNQ461189 RXM458755:RXM461189 SHI458755:SHI461189 SRE458755:SRE461189 TBA458755:TBA461189 TKW458755:TKW461189 TUS458755:TUS461189 UEO458755:UEO461189 UOK458755:UOK461189 UYG458755:UYG461189 VIC458755:VIC461189 VRY458755:VRY461189 WBU458755:WBU461189 WLQ458755:WLQ461189 WVM458755:WVM461189 E524291:E526725 JA524291:JA526725 SW524291:SW526725 ACS524291:ACS526725 AMO524291:AMO526725 AWK524291:AWK526725 BGG524291:BGG526725 BQC524291:BQC526725 BZY524291:BZY526725 CJU524291:CJU526725 CTQ524291:CTQ526725 DDM524291:DDM526725 DNI524291:DNI526725 DXE524291:DXE526725 EHA524291:EHA526725 EQW524291:EQW526725 FAS524291:FAS526725 FKO524291:FKO526725 FUK524291:FUK526725 GEG524291:GEG526725 GOC524291:GOC526725 GXY524291:GXY526725 HHU524291:HHU526725 HRQ524291:HRQ526725 IBM524291:IBM526725 ILI524291:ILI526725 IVE524291:IVE526725 JFA524291:JFA526725 JOW524291:JOW526725 JYS524291:JYS526725 KIO524291:KIO526725 KSK524291:KSK526725 LCG524291:LCG526725 LMC524291:LMC526725 LVY524291:LVY526725 MFU524291:MFU526725 MPQ524291:MPQ526725 MZM524291:MZM526725 NJI524291:NJI526725 NTE524291:NTE526725 ODA524291:ODA526725 OMW524291:OMW526725 OWS524291:OWS526725 PGO524291:PGO526725 PQK524291:PQK526725 QAG524291:QAG526725 QKC524291:QKC526725 QTY524291:QTY526725 RDU524291:RDU526725 RNQ524291:RNQ526725 RXM524291:RXM526725 SHI524291:SHI526725 SRE524291:SRE526725 TBA524291:TBA526725 TKW524291:TKW526725 TUS524291:TUS526725 UEO524291:UEO526725 UOK524291:UOK526725 UYG524291:UYG526725 VIC524291:VIC526725 VRY524291:VRY526725 WBU524291:WBU526725 WLQ524291:WLQ526725 WVM524291:WVM526725 E589827:E592261 JA589827:JA592261 SW589827:SW592261 ACS589827:ACS592261 AMO589827:AMO592261 AWK589827:AWK592261 BGG589827:BGG592261 BQC589827:BQC592261 BZY589827:BZY592261 CJU589827:CJU592261 CTQ589827:CTQ592261 DDM589827:DDM592261 DNI589827:DNI592261 DXE589827:DXE592261 EHA589827:EHA592261 EQW589827:EQW592261 FAS589827:FAS592261 FKO589827:FKO592261 FUK589827:FUK592261 GEG589827:GEG592261 GOC589827:GOC592261 GXY589827:GXY592261 HHU589827:HHU592261 HRQ589827:HRQ592261 IBM589827:IBM592261 ILI589827:ILI592261 IVE589827:IVE592261 JFA589827:JFA592261 JOW589827:JOW592261 JYS589827:JYS592261 KIO589827:KIO592261 KSK589827:KSK592261 LCG589827:LCG592261 LMC589827:LMC592261 LVY589827:LVY592261 MFU589827:MFU592261 MPQ589827:MPQ592261 MZM589827:MZM592261 NJI589827:NJI592261 NTE589827:NTE592261 ODA589827:ODA592261 OMW589827:OMW592261 OWS589827:OWS592261 PGO589827:PGO592261 PQK589827:PQK592261 QAG589827:QAG592261 QKC589827:QKC592261 QTY589827:QTY592261 RDU589827:RDU592261 RNQ589827:RNQ592261 RXM589827:RXM592261 SHI589827:SHI592261 SRE589827:SRE592261 TBA589827:TBA592261 TKW589827:TKW592261 TUS589827:TUS592261 UEO589827:UEO592261 UOK589827:UOK592261 UYG589827:UYG592261 VIC589827:VIC592261 VRY589827:VRY592261 WBU589827:WBU592261 WLQ589827:WLQ592261 WVM589827:WVM592261 E655363:E657797 JA655363:JA657797 SW655363:SW657797 ACS655363:ACS657797 AMO655363:AMO657797 AWK655363:AWK657797 BGG655363:BGG657797 BQC655363:BQC657797 BZY655363:BZY657797 CJU655363:CJU657797 CTQ655363:CTQ657797 DDM655363:DDM657797 DNI655363:DNI657797 DXE655363:DXE657797 EHA655363:EHA657797 EQW655363:EQW657797 FAS655363:FAS657797 FKO655363:FKO657797 FUK655363:FUK657797 GEG655363:GEG657797 GOC655363:GOC657797 GXY655363:GXY657797 HHU655363:HHU657797 HRQ655363:HRQ657797 IBM655363:IBM657797 ILI655363:ILI657797 IVE655363:IVE657797 JFA655363:JFA657797 JOW655363:JOW657797 JYS655363:JYS657797 KIO655363:KIO657797 KSK655363:KSK657797 LCG655363:LCG657797 LMC655363:LMC657797 LVY655363:LVY657797 MFU655363:MFU657797 MPQ655363:MPQ657797 MZM655363:MZM657797 NJI655363:NJI657797 NTE655363:NTE657797 ODA655363:ODA657797 OMW655363:OMW657797 OWS655363:OWS657797 PGO655363:PGO657797 PQK655363:PQK657797 QAG655363:QAG657797 QKC655363:QKC657797 QTY655363:QTY657797 RDU655363:RDU657797 RNQ655363:RNQ657797 RXM655363:RXM657797 SHI655363:SHI657797 SRE655363:SRE657797 TBA655363:TBA657797 TKW655363:TKW657797 TUS655363:TUS657797 UEO655363:UEO657797 UOK655363:UOK657797 UYG655363:UYG657797 VIC655363:VIC657797 VRY655363:VRY657797 WBU655363:WBU657797 WLQ655363:WLQ657797 WVM655363:WVM657797 E720899:E723333 JA720899:JA723333 SW720899:SW723333 ACS720899:ACS723333 AMO720899:AMO723333 AWK720899:AWK723333 BGG720899:BGG723333 BQC720899:BQC723333 BZY720899:BZY723333 CJU720899:CJU723333 CTQ720899:CTQ723333 DDM720899:DDM723333 DNI720899:DNI723333 DXE720899:DXE723333 EHA720899:EHA723333 EQW720899:EQW723333 FAS720899:FAS723333 FKO720899:FKO723333 FUK720899:FUK723333 GEG720899:GEG723333 GOC720899:GOC723333 GXY720899:GXY723333 HHU720899:HHU723333 HRQ720899:HRQ723333 IBM720899:IBM723333 ILI720899:ILI723333 IVE720899:IVE723333 JFA720899:JFA723333 JOW720899:JOW723333 JYS720899:JYS723333 KIO720899:KIO723333 KSK720899:KSK723333 LCG720899:LCG723333 LMC720899:LMC723333 LVY720899:LVY723333 MFU720899:MFU723333 MPQ720899:MPQ723333 MZM720899:MZM723333 NJI720899:NJI723333 NTE720899:NTE723333 ODA720899:ODA723333 OMW720899:OMW723333 OWS720899:OWS723333 PGO720899:PGO723333 PQK720899:PQK723333 QAG720899:QAG723333 QKC720899:QKC723333 QTY720899:QTY723333 RDU720899:RDU723333 RNQ720899:RNQ723333 RXM720899:RXM723333 SHI720899:SHI723333 SRE720899:SRE723333 TBA720899:TBA723333 TKW720899:TKW723333 TUS720899:TUS723333 UEO720899:UEO723333 UOK720899:UOK723333 UYG720899:UYG723333 VIC720899:VIC723333 VRY720899:VRY723333 WBU720899:WBU723333 WLQ720899:WLQ723333 WVM720899:WVM723333 E786435:E788869 JA786435:JA788869 SW786435:SW788869 ACS786435:ACS788869 AMO786435:AMO788869 AWK786435:AWK788869 BGG786435:BGG788869 BQC786435:BQC788869 BZY786435:BZY788869 CJU786435:CJU788869 CTQ786435:CTQ788869 DDM786435:DDM788869 DNI786435:DNI788869 DXE786435:DXE788869 EHA786435:EHA788869 EQW786435:EQW788869 FAS786435:FAS788869 FKO786435:FKO788869 FUK786435:FUK788869 GEG786435:GEG788869 GOC786435:GOC788869 GXY786435:GXY788869 HHU786435:HHU788869 HRQ786435:HRQ788869 IBM786435:IBM788869 ILI786435:ILI788869 IVE786435:IVE788869 JFA786435:JFA788869 JOW786435:JOW788869 JYS786435:JYS788869 KIO786435:KIO788869 KSK786435:KSK788869 LCG786435:LCG788869 LMC786435:LMC788869 LVY786435:LVY788869 MFU786435:MFU788869 MPQ786435:MPQ788869 MZM786435:MZM788869 NJI786435:NJI788869 NTE786435:NTE788869 ODA786435:ODA788869 OMW786435:OMW788869 OWS786435:OWS788869 PGO786435:PGO788869 PQK786435:PQK788869 QAG786435:QAG788869 QKC786435:QKC788869 QTY786435:QTY788869 RDU786435:RDU788869 RNQ786435:RNQ788869 RXM786435:RXM788869 SHI786435:SHI788869 SRE786435:SRE788869 TBA786435:TBA788869 TKW786435:TKW788869 TUS786435:TUS788869 UEO786435:UEO788869 UOK786435:UOK788869 UYG786435:UYG788869 VIC786435:VIC788869 VRY786435:VRY788869 WBU786435:WBU788869 WLQ786435:WLQ788869 WVM786435:WVM788869 E851971:E854405 JA851971:JA854405 SW851971:SW854405 ACS851971:ACS854405 AMO851971:AMO854405 AWK851971:AWK854405 BGG851971:BGG854405 BQC851971:BQC854405 BZY851971:BZY854405 CJU851971:CJU854405 CTQ851971:CTQ854405 DDM851971:DDM854405 DNI851971:DNI854405 DXE851971:DXE854405 EHA851971:EHA854405 EQW851971:EQW854405 FAS851971:FAS854405 FKO851971:FKO854405 FUK851971:FUK854405 GEG851971:GEG854405 GOC851971:GOC854405 GXY851971:GXY854405 HHU851971:HHU854405 HRQ851971:HRQ854405 IBM851971:IBM854405 ILI851971:ILI854405 IVE851971:IVE854405 JFA851971:JFA854405 JOW851971:JOW854405 JYS851971:JYS854405 KIO851971:KIO854405 KSK851971:KSK854405 LCG851971:LCG854405 LMC851971:LMC854405 LVY851971:LVY854405 MFU851971:MFU854405 MPQ851971:MPQ854405 MZM851971:MZM854405 NJI851971:NJI854405 NTE851971:NTE854405 ODA851971:ODA854405 OMW851971:OMW854405 OWS851971:OWS854405 PGO851971:PGO854405 PQK851971:PQK854405 QAG851971:QAG854405 QKC851971:QKC854405 QTY851971:QTY854405 RDU851971:RDU854405 RNQ851971:RNQ854405 RXM851971:RXM854405 SHI851971:SHI854405 SRE851971:SRE854405 TBA851971:TBA854405 TKW851971:TKW854405 TUS851971:TUS854405 UEO851971:UEO854405 UOK851971:UOK854405 UYG851971:UYG854405 VIC851971:VIC854405 VRY851971:VRY854405 WBU851971:WBU854405 WLQ851971:WLQ854405 WVM851971:WVM854405 E917507:E919941 JA917507:JA919941 SW917507:SW919941 ACS917507:ACS919941 AMO917507:AMO919941 AWK917507:AWK919941 BGG917507:BGG919941 BQC917507:BQC919941 BZY917507:BZY919941 CJU917507:CJU919941 CTQ917507:CTQ919941 DDM917507:DDM919941 DNI917507:DNI919941 DXE917507:DXE919941 EHA917507:EHA919941 EQW917507:EQW919941 FAS917507:FAS919941 FKO917507:FKO919941 FUK917507:FUK919941 GEG917507:GEG919941 GOC917507:GOC919941 GXY917507:GXY919941 HHU917507:HHU919941 HRQ917507:HRQ919941 IBM917507:IBM919941 ILI917507:ILI919941 IVE917507:IVE919941 JFA917507:JFA919941 JOW917507:JOW919941 JYS917507:JYS919941 KIO917507:KIO919941 KSK917507:KSK919941 LCG917507:LCG919941 LMC917507:LMC919941 LVY917507:LVY919941 MFU917507:MFU919941 MPQ917507:MPQ919941 MZM917507:MZM919941 NJI917507:NJI919941 NTE917507:NTE919941 ODA917507:ODA919941 OMW917507:OMW919941 OWS917507:OWS919941 PGO917507:PGO919941 PQK917507:PQK919941 QAG917507:QAG919941 QKC917507:QKC919941 QTY917507:QTY919941 RDU917507:RDU919941 RNQ917507:RNQ919941 RXM917507:RXM919941 SHI917507:SHI919941 SRE917507:SRE919941 TBA917507:TBA919941 TKW917507:TKW919941 TUS917507:TUS919941 UEO917507:UEO919941 UOK917507:UOK919941 UYG917507:UYG919941 VIC917507:VIC919941 VRY917507:VRY919941 WBU917507:WBU919941 WLQ917507:WLQ919941 WVM917507:WVM919941 E983043:E985477 JA983043:JA985477 SW983043:SW985477 ACS983043:ACS985477 AMO983043:AMO985477 AWK983043:AWK985477 BGG983043:BGG985477 BQC983043:BQC985477 BZY983043:BZY985477 CJU983043:CJU985477 CTQ983043:CTQ985477 DDM983043:DDM985477 DNI983043:DNI985477 DXE983043:DXE985477 EHA983043:EHA985477 EQW983043:EQW985477 FAS983043:FAS985477 FKO983043:FKO985477 FUK983043:FUK985477 GEG983043:GEG985477 GOC983043:GOC985477 GXY983043:GXY985477 HHU983043:HHU985477 HRQ983043:HRQ985477 IBM983043:IBM985477 ILI983043:ILI985477 IVE983043:IVE985477 JFA983043:JFA985477 JOW983043:JOW985477 JYS983043:JYS985477 KIO983043:KIO985477 KSK983043:KSK985477 LCG983043:LCG985477 LMC983043:LMC985477 LVY983043:LVY985477 MFU983043:MFU985477 MPQ983043:MPQ985477 MZM983043:MZM985477 NJI983043:NJI985477 NTE983043:NTE985477 ODA983043:ODA985477 OMW983043:OMW985477 OWS983043:OWS985477 PGO983043:PGO985477 PQK983043:PQK985477 QAG983043:QAG985477 QKC983043:QKC985477 QTY983043:QTY985477 RDU983043:RDU985477 RNQ983043:RNQ985477 RXM983043:RXM985477 SHI983043:SHI985477 SRE983043:SRE985477 TBA983043:TBA985477 TKW983043:TKW985477 TUS983043:TUS985477 UEO983043:UEO985477 UOK983043:UOK985477 UYG983043:UYG985477 VIC983043:VIC985477 VRY983043:VRY985477 WBU983043:WBU985477 WLQ983043:WLQ985477 WVM983043:WVM985477 WVM4:WVM2437 WLQ4:WLQ2437 WBU4:WBU2437 VRY4:VRY2437 VIC4:VIC2437 UYG4:UYG2437 UOK4:UOK2437 UEO4:UEO2437 TUS4:TUS2437 TKW4:TKW2437 TBA4:TBA2437 SRE4:SRE2437 SHI4:SHI2437 RXM4:RXM2437 RNQ4:RNQ2437 RDU4:RDU2437 QTY4:QTY2437 QKC4:QKC2437 QAG4:QAG2437 PQK4:PQK2437 PGO4:PGO2437 OWS4:OWS2437 OMW4:OMW2437 ODA4:ODA2437 NTE4:NTE2437 NJI4:NJI2437 MZM4:MZM2437 MPQ4:MPQ2437 MFU4:MFU2437 LVY4:LVY2437 LMC4:LMC2437 LCG4:LCG2437 KSK4:KSK2437 KIO4:KIO2437 JYS4:JYS2437 JOW4:JOW2437 JFA4:JFA2437 IVE4:IVE2437 ILI4:ILI2437 IBM4:IBM2437 HRQ4:HRQ2437 HHU4:HHU2437 GXY4:GXY2437 GOC4:GOC2437 GEG4:GEG2437 FUK4:FUK2437 FKO4:FKO2437 FAS4:FAS2437 EQW4:EQW2437 EHA4:EHA2437 DXE4:DXE2437 DNI4:DNI2437 DDM4:DDM2437 CTQ4:CTQ2437 CJU4:CJU2437 BZY4:BZY2437 BQC4:BQC2437 BGG4:BGG2437 AWK4:AWK2437 AMO4:AMO2437 ACS4:ACS2437 SW4:SW2437 JA4:JA2437 E4:E2437" xr:uid="{00000000-0002-0000-0100-000001000000}">
      <formula1>"Acessórios,Diversos,Entrada de Energia,Equipamentos,Fios e Cabos,Iluminação,Infraestrutura,Painéis e Quadros,Pontos de Utilização,Sistema de Comunicações,Sistema de Incêndio,SPDA/Aterramento"</formula1>
    </dataValidation>
    <dataValidation type="list" allowBlank="1" showInputMessage="1" showErrorMessage="1" sqref="E2576 JA2576 SW2576 ACS2576 AMO2576 AWK2576 BGG2576 BQC2576 BZY2576 CJU2576 CTQ2576 DDM2576 DNI2576 DXE2576 EHA2576 EQW2576 FAS2576 FKO2576 FUK2576 GEG2576 GOC2576 GXY2576 HHU2576 HRQ2576 IBM2576 ILI2576 IVE2576 JFA2576 JOW2576 JYS2576 KIO2576 KSK2576 LCG2576 LMC2576 LVY2576 MFU2576 MPQ2576 MZM2576 NJI2576 NTE2576 ODA2576 OMW2576 OWS2576 PGO2576 PQK2576 QAG2576 QKC2576 QTY2576 RDU2576 RNQ2576 RXM2576 SHI2576 SRE2576 TBA2576 TKW2576 TUS2576 UEO2576 UOK2576 UYG2576 VIC2576 VRY2576 WBU2576 WLQ2576 WVM2576 E68112 JA68112 SW68112 ACS68112 AMO68112 AWK68112 BGG68112 BQC68112 BZY68112 CJU68112 CTQ68112 DDM68112 DNI68112 DXE68112 EHA68112 EQW68112 FAS68112 FKO68112 FUK68112 GEG68112 GOC68112 GXY68112 HHU68112 HRQ68112 IBM68112 ILI68112 IVE68112 JFA68112 JOW68112 JYS68112 KIO68112 KSK68112 LCG68112 LMC68112 LVY68112 MFU68112 MPQ68112 MZM68112 NJI68112 NTE68112 ODA68112 OMW68112 OWS68112 PGO68112 PQK68112 QAG68112 QKC68112 QTY68112 RDU68112 RNQ68112 RXM68112 SHI68112 SRE68112 TBA68112 TKW68112 TUS68112 UEO68112 UOK68112 UYG68112 VIC68112 VRY68112 WBU68112 WLQ68112 WVM68112 E133648 JA133648 SW133648 ACS133648 AMO133648 AWK133648 BGG133648 BQC133648 BZY133648 CJU133648 CTQ133648 DDM133648 DNI133648 DXE133648 EHA133648 EQW133648 FAS133648 FKO133648 FUK133648 GEG133648 GOC133648 GXY133648 HHU133648 HRQ133648 IBM133648 ILI133648 IVE133648 JFA133648 JOW133648 JYS133648 KIO133648 KSK133648 LCG133648 LMC133648 LVY133648 MFU133648 MPQ133648 MZM133648 NJI133648 NTE133648 ODA133648 OMW133648 OWS133648 PGO133648 PQK133648 QAG133648 QKC133648 QTY133648 RDU133648 RNQ133648 RXM133648 SHI133648 SRE133648 TBA133648 TKW133648 TUS133648 UEO133648 UOK133648 UYG133648 VIC133648 VRY133648 WBU133648 WLQ133648 WVM133648 E199184 JA199184 SW199184 ACS199184 AMO199184 AWK199184 BGG199184 BQC199184 BZY199184 CJU199184 CTQ199184 DDM199184 DNI199184 DXE199184 EHA199184 EQW199184 FAS199184 FKO199184 FUK199184 GEG199184 GOC199184 GXY199184 HHU199184 HRQ199184 IBM199184 ILI199184 IVE199184 JFA199184 JOW199184 JYS199184 KIO199184 KSK199184 LCG199184 LMC199184 LVY199184 MFU199184 MPQ199184 MZM199184 NJI199184 NTE199184 ODA199184 OMW199184 OWS199184 PGO199184 PQK199184 QAG199184 QKC199184 QTY199184 RDU199184 RNQ199184 RXM199184 SHI199184 SRE199184 TBA199184 TKW199184 TUS199184 UEO199184 UOK199184 UYG199184 VIC199184 VRY199184 WBU199184 WLQ199184 WVM199184 E264720 JA264720 SW264720 ACS264720 AMO264720 AWK264720 BGG264720 BQC264720 BZY264720 CJU264720 CTQ264720 DDM264720 DNI264720 DXE264720 EHA264720 EQW264720 FAS264720 FKO264720 FUK264720 GEG264720 GOC264720 GXY264720 HHU264720 HRQ264720 IBM264720 ILI264720 IVE264720 JFA264720 JOW264720 JYS264720 KIO264720 KSK264720 LCG264720 LMC264720 LVY264720 MFU264720 MPQ264720 MZM264720 NJI264720 NTE264720 ODA264720 OMW264720 OWS264720 PGO264720 PQK264720 QAG264720 QKC264720 QTY264720 RDU264720 RNQ264720 RXM264720 SHI264720 SRE264720 TBA264720 TKW264720 TUS264720 UEO264720 UOK264720 UYG264720 VIC264720 VRY264720 WBU264720 WLQ264720 WVM264720 E330256 JA330256 SW330256 ACS330256 AMO330256 AWK330256 BGG330256 BQC330256 BZY330256 CJU330256 CTQ330256 DDM330256 DNI330256 DXE330256 EHA330256 EQW330256 FAS330256 FKO330256 FUK330256 GEG330256 GOC330256 GXY330256 HHU330256 HRQ330256 IBM330256 ILI330256 IVE330256 JFA330256 JOW330256 JYS330256 KIO330256 KSK330256 LCG330256 LMC330256 LVY330256 MFU330256 MPQ330256 MZM330256 NJI330256 NTE330256 ODA330256 OMW330256 OWS330256 PGO330256 PQK330256 QAG330256 QKC330256 QTY330256 RDU330256 RNQ330256 RXM330256 SHI330256 SRE330256 TBA330256 TKW330256 TUS330256 UEO330256 UOK330256 UYG330256 VIC330256 VRY330256 WBU330256 WLQ330256 WVM330256 E395792 JA395792 SW395792 ACS395792 AMO395792 AWK395792 BGG395792 BQC395792 BZY395792 CJU395792 CTQ395792 DDM395792 DNI395792 DXE395792 EHA395792 EQW395792 FAS395792 FKO395792 FUK395792 GEG395792 GOC395792 GXY395792 HHU395792 HRQ395792 IBM395792 ILI395792 IVE395792 JFA395792 JOW395792 JYS395792 KIO395792 KSK395792 LCG395792 LMC395792 LVY395792 MFU395792 MPQ395792 MZM395792 NJI395792 NTE395792 ODA395792 OMW395792 OWS395792 PGO395792 PQK395792 QAG395792 QKC395792 QTY395792 RDU395792 RNQ395792 RXM395792 SHI395792 SRE395792 TBA395792 TKW395792 TUS395792 UEO395792 UOK395792 UYG395792 VIC395792 VRY395792 WBU395792 WLQ395792 WVM395792 E461328 JA461328 SW461328 ACS461328 AMO461328 AWK461328 BGG461328 BQC461328 BZY461328 CJU461328 CTQ461328 DDM461328 DNI461328 DXE461328 EHA461328 EQW461328 FAS461328 FKO461328 FUK461328 GEG461328 GOC461328 GXY461328 HHU461328 HRQ461328 IBM461328 ILI461328 IVE461328 JFA461328 JOW461328 JYS461328 KIO461328 KSK461328 LCG461328 LMC461328 LVY461328 MFU461328 MPQ461328 MZM461328 NJI461328 NTE461328 ODA461328 OMW461328 OWS461328 PGO461328 PQK461328 QAG461328 QKC461328 QTY461328 RDU461328 RNQ461328 RXM461328 SHI461328 SRE461328 TBA461328 TKW461328 TUS461328 UEO461328 UOK461328 UYG461328 VIC461328 VRY461328 WBU461328 WLQ461328 WVM461328 E526864 JA526864 SW526864 ACS526864 AMO526864 AWK526864 BGG526864 BQC526864 BZY526864 CJU526864 CTQ526864 DDM526864 DNI526864 DXE526864 EHA526864 EQW526864 FAS526864 FKO526864 FUK526864 GEG526864 GOC526864 GXY526864 HHU526864 HRQ526864 IBM526864 ILI526864 IVE526864 JFA526864 JOW526864 JYS526864 KIO526864 KSK526864 LCG526864 LMC526864 LVY526864 MFU526864 MPQ526864 MZM526864 NJI526864 NTE526864 ODA526864 OMW526864 OWS526864 PGO526864 PQK526864 QAG526864 QKC526864 QTY526864 RDU526864 RNQ526864 RXM526864 SHI526864 SRE526864 TBA526864 TKW526864 TUS526864 UEO526864 UOK526864 UYG526864 VIC526864 VRY526864 WBU526864 WLQ526864 WVM526864 E592400 JA592400 SW592400 ACS592400 AMO592400 AWK592400 BGG592400 BQC592400 BZY592400 CJU592400 CTQ592400 DDM592400 DNI592400 DXE592400 EHA592400 EQW592400 FAS592400 FKO592400 FUK592400 GEG592400 GOC592400 GXY592400 HHU592400 HRQ592400 IBM592400 ILI592400 IVE592400 JFA592400 JOW592400 JYS592400 KIO592400 KSK592400 LCG592400 LMC592400 LVY592400 MFU592400 MPQ592400 MZM592400 NJI592400 NTE592400 ODA592400 OMW592400 OWS592400 PGO592400 PQK592400 QAG592400 QKC592400 QTY592400 RDU592400 RNQ592400 RXM592400 SHI592400 SRE592400 TBA592400 TKW592400 TUS592400 UEO592400 UOK592400 UYG592400 VIC592400 VRY592400 WBU592400 WLQ592400 WVM592400 E657936 JA657936 SW657936 ACS657936 AMO657936 AWK657936 BGG657936 BQC657936 BZY657936 CJU657936 CTQ657936 DDM657936 DNI657936 DXE657936 EHA657936 EQW657936 FAS657936 FKO657936 FUK657936 GEG657936 GOC657936 GXY657936 HHU657936 HRQ657936 IBM657936 ILI657936 IVE657936 JFA657936 JOW657936 JYS657936 KIO657936 KSK657936 LCG657936 LMC657936 LVY657936 MFU657936 MPQ657936 MZM657936 NJI657936 NTE657936 ODA657936 OMW657936 OWS657936 PGO657936 PQK657936 QAG657936 QKC657936 QTY657936 RDU657936 RNQ657936 RXM657936 SHI657936 SRE657936 TBA657936 TKW657936 TUS657936 UEO657936 UOK657936 UYG657936 VIC657936 VRY657936 WBU657936 WLQ657936 WVM657936 E723472 JA723472 SW723472 ACS723472 AMO723472 AWK723472 BGG723472 BQC723472 BZY723472 CJU723472 CTQ723472 DDM723472 DNI723472 DXE723472 EHA723472 EQW723472 FAS723472 FKO723472 FUK723472 GEG723472 GOC723472 GXY723472 HHU723472 HRQ723472 IBM723472 ILI723472 IVE723472 JFA723472 JOW723472 JYS723472 KIO723472 KSK723472 LCG723472 LMC723472 LVY723472 MFU723472 MPQ723472 MZM723472 NJI723472 NTE723472 ODA723472 OMW723472 OWS723472 PGO723472 PQK723472 QAG723472 QKC723472 QTY723472 RDU723472 RNQ723472 RXM723472 SHI723472 SRE723472 TBA723472 TKW723472 TUS723472 UEO723472 UOK723472 UYG723472 VIC723472 VRY723472 WBU723472 WLQ723472 WVM723472 E789008 JA789008 SW789008 ACS789008 AMO789008 AWK789008 BGG789008 BQC789008 BZY789008 CJU789008 CTQ789008 DDM789008 DNI789008 DXE789008 EHA789008 EQW789008 FAS789008 FKO789008 FUK789008 GEG789008 GOC789008 GXY789008 HHU789008 HRQ789008 IBM789008 ILI789008 IVE789008 JFA789008 JOW789008 JYS789008 KIO789008 KSK789008 LCG789008 LMC789008 LVY789008 MFU789008 MPQ789008 MZM789008 NJI789008 NTE789008 ODA789008 OMW789008 OWS789008 PGO789008 PQK789008 QAG789008 QKC789008 QTY789008 RDU789008 RNQ789008 RXM789008 SHI789008 SRE789008 TBA789008 TKW789008 TUS789008 UEO789008 UOK789008 UYG789008 VIC789008 VRY789008 WBU789008 WLQ789008 WVM789008 E854544 JA854544 SW854544 ACS854544 AMO854544 AWK854544 BGG854544 BQC854544 BZY854544 CJU854544 CTQ854544 DDM854544 DNI854544 DXE854544 EHA854544 EQW854544 FAS854544 FKO854544 FUK854544 GEG854544 GOC854544 GXY854544 HHU854544 HRQ854544 IBM854544 ILI854544 IVE854544 JFA854544 JOW854544 JYS854544 KIO854544 KSK854544 LCG854544 LMC854544 LVY854544 MFU854544 MPQ854544 MZM854544 NJI854544 NTE854544 ODA854544 OMW854544 OWS854544 PGO854544 PQK854544 QAG854544 QKC854544 QTY854544 RDU854544 RNQ854544 RXM854544 SHI854544 SRE854544 TBA854544 TKW854544 TUS854544 UEO854544 UOK854544 UYG854544 VIC854544 VRY854544 WBU854544 WLQ854544 WVM854544 E920080 JA920080 SW920080 ACS920080 AMO920080 AWK920080 BGG920080 BQC920080 BZY920080 CJU920080 CTQ920080 DDM920080 DNI920080 DXE920080 EHA920080 EQW920080 FAS920080 FKO920080 FUK920080 GEG920080 GOC920080 GXY920080 HHU920080 HRQ920080 IBM920080 ILI920080 IVE920080 JFA920080 JOW920080 JYS920080 KIO920080 KSK920080 LCG920080 LMC920080 LVY920080 MFU920080 MPQ920080 MZM920080 NJI920080 NTE920080 ODA920080 OMW920080 OWS920080 PGO920080 PQK920080 QAG920080 QKC920080 QTY920080 RDU920080 RNQ920080 RXM920080 SHI920080 SRE920080 TBA920080 TKW920080 TUS920080 UEO920080 UOK920080 UYG920080 VIC920080 VRY920080 WBU920080 WLQ920080 WVM920080 E985616 JA985616 SW985616 ACS985616 AMO985616 AWK985616 BGG985616 BQC985616 BZY985616 CJU985616 CTQ985616 DDM985616 DNI985616 DXE985616 EHA985616 EQW985616 FAS985616 FKO985616 FUK985616 GEG985616 GOC985616 GXY985616 HHU985616 HRQ985616 IBM985616 ILI985616 IVE985616 JFA985616 JOW985616 JYS985616 KIO985616 KSK985616 LCG985616 LMC985616 LVY985616 MFU985616 MPQ985616 MZM985616 NJI985616 NTE985616 ODA985616 OMW985616 OWS985616 PGO985616 PQK985616 QAG985616 QKC985616 QTY985616 RDU985616 RNQ985616 RXM985616 SHI985616 SRE985616 TBA985616 TKW985616 TUS985616 UEO985616 UOK985616 UYG985616 VIC985616 VRY985616 WBU985616 WLQ985616 WVM985616 E2645 JA2645 SW2645 ACS2645 AMO2645 AWK2645 BGG2645 BQC2645 BZY2645 CJU2645 CTQ2645 DDM2645 DNI2645 DXE2645 EHA2645 EQW2645 FAS2645 FKO2645 FUK2645 GEG2645 GOC2645 GXY2645 HHU2645 HRQ2645 IBM2645 ILI2645 IVE2645 JFA2645 JOW2645 JYS2645 KIO2645 KSK2645 LCG2645 LMC2645 LVY2645 MFU2645 MPQ2645 MZM2645 NJI2645 NTE2645 ODA2645 OMW2645 OWS2645 PGO2645 PQK2645 QAG2645 QKC2645 QTY2645 RDU2645 RNQ2645 RXM2645 SHI2645 SRE2645 TBA2645 TKW2645 TUS2645 UEO2645 UOK2645 UYG2645 VIC2645 VRY2645 WBU2645 WLQ2645 WVM2645 E68181 JA68181 SW68181 ACS68181 AMO68181 AWK68181 BGG68181 BQC68181 BZY68181 CJU68181 CTQ68181 DDM68181 DNI68181 DXE68181 EHA68181 EQW68181 FAS68181 FKO68181 FUK68181 GEG68181 GOC68181 GXY68181 HHU68181 HRQ68181 IBM68181 ILI68181 IVE68181 JFA68181 JOW68181 JYS68181 KIO68181 KSK68181 LCG68181 LMC68181 LVY68181 MFU68181 MPQ68181 MZM68181 NJI68181 NTE68181 ODA68181 OMW68181 OWS68181 PGO68181 PQK68181 QAG68181 QKC68181 QTY68181 RDU68181 RNQ68181 RXM68181 SHI68181 SRE68181 TBA68181 TKW68181 TUS68181 UEO68181 UOK68181 UYG68181 VIC68181 VRY68181 WBU68181 WLQ68181 WVM68181 E133717 JA133717 SW133717 ACS133717 AMO133717 AWK133717 BGG133717 BQC133717 BZY133717 CJU133717 CTQ133717 DDM133717 DNI133717 DXE133717 EHA133717 EQW133717 FAS133717 FKO133717 FUK133717 GEG133717 GOC133717 GXY133717 HHU133717 HRQ133717 IBM133717 ILI133717 IVE133717 JFA133717 JOW133717 JYS133717 KIO133717 KSK133717 LCG133717 LMC133717 LVY133717 MFU133717 MPQ133717 MZM133717 NJI133717 NTE133717 ODA133717 OMW133717 OWS133717 PGO133717 PQK133717 QAG133717 QKC133717 QTY133717 RDU133717 RNQ133717 RXM133717 SHI133717 SRE133717 TBA133717 TKW133717 TUS133717 UEO133717 UOK133717 UYG133717 VIC133717 VRY133717 WBU133717 WLQ133717 WVM133717 E199253 JA199253 SW199253 ACS199253 AMO199253 AWK199253 BGG199253 BQC199253 BZY199253 CJU199253 CTQ199253 DDM199253 DNI199253 DXE199253 EHA199253 EQW199253 FAS199253 FKO199253 FUK199253 GEG199253 GOC199253 GXY199253 HHU199253 HRQ199253 IBM199253 ILI199253 IVE199253 JFA199253 JOW199253 JYS199253 KIO199253 KSK199253 LCG199253 LMC199253 LVY199253 MFU199253 MPQ199253 MZM199253 NJI199253 NTE199253 ODA199253 OMW199253 OWS199253 PGO199253 PQK199253 QAG199253 QKC199253 QTY199253 RDU199253 RNQ199253 RXM199253 SHI199253 SRE199253 TBA199253 TKW199253 TUS199253 UEO199253 UOK199253 UYG199253 VIC199253 VRY199253 WBU199253 WLQ199253 WVM199253 E264789 JA264789 SW264789 ACS264789 AMO264789 AWK264789 BGG264789 BQC264789 BZY264789 CJU264789 CTQ264789 DDM264789 DNI264789 DXE264789 EHA264789 EQW264789 FAS264789 FKO264789 FUK264789 GEG264789 GOC264789 GXY264789 HHU264789 HRQ264789 IBM264789 ILI264789 IVE264789 JFA264789 JOW264789 JYS264789 KIO264789 KSK264789 LCG264789 LMC264789 LVY264789 MFU264789 MPQ264789 MZM264789 NJI264789 NTE264789 ODA264789 OMW264789 OWS264789 PGO264789 PQK264789 QAG264789 QKC264789 QTY264789 RDU264789 RNQ264789 RXM264789 SHI264789 SRE264789 TBA264789 TKW264789 TUS264789 UEO264789 UOK264789 UYG264789 VIC264789 VRY264789 WBU264789 WLQ264789 WVM264789 E330325 JA330325 SW330325 ACS330325 AMO330325 AWK330325 BGG330325 BQC330325 BZY330325 CJU330325 CTQ330325 DDM330325 DNI330325 DXE330325 EHA330325 EQW330325 FAS330325 FKO330325 FUK330325 GEG330325 GOC330325 GXY330325 HHU330325 HRQ330325 IBM330325 ILI330325 IVE330325 JFA330325 JOW330325 JYS330325 KIO330325 KSK330325 LCG330325 LMC330325 LVY330325 MFU330325 MPQ330325 MZM330325 NJI330325 NTE330325 ODA330325 OMW330325 OWS330325 PGO330325 PQK330325 QAG330325 QKC330325 QTY330325 RDU330325 RNQ330325 RXM330325 SHI330325 SRE330325 TBA330325 TKW330325 TUS330325 UEO330325 UOK330325 UYG330325 VIC330325 VRY330325 WBU330325 WLQ330325 WVM330325 E395861 JA395861 SW395861 ACS395861 AMO395861 AWK395861 BGG395861 BQC395861 BZY395861 CJU395861 CTQ395861 DDM395861 DNI395861 DXE395861 EHA395861 EQW395861 FAS395861 FKO395861 FUK395861 GEG395861 GOC395861 GXY395861 HHU395861 HRQ395861 IBM395861 ILI395861 IVE395861 JFA395861 JOW395861 JYS395861 KIO395861 KSK395861 LCG395861 LMC395861 LVY395861 MFU395861 MPQ395861 MZM395861 NJI395861 NTE395861 ODA395861 OMW395861 OWS395861 PGO395861 PQK395861 QAG395861 QKC395861 QTY395861 RDU395861 RNQ395861 RXM395861 SHI395861 SRE395861 TBA395861 TKW395861 TUS395861 UEO395861 UOK395861 UYG395861 VIC395861 VRY395861 WBU395861 WLQ395861 WVM395861 E461397 JA461397 SW461397 ACS461397 AMO461397 AWK461397 BGG461397 BQC461397 BZY461397 CJU461397 CTQ461397 DDM461397 DNI461397 DXE461397 EHA461397 EQW461397 FAS461397 FKO461397 FUK461397 GEG461397 GOC461397 GXY461397 HHU461397 HRQ461397 IBM461397 ILI461397 IVE461397 JFA461397 JOW461397 JYS461397 KIO461397 KSK461397 LCG461397 LMC461397 LVY461397 MFU461397 MPQ461397 MZM461397 NJI461397 NTE461397 ODA461397 OMW461397 OWS461397 PGO461397 PQK461397 QAG461397 QKC461397 QTY461397 RDU461397 RNQ461397 RXM461397 SHI461397 SRE461397 TBA461397 TKW461397 TUS461397 UEO461397 UOK461397 UYG461397 VIC461397 VRY461397 WBU461397 WLQ461397 WVM461397 E526933 JA526933 SW526933 ACS526933 AMO526933 AWK526933 BGG526933 BQC526933 BZY526933 CJU526933 CTQ526933 DDM526933 DNI526933 DXE526933 EHA526933 EQW526933 FAS526933 FKO526933 FUK526933 GEG526933 GOC526933 GXY526933 HHU526933 HRQ526933 IBM526933 ILI526933 IVE526933 JFA526933 JOW526933 JYS526933 KIO526933 KSK526933 LCG526933 LMC526933 LVY526933 MFU526933 MPQ526933 MZM526933 NJI526933 NTE526933 ODA526933 OMW526933 OWS526933 PGO526933 PQK526933 QAG526933 QKC526933 QTY526933 RDU526933 RNQ526933 RXM526933 SHI526933 SRE526933 TBA526933 TKW526933 TUS526933 UEO526933 UOK526933 UYG526933 VIC526933 VRY526933 WBU526933 WLQ526933 WVM526933 E592469 JA592469 SW592469 ACS592469 AMO592469 AWK592469 BGG592469 BQC592469 BZY592469 CJU592469 CTQ592469 DDM592469 DNI592469 DXE592469 EHA592469 EQW592469 FAS592469 FKO592469 FUK592469 GEG592469 GOC592469 GXY592469 HHU592469 HRQ592469 IBM592469 ILI592469 IVE592469 JFA592469 JOW592469 JYS592469 KIO592469 KSK592469 LCG592469 LMC592469 LVY592469 MFU592469 MPQ592469 MZM592469 NJI592469 NTE592469 ODA592469 OMW592469 OWS592469 PGO592469 PQK592469 QAG592469 QKC592469 QTY592469 RDU592469 RNQ592469 RXM592469 SHI592469 SRE592469 TBA592469 TKW592469 TUS592469 UEO592469 UOK592469 UYG592469 VIC592469 VRY592469 WBU592469 WLQ592469 WVM592469 E658005 JA658005 SW658005 ACS658005 AMO658005 AWK658005 BGG658005 BQC658005 BZY658005 CJU658005 CTQ658005 DDM658005 DNI658005 DXE658005 EHA658005 EQW658005 FAS658005 FKO658005 FUK658005 GEG658005 GOC658005 GXY658005 HHU658005 HRQ658005 IBM658005 ILI658005 IVE658005 JFA658005 JOW658005 JYS658005 KIO658005 KSK658005 LCG658005 LMC658005 LVY658005 MFU658005 MPQ658005 MZM658005 NJI658005 NTE658005 ODA658005 OMW658005 OWS658005 PGO658005 PQK658005 QAG658005 QKC658005 QTY658005 RDU658005 RNQ658005 RXM658005 SHI658005 SRE658005 TBA658005 TKW658005 TUS658005 UEO658005 UOK658005 UYG658005 VIC658005 VRY658005 WBU658005 WLQ658005 WVM658005 E723541 JA723541 SW723541 ACS723541 AMO723541 AWK723541 BGG723541 BQC723541 BZY723541 CJU723541 CTQ723541 DDM723541 DNI723541 DXE723541 EHA723541 EQW723541 FAS723541 FKO723541 FUK723541 GEG723541 GOC723541 GXY723541 HHU723541 HRQ723541 IBM723541 ILI723541 IVE723541 JFA723541 JOW723541 JYS723541 KIO723541 KSK723541 LCG723541 LMC723541 LVY723541 MFU723541 MPQ723541 MZM723541 NJI723541 NTE723541 ODA723541 OMW723541 OWS723541 PGO723541 PQK723541 QAG723541 QKC723541 QTY723541 RDU723541 RNQ723541 RXM723541 SHI723541 SRE723541 TBA723541 TKW723541 TUS723541 UEO723541 UOK723541 UYG723541 VIC723541 VRY723541 WBU723541 WLQ723541 WVM723541 E789077 JA789077 SW789077 ACS789077 AMO789077 AWK789077 BGG789077 BQC789077 BZY789077 CJU789077 CTQ789077 DDM789077 DNI789077 DXE789077 EHA789077 EQW789077 FAS789077 FKO789077 FUK789077 GEG789077 GOC789077 GXY789077 HHU789077 HRQ789077 IBM789077 ILI789077 IVE789077 JFA789077 JOW789077 JYS789077 KIO789077 KSK789077 LCG789077 LMC789077 LVY789077 MFU789077 MPQ789077 MZM789077 NJI789077 NTE789077 ODA789077 OMW789077 OWS789077 PGO789077 PQK789077 QAG789077 QKC789077 QTY789077 RDU789077 RNQ789077 RXM789077 SHI789077 SRE789077 TBA789077 TKW789077 TUS789077 UEO789077 UOK789077 UYG789077 VIC789077 VRY789077 WBU789077 WLQ789077 WVM789077 E854613 JA854613 SW854613 ACS854613 AMO854613 AWK854613 BGG854613 BQC854613 BZY854613 CJU854613 CTQ854613 DDM854613 DNI854613 DXE854613 EHA854613 EQW854613 FAS854613 FKO854613 FUK854613 GEG854613 GOC854613 GXY854613 HHU854613 HRQ854613 IBM854613 ILI854613 IVE854613 JFA854613 JOW854613 JYS854613 KIO854613 KSK854613 LCG854613 LMC854613 LVY854613 MFU854613 MPQ854613 MZM854613 NJI854613 NTE854613 ODA854613 OMW854613 OWS854613 PGO854613 PQK854613 QAG854613 QKC854613 QTY854613 RDU854613 RNQ854613 RXM854613 SHI854613 SRE854613 TBA854613 TKW854613 TUS854613 UEO854613 UOK854613 UYG854613 VIC854613 VRY854613 WBU854613 WLQ854613 WVM854613 E920149 JA920149 SW920149 ACS920149 AMO920149 AWK920149 BGG920149 BQC920149 BZY920149 CJU920149 CTQ920149 DDM920149 DNI920149 DXE920149 EHA920149 EQW920149 FAS920149 FKO920149 FUK920149 GEG920149 GOC920149 GXY920149 HHU920149 HRQ920149 IBM920149 ILI920149 IVE920149 JFA920149 JOW920149 JYS920149 KIO920149 KSK920149 LCG920149 LMC920149 LVY920149 MFU920149 MPQ920149 MZM920149 NJI920149 NTE920149 ODA920149 OMW920149 OWS920149 PGO920149 PQK920149 QAG920149 QKC920149 QTY920149 RDU920149 RNQ920149 RXM920149 SHI920149 SRE920149 TBA920149 TKW920149 TUS920149 UEO920149 UOK920149 UYG920149 VIC920149 VRY920149 WBU920149 WLQ920149 WVM920149 E985685 JA985685 SW985685 ACS985685 AMO985685 AWK985685 BGG985685 BQC985685 BZY985685 CJU985685 CTQ985685 DDM985685 DNI985685 DXE985685 EHA985685 EQW985685 FAS985685 FKO985685 FUK985685 GEG985685 GOC985685 GXY985685 HHU985685 HRQ985685 IBM985685 ILI985685 IVE985685 JFA985685 JOW985685 JYS985685 KIO985685 KSK985685 LCG985685 LMC985685 LVY985685 MFU985685 MPQ985685 MZM985685 NJI985685 NTE985685 ODA985685 OMW985685 OWS985685 PGO985685 PQK985685 QAG985685 QKC985685 QTY985685 RDU985685 RNQ985685 RXM985685 SHI985685 SRE985685 TBA985685 TKW985685 TUS985685 UEO985685 UOK985685 UYG985685 VIC985685 VRY985685 WBU985685 WLQ985685 WVM985685 E2507 JA2507 SW2507 ACS2507 AMO2507 AWK2507 BGG2507 BQC2507 BZY2507 CJU2507 CTQ2507 DDM2507 DNI2507 DXE2507 EHA2507 EQW2507 FAS2507 FKO2507 FUK2507 GEG2507 GOC2507 GXY2507 HHU2507 HRQ2507 IBM2507 ILI2507 IVE2507 JFA2507 JOW2507 JYS2507 KIO2507 KSK2507 LCG2507 LMC2507 LVY2507 MFU2507 MPQ2507 MZM2507 NJI2507 NTE2507 ODA2507 OMW2507 OWS2507 PGO2507 PQK2507 QAG2507 QKC2507 QTY2507 RDU2507 RNQ2507 RXM2507 SHI2507 SRE2507 TBA2507 TKW2507 TUS2507 UEO2507 UOK2507 UYG2507 VIC2507 VRY2507 WBU2507 WLQ2507 WVM2507 E68043 JA68043 SW68043 ACS68043 AMO68043 AWK68043 BGG68043 BQC68043 BZY68043 CJU68043 CTQ68043 DDM68043 DNI68043 DXE68043 EHA68043 EQW68043 FAS68043 FKO68043 FUK68043 GEG68043 GOC68043 GXY68043 HHU68043 HRQ68043 IBM68043 ILI68043 IVE68043 JFA68043 JOW68043 JYS68043 KIO68043 KSK68043 LCG68043 LMC68043 LVY68043 MFU68043 MPQ68043 MZM68043 NJI68043 NTE68043 ODA68043 OMW68043 OWS68043 PGO68043 PQK68043 QAG68043 QKC68043 QTY68043 RDU68043 RNQ68043 RXM68043 SHI68043 SRE68043 TBA68043 TKW68043 TUS68043 UEO68043 UOK68043 UYG68043 VIC68043 VRY68043 WBU68043 WLQ68043 WVM68043 E133579 JA133579 SW133579 ACS133579 AMO133579 AWK133579 BGG133579 BQC133579 BZY133579 CJU133579 CTQ133579 DDM133579 DNI133579 DXE133579 EHA133579 EQW133579 FAS133579 FKO133579 FUK133579 GEG133579 GOC133579 GXY133579 HHU133579 HRQ133579 IBM133579 ILI133579 IVE133579 JFA133579 JOW133579 JYS133579 KIO133579 KSK133579 LCG133579 LMC133579 LVY133579 MFU133579 MPQ133579 MZM133579 NJI133579 NTE133579 ODA133579 OMW133579 OWS133579 PGO133579 PQK133579 QAG133579 QKC133579 QTY133579 RDU133579 RNQ133579 RXM133579 SHI133579 SRE133579 TBA133579 TKW133579 TUS133579 UEO133579 UOK133579 UYG133579 VIC133579 VRY133579 WBU133579 WLQ133579 WVM133579 E199115 JA199115 SW199115 ACS199115 AMO199115 AWK199115 BGG199115 BQC199115 BZY199115 CJU199115 CTQ199115 DDM199115 DNI199115 DXE199115 EHA199115 EQW199115 FAS199115 FKO199115 FUK199115 GEG199115 GOC199115 GXY199115 HHU199115 HRQ199115 IBM199115 ILI199115 IVE199115 JFA199115 JOW199115 JYS199115 KIO199115 KSK199115 LCG199115 LMC199115 LVY199115 MFU199115 MPQ199115 MZM199115 NJI199115 NTE199115 ODA199115 OMW199115 OWS199115 PGO199115 PQK199115 QAG199115 QKC199115 QTY199115 RDU199115 RNQ199115 RXM199115 SHI199115 SRE199115 TBA199115 TKW199115 TUS199115 UEO199115 UOK199115 UYG199115 VIC199115 VRY199115 WBU199115 WLQ199115 WVM199115 E264651 JA264651 SW264651 ACS264651 AMO264651 AWK264651 BGG264651 BQC264651 BZY264651 CJU264651 CTQ264651 DDM264651 DNI264651 DXE264651 EHA264651 EQW264651 FAS264651 FKO264651 FUK264651 GEG264651 GOC264651 GXY264651 HHU264651 HRQ264651 IBM264651 ILI264651 IVE264651 JFA264651 JOW264651 JYS264651 KIO264651 KSK264651 LCG264651 LMC264651 LVY264651 MFU264651 MPQ264651 MZM264651 NJI264651 NTE264651 ODA264651 OMW264651 OWS264651 PGO264651 PQK264651 QAG264651 QKC264651 QTY264651 RDU264651 RNQ264651 RXM264651 SHI264651 SRE264651 TBA264651 TKW264651 TUS264651 UEO264651 UOK264651 UYG264651 VIC264651 VRY264651 WBU264651 WLQ264651 WVM264651 E330187 JA330187 SW330187 ACS330187 AMO330187 AWK330187 BGG330187 BQC330187 BZY330187 CJU330187 CTQ330187 DDM330187 DNI330187 DXE330187 EHA330187 EQW330187 FAS330187 FKO330187 FUK330187 GEG330187 GOC330187 GXY330187 HHU330187 HRQ330187 IBM330187 ILI330187 IVE330187 JFA330187 JOW330187 JYS330187 KIO330187 KSK330187 LCG330187 LMC330187 LVY330187 MFU330187 MPQ330187 MZM330187 NJI330187 NTE330187 ODA330187 OMW330187 OWS330187 PGO330187 PQK330187 QAG330187 QKC330187 QTY330187 RDU330187 RNQ330187 RXM330187 SHI330187 SRE330187 TBA330187 TKW330187 TUS330187 UEO330187 UOK330187 UYG330187 VIC330187 VRY330187 WBU330187 WLQ330187 WVM330187 E395723 JA395723 SW395723 ACS395723 AMO395723 AWK395723 BGG395723 BQC395723 BZY395723 CJU395723 CTQ395723 DDM395723 DNI395723 DXE395723 EHA395723 EQW395723 FAS395723 FKO395723 FUK395723 GEG395723 GOC395723 GXY395723 HHU395723 HRQ395723 IBM395723 ILI395723 IVE395723 JFA395723 JOW395723 JYS395723 KIO395723 KSK395723 LCG395723 LMC395723 LVY395723 MFU395723 MPQ395723 MZM395723 NJI395723 NTE395723 ODA395723 OMW395723 OWS395723 PGO395723 PQK395723 QAG395723 QKC395723 QTY395723 RDU395723 RNQ395723 RXM395723 SHI395723 SRE395723 TBA395723 TKW395723 TUS395723 UEO395723 UOK395723 UYG395723 VIC395723 VRY395723 WBU395723 WLQ395723 WVM395723 E461259 JA461259 SW461259 ACS461259 AMO461259 AWK461259 BGG461259 BQC461259 BZY461259 CJU461259 CTQ461259 DDM461259 DNI461259 DXE461259 EHA461259 EQW461259 FAS461259 FKO461259 FUK461259 GEG461259 GOC461259 GXY461259 HHU461259 HRQ461259 IBM461259 ILI461259 IVE461259 JFA461259 JOW461259 JYS461259 KIO461259 KSK461259 LCG461259 LMC461259 LVY461259 MFU461259 MPQ461259 MZM461259 NJI461259 NTE461259 ODA461259 OMW461259 OWS461259 PGO461259 PQK461259 QAG461259 QKC461259 QTY461259 RDU461259 RNQ461259 RXM461259 SHI461259 SRE461259 TBA461259 TKW461259 TUS461259 UEO461259 UOK461259 UYG461259 VIC461259 VRY461259 WBU461259 WLQ461259 WVM461259 E526795 JA526795 SW526795 ACS526795 AMO526795 AWK526795 BGG526795 BQC526795 BZY526795 CJU526795 CTQ526795 DDM526795 DNI526795 DXE526795 EHA526795 EQW526795 FAS526795 FKO526795 FUK526795 GEG526795 GOC526795 GXY526795 HHU526795 HRQ526795 IBM526795 ILI526795 IVE526795 JFA526795 JOW526795 JYS526795 KIO526795 KSK526795 LCG526795 LMC526795 LVY526795 MFU526795 MPQ526795 MZM526795 NJI526795 NTE526795 ODA526795 OMW526795 OWS526795 PGO526795 PQK526795 QAG526795 QKC526795 QTY526795 RDU526795 RNQ526795 RXM526795 SHI526795 SRE526795 TBA526795 TKW526795 TUS526795 UEO526795 UOK526795 UYG526795 VIC526795 VRY526795 WBU526795 WLQ526795 WVM526795 E592331 JA592331 SW592331 ACS592331 AMO592331 AWK592331 BGG592331 BQC592331 BZY592331 CJU592331 CTQ592331 DDM592331 DNI592331 DXE592331 EHA592331 EQW592331 FAS592331 FKO592331 FUK592331 GEG592331 GOC592331 GXY592331 HHU592331 HRQ592331 IBM592331 ILI592331 IVE592331 JFA592331 JOW592331 JYS592331 KIO592331 KSK592331 LCG592331 LMC592331 LVY592331 MFU592331 MPQ592331 MZM592331 NJI592331 NTE592331 ODA592331 OMW592331 OWS592331 PGO592331 PQK592331 QAG592331 QKC592331 QTY592331 RDU592331 RNQ592331 RXM592331 SHI592331 SRE592331 TBA592331 TKW592331 TUS592331 UEO592331 UOK592331 UYG592331 VIC592331 VRY592331 WBU592331 WLQ592331 WVM592331 E657867 JA657867 SW657867 ACS657867 AMO657867 AWK657867 BGG657867 BQC657867 BZY657867 CJU657867 CTQ657867 DDM657867 DNI657867 DXE657867 EHA657867 EQW657867 FAS657867 FKO657867 FUK657867 GEG657867 GOC657867 GXY657867 HHU657867 HRQ657867 IBM657867 ILI657867 IVE657867 JFA657867 JOW657867 JYS657867 KIO657867 KSK657867 LCG657867 LMC657867 LVY657867 MFU657867 MPQ657867 MZM657867 NJI657867 NTE657867 ODA657867 OMW657867 OWS657867 PGO657867 PQK657867 QAG657867 QKC657867 QTY657867 RDU657867 RNQ657867 RXM657867 SHI657867 SRE657867 TBA657867 TKW657867 TUS657867 UEO657867 UOK657867 UYG657867 VIC657867 VRY657867 WBU657867 WLQ657867 WVM657867 E723403 JA723403 SW723403 ACS723403 AMO723403 AWK723403 BGG723403 BQC723403 BZY723403 CJU723403 CTQ723403 DDM723403 DNI723403 DXE723403 EHA723403 EQW723403 FAS723403 FKO723403 FUK723403 GEG723403 GOC723403 GXY723403 HHU723403 HRQ723403 IBM723403 ILI723403 IVE723403 JFA723403 JOW723403 JYS723403 KIO723403 KSK723403 LCG723403 LMC723403 LVY723403 MFU723403 MPQ723403 MZM723403 NJI723403 NTE723403 ODA723403 OMW723403 OWS723403 PGO723403 PQK723403 QAG723403 QKC723403 QTY723403 RDU723403 RNQ723403 RXM723403 SHI723403 SRE723403 TBA723403 TKW723403 TUS723403 UEO723403 UOK723403 UYG723403 VIC723403 VRY723403 WBU723403 WLQ723403 WVM723403 E788939 JA788939 SW788939 ACS788939 AMO788939 AWK788939 BGG788939 BQC788939 BZY788939 CJU788939 CTQ788939 DDM788939 DNI788939 DXE788939 EHA788939 EQW788939 FAS788939 FKO788939 FUK788939 GEG788939 GOC788939 GXY788939 HHU788939 HRQ788939 IBM788939 ILI788939 IVE788939 JFA788939 JOW788939 JYS788939 KIO788939 KSK788939 LCG788939 LMC788939 LVY788939 MFU788939 MPQ788939 MZM788939 NJI788939 NTE788939 ODA788939 OMW788939 OWS788939 PGO788939 PQK788939 QAG788939 QKC788939 QTY788939 RDU788939 RNQ788939 RXM788939 SHI788939 SRE788939 TBA788939 TKW788939 TUS788939 UEO788939 UOK788939 UYG788939 VIC788939 VRY788939 WBU788939 WLQ788939 WVM788939 E854475 JA854475 SW854475 ACS854475 AMO854475 AWK854475 BGG854475 BQC854475 BZY854475 CJU854475 CTQ854475 DDM854475 DNI854475 DXE854475 EHA854475 EQW854475 FAS854475 FKO854475 FUK854475 GEG854475 GOC854475 GXY854475 HHU854475 HRQ854475 IBM854475 ILI854475 IVE854475 JFA854475 JOW854475 JYS854475 KIO854475 KSK854475 LCG854475 LMC854475 LVY854475 MFU854475 MPQ854475 MZM854475 NJI854475 NTE854475 ODA854475 OMW854475 OWS854475 PGO854475 PQK854475 QAG854475 QKC854475 QTY854475 RDU854475 RNQ854475 RXM854475 SHI854475 SRE854475 TBA854475 TKW854475 TUS854475 UEO854475 UOK854475 UYG854475 VIC854475 VRY854475 WBU854475 WLQ854475 WVM854475 E920011 JA920011 SW920011 ACS920011 AMO920011 AWK920011 BGG920011 BQC920011 BZY920011 CJU920011 CTQ920011 DDM920011 DNI920011 DXE920011 EHA920011 EQW920011 FAS920011 FKO920011 FUK920011 GEG920011 GOC920011 GXY920011 HHU920011 HRQ920011 IBM920011 ILI920011 IVE920011 JFA920011 JOW920011 JYS920011 KIO920011 KSK920011 LCG920011 LMC920011 LVY920011 MFU920011 MPQ920011 MZM920011 NJI920011 NTE920011 ODA920011 OMW920011 OWS920011 PGO920011 PQK920011 QAG920011 QKC920011 QTY920011 RDU920011 RNQ920011 RXM920011 SHI920011 SRE920011 TBA920011 TKW920011 TUS920011 UEO920011 UOK920011 UYG920011 VIC920011 VRY920011 WBU920011 WLQ920011 WVM920011 E985547 JA985547 SW985547 ACS985547 AMO985547 AWK985547 BGG985547 BQC985547 BZY985547 CJU985547 CTQ985547 DDM985547 DNI985547 DXE985547 EHA985547 EQW985547 FAS985547 FKO985547 FUK985547 GEG985547 GOC985547 GXY985547 HHU985547 HRQ985547 IBM985547 ILI985547 IVE985547 JFA985547 JOW985547 JYS985547 KIO985547 KSK985547 LCG985547 LMC985547 LVY985547 MFU985547 MPQ985547 MZM985547 NJI985547 NTE985547 ODA985547 OMW985547 OWS985547 PGO985547 PQK985547 QAG985547 QKC985547 QTY985547 RDU985547 RNQ985547 RXM985547 SHI985547 SRE985547 TBA985547 TKW985547 TUS985547 UEO985547 UOK985547 UYG985547 VIC985547 VRY985547 WBU985547 WLQ985547 WVM985547 E2438 JA2438 SW2438 ACS2438 AMO2438 AWK2438 BGG2438 BQC2438 BZY2438 CJU2438 CTQ2438 DDM2438 DNI2438 DXE2438 EHA2438 EQW2438 FAS2438 FKO2438 FUK2438 GEG2438 GOC2438 GXY2438 HHU2438 HRQ2438 IBM2438 ILI2438 IVE2438 JFA2438 JOW2438 JYS2438 KIO2438 KSK2438 LCG2438 LMC2438 LVY2438 MFU2438 MPQ2438 MZM2438 NJI2438 NTE2438 ODA2438 OMW2438 OWS2438 PGO2438 PQK2438 QAG2438 QKC2438 QTY2438 RDU2438 RNQ2438 RXM2438 SHI2438 SRE2438 TBA2438 TKW2438 TUS2438 UEO2438 UOK2438 UYG2438 VIC2438 VRY2438 WBU2438 WLQ2438 WVM2438 E67974 JA67974 SW67974 ACS67974 AMO67974 AWK67974 BGG67974 BQC67974 BZY67974 CJU67974 CTQ67974 DDM67974 DNI67974 DXE67974 EHA67974 EQW67974 FAS67974 FKO67974 FUK67974 GEG67974 GOC67974 GXY67974 HHU67974 HRQ67974 IBM67974 ILI67974 IVE67974 JFA67974 JOW67974 JYS67974 KIO67974 KSK67974 LCG67974 LMC67974 LVY67974 MFU67974 MPQ67974 MZM67974 NJI67974 NTE67974 ODA67974 OMW67974 OWS67974 PGO67974 PQK67974 QAG67974 QKC67974 QTY67974 RDU67974 RNQ67974 RXM67974 SHI67974 SRE67974 TBA67974 TKW67974 TUS67974 UEO67974 UOK67974 UYG67974 VIC67974 VRY67974 WBU67974 WLQ67974 WVM67974 E133510 JA133510 SW133510 ACS133510 AMO133510 AWK133510 BGG133510 BQC133510 BZY133510 CJU133510 CTQ133510 DDM133510 DNI133510 DXE133510 EHA133510 EQW133510 FAS133510 FKO133510 FUK133510 GEG133510 GOC133510 GXY133510 HHU133510 HRQ133510 IBM133510 ILI133510 IVE133510 JFA133510 JOW133510 JYS133510 KIO133510 KSK133510 LCG133510 LMC133510 LVY133510 MFU133510 MPQ133510 MZM133510 NJI133510 NTE133510 ODA133510 OMW133510 OWS133510 PGO133510 PQK133510 QAG133510 QKC133510 QTY133510 RDU133510 RNQ133510 RXM133510 SHI133510 SRE133510 TBA133510 TKW133510 TUS133510 UEO133510 UOK133510 UYG133510 VIC133510 VRY133510 WBU133510 WLQ133510 WVM133510 E199046 JA199046 SW199046 ACS199046 AMO199046 AWK199046 BGG199046 BQC199046 BZY199046 CJU199046 CTQ199046 DDM199046 DNI199046 DXE199046 EHA199046 EQW199046 FAS199046 FKO199046 FUK199046 GEG199046 GOC199046 GXY199046 HHU199046 HRQ199046 IBM199046 ILI199046 IVE199046 JFA199046 JOW199046 JYS199046 KIO199046 KSK199046 LCG199046 LMC199046 LVY199046 MFU199046 MPQ199046 MZM199046 NJI199046 NTE199046 ODA199046 OMW199046 OWS199046 PGO199046 PQK199046 QAG199046 QKC199046 QTY199046 RDU199046 RNQ199046 RXM199046 SHI199046 SRE199046 TBA199046 TKW199046 TUS199046 UEO199046 UOK199046 UYG199046 VIC199046 VRY199046 WBU199046 WLQ199046 WVM199046 E264582 JA264582 SW264582 ACS264582 AMO264582 AWK264582 BGG264582 BQC264582 BZY264582 CJU264582 CTQ264582 DDM264582 DNI264582 DXE264582 EHA264582 EQW264582 FAS264582 FKO264582 FUK264582 GEG264582 GOC264582 GXY264582 HHU264582 HRQ264582 IBM264582 ILI264582 IVE264582 JFA264582 JOW264582 JYS264582 KIO264582 KSK264582 LCG264582 LMC264582 LVY264582 MFU264582 MPQ264582 MZM264582 NJI264582 NTE264582 ODA264582 OMW264582 OWS264582 PGO264582 PQK264582 QAG264582 QKC264582 QTY264582 RDU264582 RNQ264582 RXM264582 SHI264582 SRE264582 TBA264582 TKW264582 TUS264582 UEO264582 UOK264582 UYG264582 VIC264582 VRY264582 WBU264582 WLQ264582 WVM264582 E330118 JA330118 SW330118 ACS330118 AMO330118 AWK330118 BGG330118 BQC330118 BZY330118 CJU330118 CTQ330118 DDM330118 DNI330118 DXE330118 EHA330118 EQW330118 FAS330118 FKO330118 FUK330118 GEG330118 GOC330118 GXY330118 HHU330118 HRQ330118 IBM330118 ILI330118 IVE330118 JFA330118 JOW330118 JYS330118 KIO330118 KSK330118 LCG330118 LMC330118 LVY330118 MFU330118 MPQ330118 MZM330118 NJI330118 NTE330118 ODA330118 OMW330118 OWS330118 PGO330118 PQK330118 QAG330118 QKC330118 QTY330118 RDU330118 RNQ330118 RXM330118 SHI330118 SRE330118 TBA330118 TKW330118 TUS330118 UEO330118 UOK330118 UYG330118 VIC330118 VRY330118 WBU330118 WLQ330118 WVM330118 E395654 JA395654 SW395654 ACS395654 AMO395654 AWK395654 BGG395654 BQC395654 BZY395654 CJU395654 CTQ395654 DDM395654 DNI395654 DXE395654 EHA395654 EQW395654 FAS395654 FKO395654 FUK395654 GEG395654 GOC395654 GXY395654 HHU395654 HRQ395654 IBM395654 ILI395654 IVE395654 JFA395654 JOW395654 JYS395654 KIO395654 KSK395654 LCG395654 LMC395654 LVY395654 MFU395654 MPQ395654 MZM395654 NJI395654 NTE395654 ODA395654 OMW395654 OWS395654 PGO395654 PQK395654 QAG395654 QKC395654 QTY395654 RDU395654 RNQ395654 RXM395654 SHI395654 SRE395654 TBA395654 TKW395654 TUS395654 UEO395654 UOK395654 UYG395654 VIC395654 VRY395654 WBU395654 WLQ395654 WVM395654 E461190 JA461190 SW461190 ACS461190 AMO461190 AWK461190 BGG461190 BQC461190 BZY461190 CJU461190 CTQ461190 DDM461190 DNI461190 DXE461190 EHA461190 EQW461190 FAS461190 FKO461190 FUK461190 GEG461190 GOC461190 GXY461190 HHU461190 HRQ461190 IBM461190 ILI461190 IVE461190 JFA461190 JOW461190 JYS461190 KIO461190 KSK461190 LCG461190 LMC461190 LVY461190 MFU461190 MPQ461190 MZM461190 NJI461190 NTE461190 ODA461190 OMW461190 OWS461190 PGO461190 PQK461190 QAG461190 QKC461190 QTY461190 RDU461190 RNQ461190 RXM461190 SHI461190 SRE461190 TBA461190 TKW461190 TUS461190 UEO461190 UOK461190 UYG461190 VIC461190 VRY461190 WBU461190 WLQ461190 WVM461190 E526726 JA526726 SW526726 ACS526726 AMO526726 AWK526726 BGG526726 BQC526726 BZY526726 CJU526726 CTQ526726 DDM526726 DNI526726 DXE526726 EHA526726 EQW526726 FAS526726 FKO526726 FUK526726 GEG526726 GOC526726 GXY526726 HHU526726 HRQ526726 IBM526726 ILI526726 IVE526726 JFA526726 JOW526726 JYS526726 KIO526726 KSK526726 LCG526726 LMC526726 LVY526726 MFU526726 MPQ526726 MZM526726 NJI526726 NTE526726 ODA526726 OMW526726 OWS526726 PGO526726 PQK526726 QAG526726 QKC526726 QTY526726 RDU526726 RNQ526726 RXM526726 SHI526726 SRE526726 TBA526726 TKW526726 TUS526726 UEO526726 UOK526726 UYG526726 VIC526726 VRY526726 WBU526726 WLQ526726 WVM526726 E592262 JA592262 SW592262 ACS592262 AMO592262 AWK592262 BGG592262 BQC592262 BZY592262 CJU592262 CTQ592262 DDM592262 DNI592262 DXE592262 EHA592262 EQW592262 FAS592262 FKO592262 FUK592262 GEG592262 GOC592262 GXY592262 HHU592262 HRQ592262 IBM592262 ILI592262 IVE592262 JFA592262 JOW592262 JYS592262 KIO592262 KSK592262 LCG592262 LMC592262 LVY592262 MFU592262 MPQ592262 MZM592262 NJI592262 NTE592262 ODA592262 OMW592262 OWS592262 PGO592262 PQK592262 QAG592262 QKC592262 QTY592262 RDU592262 RNQ592262 RXM592262 SHI592262 SRE592262 TBA592262 TKW592262 TUS592262 UEO592262 UOK592262 UYG592262 VIC592262 VRY592262 WBU592262 WLQ592262 WVM592262 E657798 JA657798 SW657798 ACS657798 AMO657798 AWK657798 BGG657798 BQC657798 BZY657798 CJU657798 CTQ657798 DDM657798 DNI657798 DXE657798 EHA657798 EQW657798 FAS657798 FKO657798 FUK657798 GEG657798 GOC657798 GXY657798 HHU657798 HRQ657798 IBM657798 ILI657798 IVE657798 JFA657798 JOW657798 JYS657798 KIO657798 KSK657798 LCG657798 LMC657798 LVY657798 MFU657798 MPQ657798 MZM657798 NJI657798 NTE657798 ODA657798 OMW657798 OWS657798 PGO657798 PQK657798 QAG657798 QKC657798 QTY657798 RDU657798 RNQ657798 RXM657798 SHI657798 SRE657798 TBA657798 TKW657798 TUS657798 UEO657798 UOK657798 UYG657798 VIC657798 VRY657798 WBU657798 WLQ657798 WVM657798 E723334 JA723334 SW723334 ACS723334 AMO723334 AWK723334 BGG723334 BQC723334 BZY723334 CJU723334 CTQ723334 DDM723334 DNI723334 DXE723334 EHA723334 EQW723334 FAS723334 FKO723334 FUK723334 GEG723334 GOC723334 GXY723334 HHU723334 HRQ723334 IBM723334 ILI723334 IVE723334 JFA723334 JOW723334 JYS723334 KIO723334 KSK723334 LCG723334 LMC723334 LVY723334 MFU723334 MPQ723334 MZM723334 NJI723334 NTE723334 ODA723334 OMW723334 OWS723334 PGO723334 PQK723334 QAG723334 QKC723334 QTY723334 RDU723334 RNQ723334 RXM723334 SHI723334 SRE723334 TBA723334 TKW723334 TUS723334 UEO723334 UOK723334 UYG723334 VIC723334 VRY723334 WBU723334 WLQ723334 WVM723334 E788870 JA788870 SW788870 ACS788870 AMO788870 AWK788870 BGG788870 BQC788870 BZY788870 CJU788870 CTQ788870 DDM788870 DNI788870 DXE788870 EHA788870 EQW788870 FAS788870 FKO788870 FUK788870 GEG788870 GOC788870 GXY788870 HHU788870 HRQ788870 IBM788870 ILI788870 IVE788870 JFA788870 JOW788870 JYS788870 KIO788870 KSK788870 LCG788870 LMC788870 LVY788870 MFU788870 MPQ788870 MZM788870 NJI788870 NTE788870 ODA788870 OMW788870 OWS788870 PGO788870 PQK788870 QAG788870 QKC788870 QTY788870 RDU788870 RNQ788870 RXM788870 SHI788870 SRE788870 TBA788870 TKW788870 TUS788870 UEO788870 UOK788870 UYG788870 VIC788870 VRY788870 WBU788870 WLQ788870 WVM788870 E854406 JA854406 SW854406 ACS854406 AMO854406 AWK854406 BGG854406 BQC854406 BZY854406 CJU854406 CTQ854406 DDM854406 DNI854406 DXE854406 EHA854406 EQW854406 FAS854406 FKO854406 FUK854406 GEG854406 GOC854406 GXY854406 HHU854406 HRQ854406 IBM854406 ILI854406 IVE854406 JFA854406 JOW854406 JYS854406 KIO854406 KSK854406 LCG854406 LMC854406 LVY854406 MFU854406 MPQ854406 MZM854406 NJI854406 NTE854406 ODA854406 OMW854406 OWS854406 PGO854406 PQK854406 QAG854406 QKC854406 QTY854406 RDU854406 RNQ854406 RXM854406 SHI854406 SRE854406 TBA854406 TKW854406 TUS854406 UEO854406 UOK854406 UYG854406 VIC854406 VRY854406 WBU854406 WLQ854406 WVM854406 E919942 JA919942 SW919942 ACS919942 AMO919942 AWK919942 BGG919942 BQC919942 BZY919942 CJU919942 CTQ919942 DDM919942 DNI919942 DXE919942 EHA919942 EQW919942 FAS919942 FKO919942 FUK919942 GEG919942 GOC919942 GXY919942 HHU919942 HRQ919942 IBM919942 ILI919942 IVE919942 JFA919942 JOW919942 JYS919942 KIO919942 KSK919942 LCG919942 LMC919942 LVY919942 MFU919942 MPQ919942 MZM919942 NJI919942 NTE919942 ODA919942 OMW919942 OWS919942 PGO919942 PQK919942 QAG919942 QKC919942 QTY919942 RDU919942 RNQ919942 RXM919942 SHI919942 SRE919942 TBA919942 TKW919942 TUS919942 UEO919942 UOK919942 UYG919942 VIC919942 VRY919942 WBU919942 WLQ919942 WVM919942 E985478 JA985478 SW985478 ACS985478 AMO985478 AWK985478 BGG985478 BQC985478 BZY985478 CJU985478 CTQ985478 DDM985478 DNI985478 DXE985478 EHA985478 EQW985478 FAS985478 FKO985478 FUK985478 GEG985478 GOC985478 GXY985478 HHU985478 HRQ985478 IBM985478 ILI985478 IVE985478 JFA985478 JOW985478 JYS985478 KIO985478 KSK985478 LCG985478 LMC985478 LVY985478 MFU985478 MPQ985478 MZM985478 NJI985478 NTE985478 ODA985478 OMW985478 OWS985478 PGO985478 PQK985478 QAG985478 QKC985478 QTY985478 RDU985478 RNQ985478 RXM985478 SHI985478 SRE985478 TBA985478 TKW985478 TUS985478 UEO985478 UOK985478 UYG985478 VIC985478 VRY985478 WBU985478 WLQ985478 WVM985478" xr:uid="{00000000-0002-0000-0100-000002000000}">
      <formula1>"Acessórios,Diversos,Fios e Cabos,Iluminação,Infraestrutura,Painéis e Quadros,Pontos de Utilização,Sistema de Comunicações,Sistema de Incêndio,SPDA/Aterramento"</formula1>
    </dataValidation>
  </dataValidations>
  <pageMargins left="0.511811024" right="0.511811024" top="0.78740157499999996" bottom="0.78740157499999996" header="0.31496062000000002" footer="0.31496062000000002"/>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Banco de Dados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Márcio</dc:creator>
  <cp:lastModifiedBy>Hernan Cruz</cp:lastModifiedBy>
  <cp:lastPrinted>2025-12-11T15:10:33Z</cp:lastPrinted>
  <dcterms:created xsi:type="dcterms:W3CDTF">2015-08-06T23:39:34Z</dcterms:created>
  <dcterms:modified xsi:type="dcterms:W3CDTF">2026-05-07T17:24:17Z</dcterms:modified>
</cp:coreProperties>
</file>